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13_ncr:1_{DB4A778F-6483-4E52-997F-9C2B487F2447}" xr6:coauthVersionLast="47" xr6:coauthVersionMax="47" xr10:uidLastSave="{00000000-0000-0000-0000-000000000000}"/>
  <bookViews>
    <workbookView xWindow="12600" yWindow="1920" windowWidth="14835" windowHeight="12990" tabRatio="500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definedNames>
    <definedName name="_xlnm._FilterDatabase" localSheetId="0" hidden="1">Sheet2!$A$16:$O$20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4" i="1" l="1"/>
  <c r="C43" i="1"/>
  <c r="C14" i="1"/>
  <c r="G17" i="6" l="1"/>
  <c r="G8" i="6"/>
  <c r="C48" i="6"/>
  <c r="C47" i="6"/>
  <c r="C46" i="6"/>
  <c r="C45" i="6"/>
  <c r="C44" i="6"/>
  <c r="C43" i="6"/>
  <c r="C42" i="6"/>
  <c r="C41" i="6"/>
  <c r="C40" i="6"/>
  <c r="C39" i="6"/>
  <c r="C38" i="6"/>
  <c r="C37" i="6"/>
  <c r="F14" i="5"/>
  <c r="M26" i="5"/>
  <c r="L26" i="5"/>
  <c r="J26" i="5"/>
  <c r="F26" i="5"/>
  <c r="M25" i="5"/>
  <c r="L25" i="5"/>
  <c r="J25" i="5"/>
  <c r="I25" i="5"/>
  <c r="G25" i="5"/>
  <c r="Q24" i="5"/>
  <c r="N24" i="5"/>
  <c r="N25" i="5" s="1"/>
  <c r="M24" i="5"/>
  <c r="L24" i="5"/>
  <c r="K24" i="5"/>
  <c r="K25" i="5" s="1"/>
  <c r="J24" i="5"/>
  <c r="I24" i="5"/>
  <c r="I26" i="5" s="1"/>
  <c r="H24" i="5"/>
  <c r="H25" i="5" s="1"/>
  <c r="G24" i="5"/>
  <c r="G26" i="5" s="1"/>
  <c r="F24" i="5"/>
  <c r="F25" i="5" s="1"/>
  <c r="E24" i="5"/>
  <c r="E25" i="5" s="1"/>
  <c r="D24" i="5"/>
  <c r="D25" i="5" s="1"/>
  <c r="C24" i="5"/>
  <c r="C26" i="5" s="1"/>
  <c r="M22" i="5"/>
  <c r="G22" i="5"/>
  <c r="F22" i="5"/>
  <c r="D22" i="5"/>
  <c r="M21" i="5"/>
  <c r="G21" i="5"/>
  <c r="F21" i="5"/>
  <c r="D21" i="5"/>
  <c r="C21" i="5"/>
  <c r="Q20" i="5"/>
  <c r="N20" i="5"/>
  <c r="N22" i="5" s="1"/>
  <c r="M20" i="5"/>
  <c r="L20" i="5"/>
  <c r="L22" i="5" s="1"/>
  <c r="K20" i="5"/>
  <c r="K22" i="5" s="1"/>
  <c r="J20" i="5"/>
  <c r="J21" i="5" s="1"/>
  <c r="I20" i="5"/>
  <c r="I21" i="5" s="1"/>
  <c r="H20" i="5"/>
  <c r="H21" i="5" s="1"/>
  <c r="G20" i="5"/>
  <c r="F20" i="5"/>
  <c r="E20" i="5"/>
  <c r="E21" i="5" s="1"/>
  <c r="D20" i="5"/>
  <c r="C20" i="5"/>
  <c r="C22" i="5" s="1"/>
  <c r="K18" i="5"/>
  <c r="I18" i="5"/>
  <c r="G18" i="5"/>
  <c r="K17" i="5"/>
  <c r="G17" i="5"/>
  <c r="D17" i="5"/>
  <c r="Q16" i="5"/>
  <c r="O16" i="5"/>
  <c r="N16" i="5"/>
  <c r="N18" i="5" s="1"/>
  <c r="M16" i="5"/>
  <c r="M18" i="5" s="1"/>
  <c r="L16" i="5"/>
  <c r="L18" i="5" s="1"/>
  <c r="K16" i="5"/>
  <c r="J16" i="5"/>
  <c r="J18" i="5" s="1"/>
  <c r="I16" i="5"/>
  <c r="I17" i="5" s="1"/>
  <c r="H16" i="5"/>
  <c r="H18" i="5" s="1"/>
  <c r="G16" i="5"/>
  <c r="F16" i="5"/>
  <c r="F18" i="5" s="1"/>
  <c r="E16" i="5"/>
  <c r="E18" i="5" s="1"/>
  <c r="D16" i="5"/>
  <c r="D18" i="5" s="1"/>
  <c r="C16" i="5"/>
  <c r="C17" i="5" s="1"/>
  <c r="L14" i="5"/>
  <c r="E14" i="5"/>
  <c r="D14" i="5"/>
  <c r="C14" i="5"/>
  <c r="M13" i="5"/>
  <c r="L13" i="5"/>
  <c r="E13" i="5"/>
  <c r="D13" i="5"/>
  <c r="Q12" i="5"/>
  <c r="N12" i="5"/>
  <c r="N13" i="5" s="1"/>
  <c r="M12" i="5"/>
  <c r="M14" i="5" s="1"/>
  <c r="L12" i="5"/>
  <c r="K12" i="5"/>
  <c r="K13" i="5" s="1"/>
  <c r="J12" i="5"/>
  <c r="J13" i="5" s="1"/>
  <c r="I12" i="5"/>
  <c r="I14" i="5" s="1"/>
  <c r="H12" i="5"/>
  <c r="H14" i="5" s="1"/>
  <c r="G12" i="5"/>
  <c r="G14" i="5" s="1"/>
  <c r="F12" i="5"/>
  <c r="E12" i="5"/>
  <c r="D12" i="5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B111" i="4"/>
  <c r="N111" i="4" s="1"/>
  <c r="M110" i="4"/>
  <c r="L110" i="4"/>
  <c r="K110" i="4"/>
  <c r="J110" i="4"/>
  <c r="I110" i="4"/>
  <c r="N110" i="4" s="1"/>
  <c r="H110" i="4"/>
  <c r="G110" i="4"/>
  <c r="F110" i="4"/>
  <c r="E110" i="4"/>
  <c r="D110" i="4"/>
  <c r="C110" i="4"/>
  <c r="B110" i="4"/>
  <c r="M109" i="4"/>
  <c r="L109" i="4"/>
  <c r="K109" i="4"/>
  <c r="J109" i="4"/>
  <c r="I109" i="4"/>
  <c r="H109" i="4"/>
  <c r="G109" i="4"/>
  <c r="F109" i="4"/>
  <c r="E109" i="4"/>
  <c r="D109" i="4"/>
  <c r="C109" i="4"/>
  <c r="N109" i="4" s="1"/>
  <c r="B109" i="4"/>
  <c r="M108" i="4"/>
  <c r="L108" i="4"/>
  <c r="K108" i="4"/>
  <c r="J108" i="4"/>
  <c r="I108" i="4"/>
  <c r="H108" i="4"/>
  <c r="G108" i="4"/>
  <c r="F108" i="4"/>
  <c r="E108" i="4"/>
  <c r="D108" i="4"/>
  <c r="C108" i="4"/>
  <c r="N108" i="4" s="1"/>
  <c r="B108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N106" i="4" s="1"/>
  <c r="L106" i="4"/>
  <c r="K106" i="4"/>
  <c r="J106" i="4"/>
  <c r="I106" i="4"/>
  <c r="H106" i="4"/>
  <c r="G106" i="4"/>
  <c r="F106" i="4"/>
  <c r="E106" i="4"/>
  <c r="D106" i="4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M104" i="4"/>
  <c r="L104" i="4"/>
  <c r="K104" i="4"/>
  <c r="J104" i="4"/>
  <c r="I104" i="4"/>
  <c r="H104" i="4"/>
  <c r="G104" i="4"/>
  <c r="F104" i="4"/>
  <c r="E104" i="4"/>
  <c r="D104" i="4"/>
  <c r="C104" i="4"/>
  <c r="N104" i="4" s="1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G102" i="4"/>
  <c r="F102" i="4"/>
  <c r="E102" i="4"/>
  <c r="D102" i="4"/>
  <c r="C102" i="4"/>
  <c r="B102" i="4"/>
  <c r="N102" i="4" s="1"/>
  <c r="M101" i="4"/>
  <c r="L101" i="4"/>
  <c r="K101" i="4"/>
  <c r="J101" i="4"/>
  <c r="I101" i="4"/>
  <c r="H101" i="4"/>
  <c r="G101" i="4"/>
  <c r="F101" i="4"/>
  <c r="E101" i="4"/>
  <c r="D101" i="4"/>
  <c r="C101" i="4"/>
  <c r="B101" i="4"/>
  <c r="N101" i="4" s="1"/>
  <c r="M100" i="4"/>
  <c r="L100" i="4"/>
  <c r="K100" i="4"/>
  <c r="J100" i="4"/>
  <c r="I100" i="4"/>
  <c r="H100" i="4"/>
  <c r="G100" i="4"/>
  <c r="F100" i="4"/>
  <c r="E100" i="4"/>
  <c r="D100" i="4"/>
  <c r="C100" i="4"/>
  <c r="B100" i="4"/>
  <c r="N100" i="4" s="1"/>
  <c r="M99" i="4"/>
  <c r="L99" i="4"/>
  <c r="K99" i="4"/>
  <c r="J99" i="4"/>
  <c r="I99" i="4"/>
  <c r="H99" i="4"/>
  <c r="N99" i="4" s="1"/>
  <c r="G99" i="4"/>
  <c r="F99" i="4"/>
  <c r="E99" i="4"/>
  <c r="D99" i="4"/>
  <c r="C99" i="4"/>
  <c r="B99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M96" i="4"/>
  <c r="L96" i="4"/>
  <c r="K96" i="4"/>
  <c r="J96" i="4"/>
  <c r="I96" i="4"/>
  <c r="H96" i="4"/>
  <c r="G96" i="4"/>
  <c r="F96" i="4"/>
  <c r="E96" i="4"/>
  <c r="D96" i="4"/>
  <c r="C96" i="4"/>
  <c r="B96" i="4"/>
  <c r="N96" i="4" s="1"/>
  <c r="M95" i="4"/>
  <c r="L95" i="4"/>
  <c r="N95" i="4" s="1"/>
  <c r="K95" i="4"/>
  <c r="J95" i="4"/>
  <c r="I95" i="4"/>
  <c r="H95" i="4"/>
  <c r="G95" i="4"/>
  <c r="F95" i="4"/>
  <c r="E95" i="4"/>
  <c r="D95" i="4"/>
  <c r="C95" i="4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N92" i="4" s="1"/>
  <c r="B92" i="4"/>
  <c r="M91" i="4"/>
  <c r="L91" i="4"/>
  <c r="K91" i="4"/>
  <c r="J91" i="4"/>
  <c r="I91" i="4"/>
  <c r="H91" i="4"/>
  <c r="G91" i="4"/>
  <c r="F91" i="4"/>
  <c r="E91" i="4"/>
  <c r="D91" i="4"/>
  <c r="C91" i="4"/>
  <c r="N91" i="4" s="1"/>
  <c r="B91" i="4"/>
  <c r="M90" i="4"/>
  <c r="L90" i="4"/>
  <c r="K90" i="4"/>
  <c r="J90" i="4"/>
  <c r="I90" i="4"/>
  <c r="H90" i="4"/>
  <c r="G90" i="4"/>
  <c r="F90" i="4"/>
  <c r="E90" i="4"/>
  <c r="N90" i="4" s="1"/>
  <c r="D90" i="4"/>
  <c r="C90" i="4"/>
  <c r="B90" i="4"/>
  <c r="M89" i="4"/>
  <c r="L89" i="4"/>
  <c r="K89" i="4"/>
  <c r="J89" i="4"/>
  <c r="I89" i="4"/>
  <c r="H89" i="4"/>
  <c r="G89" i="4"/>
  <c r="F89" i="4"/>
  <c r="E89" i="4"/>
  <c r="D89" i="4"/>
  <c r="C89" i="4"/>
  <c r="N89" i="4" s="1"/>
  <c r="B89" i="4"/>
  <c r="M88" i="4"/>
  <c r="L88" i="4"/>
  <c r="K88" i="4"/>
  <c r="J88" i="4"/>
  <c r="I88" i="4"/>
  <c r="H88" i="4"/>
  <c r="G88" i="4"/>
  <c r="F88" i="4"/>
  <c r="E88" i="4"/>
  <c r="N88" i="4" s="1"/>
  <c r="D88" i="4"/>
  <c r="C88" i="4"/>
  <c r="B88" i="4"/>
  <c r="N87" i="4"/>
  <c r="N86" i="4"/>
  <c r="M83" i="4"/>
  <c r="L83" i="4"/>
  <c r="K83" i="4"/>
  <c r="J83" i="4"/>
  <c r="I83" i="4"/>
  <c r="H83" i="4"/>
  <c r="G83" i="4"/>
  <c r="F83" i="4"/>
  <c r="E83" i="4"/>
  <c r="D83" i="4"/>
  <c r="C83" i="4"/>
  <c r="N83" i="4" s="1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N80" i="4" s="1"/>
  <c r="L80" i="4"/>
  <c r="K80" i="4"/>
  <c r="J80" i="4"/>
  <c r="I80" i="4"/>
  <c r="H80" i="4"/>
  <c r="G80" i="4"/>
  <c r="F80" i="4"/>
  <c r="E80" i="4"/>
  <c r="D80" i="4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M78" i="4"/>
  <c r="L78" i="4"/>
  <c r="K78" i="4"/>
  <c r="J78" i="4"/>
  <c r="I78" i="4"/>
  <c r="H78" i="4"/>
  <c r="G78" i="4"/>
  <c r="F78" i="4"/>
  <c r="E78" i="4"/>
  <c r="D78" i="4"/>
  <c r="C78" i="4"/>
  <c r="B78" i="4"/>
  <c r="N78" i="4" s="1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G76" i="4"/>
  <c r="F76" i="4"/>
  <c r="E76" i="4"/>
  <c r="D76" i="4"/>
  <c r="C76" i="4"/>
  <c r="B76" i="4"/>
  <c r="N76" i="4" s="1"/>
  <c r="M75" i="4"/>
  <c r="L75" i="4"/>
  <c r="K75" i="4"/>
  <c r="J75" i="4"/>
  <c r="I75" i="4"/>
  <c r="H75" i="4"/>
  <c r="G75" i="4"/>
  <c r="F75" i="4"/>
  <c r="E75" i="4"/>
  <c r="D75" i="4"/>
  <c r="C75" i="4"/>
  <c r="B75" i="4"/>
  <c r="N75" i="4" s="1"/>
  <c r="M74" i="4"/>
  <c r="L74" i="4"/>
  <c r="K74" i="4"/>
  <c r="J74" i="4"/>
  <c r="I74" i="4"/>
  <c r="H74" i="4"/>
  <c r="G74" i="4"/>
  <c r="F74" i="4"/>
  <c r="E74" i="4"/>
  <c r="D74" i="4"/>
  <c r="C74" i="4"/>
  <c r="B74" i="4"/>
  <c r="N74" i="4" s="1"/>
  <c r="M73" i="4"/>
  <c r="L73" i="4"/>
  <c r="K73" i="4"/>
  <c r="J73" i="4"/>
  <c r="I73" i="4"/>
  <c r="H73" i="4"/>
  <c r="N73" i="4" s="1"/>
  <c r="G73" i="4"/>
  <c r="F73" i="4"/>
  <c r="E73" i="4"/>
  <c r="D73" i="4"/>
  <c r="C73" i="4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M70" i="4"/>
  <c r="L70" i="4"/>
  <c r="K70" i="4"/>
  <c r="J70" i="4"/>
  <c r="I70" i="4"/>
  <c r="H70" i="4"/>
  <c r="G70" i="4"/>
  <c r="F70" i="4"/>
  <c r="E70" i="4"/>
  <c r="D70" i="4"/>
  <c r="N70" i="4" s="1"/>
  <c r="C70" i="4"/>
  <c r="B70" i="4"/>
  <c r="M69" i="4"/>
  <c r="L69" i="4"/>
  <c r="N69" i="4" s="1"/>
  <c r="K69" i="4"/>
  <c r="J69" i="4"/>
  <c r="I69" i="4"/>
  <c r="H69" i="4"/>
  <c r="G69" i="4"/>
  <c r="F69" i="4"/>
  <c r="E69" i="4"/>
  <c r="D69" i="4"/>
  <c r="C69" i="4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N66" i="4" s="1"/>
  <c r="B66" i="4"/>
  <c r="M65" i="4"/>
  <c r="L65" i="4"/>
  <c r="K65" i="4"/>
  <c r="J65" i="4"/>
  <c r="I65" i="4"/>
  <c r="H65" i="4"/>
  <c r="G65" i="4"/>
  <c r="F65" i="4"/>
  <c r="E65" i="4"/>
  <c r="D65" i="4"/>
  <c r="C65" i="4"/>
  <c r="N65" i="4" s="1"/>
  <c r="B65" i="4"/>
  <c r="M64" i="4"/>
  <c r="L64" i="4"/>
  <c r="K64" i="4"/>
  <c r="J64" i="4"/>
  <c r="I64" i="4"/>
  <c r="H64" i="4"/>
  <c r="G64" i="4"/>
  <c r="F64" i="4"/>
  <c r="E64" i="4"/>
  <c r="N64" i="4" s="1"/>
  <c r="D64" i="4"/>
  <c r="C64" i="4"/>
  <c r="B64" i="4"/>
  <c r="M63" i="4"/>
  <c r="L63" i="4"/>
  <c r="K63" i="4"/>
  <c r="J63" i="4"/>
  <c r="I63" i="4"/>
  <c r="H63" i="4"/>
  <c r="G63" i="4"/>
  <c r="F63" i="4"/>
  <c r="E63" i="4"/>
  <c r="D63" i="4"/>
  <c r="C63" i="4"/>
  <c r="N63" i="4" s="1"/>
  <c r="B63" i="4"/>
  <c r="M62" i="4"/>
  <c r="L62" i="4"/>
  <c r="K62" i="4"/>
  <c r="J62" i="4"/>
  <c r="I62" i="4"/>
  <c r="H62" i="4"/>
  <c r="G62" i="4"/>
  <c r="F62" i="4"/>
  <c r="E62" i="4"/>
  <c r="N62" i="4" s="1"/>
  <c r="D62" i="4"/>
  <c r="C62" i="4"/>
  <c r="B62" i="4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N54" i="4" s="1"/>
  <c r="L54" i="4"/>
  <c r="K54" i="4"/>
  <c r="J54" i="4"/>
  <c r="I54" i="4"/>
  <c r="H54" i="4"/>
  <c r="G54" i="4"/>
  <c r="F54" i="4"/>
  <c r="E54" i="4"/>
  <c r="D54" i="4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M52" i="4"/>
  <c r="L52" i="4"/>
  <c r="K52" i="4"/>
  <c r="J52" i="4"/>
  <c r="I52" i="4"/>
  <c r="H52" i="4"/>
  <c r="G52" i="4"/>
  <c r="F52" i="4"/>
  <c r="E52" i="4"/>
  <c r="D52" i="4"/>
  <c r="C52" i="4"/>
  <c r="B52" i="4"/>
  <c r="N52" i="4" s="1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G50" i="4"/>
  <c r="F50" i="4"/>
  <c r="E50" i="4"/>
  <c r="D50" i="4"/>
  <c r="C50" i="4"/>
  <c r="B50" i="4"/>
  <c r="N50" i="4" s="1"/>
  <c r="M49" i="4"/>
  <c r="L49" i="4"/>
  <c r="K49" i="4"/>
  <c r="J49" i="4"/>
  <c r="I49" i="4"/>
  <c r="H49" i="4"/>
  <c r="G49" i="4"/>
  <c r="F49" i="4"/>
  <c r="E49" i="4"/>
  <c r="D49" i="4"/>
  <c r="C49" i="4"/>
  <c r="B49" i="4"/>
  <c r="N49" i="4" s="1"/>
  <c r="M48" i="4"/>
  <c r="L48" i="4"/>
  <c r="K48" i="4"/>
  <c r="J48" i="4"/>
  <c r="I48" i="4"/>
  <c r="H48" i="4"/>
  <c r="G48" i="4"/>
  <c r="F48" i="4"/>
  <c r="E48" i="4"/>
  <c r="D48" i="4"/>
  <c r="C48" i="4"/>
  <c r="B48" i="4"/>
  <c r="N48" i="4" s="1"/>
  <c r="M47" i="4"/>
  <c r="L47" i="4"/>
  <c r="K47" i="4"/>
  <c r="J47" i="4"/>
  <c r="I47" i="4"/>
  <c r="H47" i="4"/>
  <c r="N47" i="4" s="1"/>
  <c r="G47" i="4"/>
  <c r="F47" i="4"/>
  <c r="E47" i="4"/>
  <c r="D47" i="4"/>
  <c r="C47" i="4"/>
  <c r="B47" i="4"/>
  <c r="M46" i="4"/>
  <c r="L46" i="4"/>
  <c r="K46" i="4"/>
  <c r="J46" i="4"/>
  <c r="I46" i="4"/>
  <c r="H46" i="4"/>
  <c r="G46" i="4"/>
  <c r="F46" i="4"/>
  <c r="E46" i="4"/>
  <c r="D46" i="4"/>
  <c r="C46" i="4"/>
  <c r="B46" i="4"/>
  <c r="N46" i="4" s="1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M44" i="4"/>
  <c r="L44" i="4"/>
  <c r="K44" i="4"/>
  <c r="J44" i="4"/>
  <c r="I44" i="4"/>
  <c r="H44" i="4"/>
  <c r="G44" i="4"/>
  <c r="F44" i="4"/>
  <c r="E44" i="4"/>
  <c r="D44" i="4"/>
  <c r="N44" i="4" s="1"/>
  <c r="C44" i="4"/>
  <c r="B44" i="4"/>
  <c r="M43" i="4"/>
  <c r="L43" i="4"/>
  <c r="N43" i="4" s="1"/>
  <c r="K43" i="4"/>
  <c r="J43" i="4"/>
  <c r="I43" i="4"/>
  <c r="H43" i="4"/>
  <c r="G43" i="4"/>
  <c r="F43" i="4"/>
  <c r="E43" i="4"/>
  <c r="D43" i="4"/>
  <c r="C43" i="4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N40" i="4" s="1"/>
  <c r="B40" i="4"/>
  <c r="M39" i="4"/>
  <c r="L39" i="4"/>
  <c r="K39" i="4"/>
  <c r="J39" i="4"/>
  <c r="I39" i="4"/>
  <c r="H39" i="4"/>
  <c r="G39" i="4"/>
  <c r="F39" i="4"/>
  <c r="E39" i="4"/>
  <c r="D39" i="4"/>
  <c r="C39" i="4"/>
  <c r="N39" i="4" s="1"/>
  <c r="B39" i="4"/>
  <c r="M38" i="4"/>
  <c r="L38" i="4"/>
  <c r="K38" i="4"/>
  <c r="J38" i="4"/>
  <c r="I38" i="4"/>
  <c r="H38" i="4"/>
  <c r="G38" i="4"/>
  <c r="F38" i="4"/>
  <c r="E38" i="4"/>
  <c r="N38" i="4" s="1"/>
  <c r="D38" i="4"/>
  <c r="C38" i="4"/>
  <c r="B38" i="4"/>
  <c r="M37" i="4"/>
  <c r="L37" i="4"/>
  <c r="K37" i="4"/>
  <c r="J37" i="4"/>
  <c r="I37" i="4"/>
  <c r="H37" i="4"/>
  <c r="G37" i="4"/>
  <c r="F37" i="4"/>
  <c r="E37" i="4"/>
  <c r="D37" i="4"/>
  <c r="C37" i="4"/>
  <c r="N37" i="4" s="1"/>
  <c r="B37" i="4"/>
  <c r="M36" i="4"/>
  <c r="L36" i="4"/>
  <c r="K36" i="4"/>
  <c r="J36" i="4"/>
  <c r="I36" i="4"/>
  <c r="H36" i="4"/>
  <c r="G36" i="4"/>
  <c r="F36" i="4"/>
  <c r="E36" i="4"/>
  <c r="N36" i="4" s="1"/>
  <c r="D36" i="4"/>
  <c r="C36" i="4"/>
  <c r="B36" i="4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N34" i="4" s="1"/>
  <c r="H34" i="4"/>
  <c r="G34" i="4"/>
  <c r="F34" i="4"/>
  <c r="E34" i="4"/>
  <c r="D34" i="4"/>
  <c r="C34" i="4"/>
  <c r="B34" i="4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N28" i="4" s="1"/>
  <c r="L28" i="4"/>
  <c r="K28" i="4"/>
  <c r="J28" i="4"/>
  <c r="I28" i="4"/>
  <c r="H28" i="4"/>
  <c r="G28" i="4"/>
  <c r="F28" i="4"/>
  <c r="E28" i="4"/>
  <c r="D28" i="4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M26" i="4"/>
  <c r="L26" i="4"/>
  <c r="K26" i="4"/>
  <c r="J26" i="4"/>
  <c r="I26" i="4"/>
  <c r="H26" i="4"/>
  <c r="G26" i="4"/>
  <c r="F26" i="4"/>
  <c r="E26" i="4"/>
  <c r="D26" i="4"/>
  <c r="C26" i="4"/>
  <c r="B26" i="4"/>
  <c r="N26" i="4" s="1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G24" i="4"/>
  <c r="F24" i="4"/>
  <c r="E24" i="4"/>
  <c r="D24" i="4"/>
  <c r="C24" i="4"/>
  <c r="B24" i="4"/>
  <c r="N24" i="4" s="1"/>
  <c r="M23" i="4"/>
  <c r="L23" i="4"/>
  <c r="K23" i="4"/>
  <c r="J23" i="4"/>
  <c r="I23" i="4"/>
  <c r="H23" i="4"/>
  <c r="G23" i="4"/>
  <c r="F23" i="4"/>
  <c r="E23" i="4"/>
  <c r="D23" i="4"/>
  <c r="C23" i="4"/>
  <c r="B23" i="4"/>
  <c r="N23" i="4" s="1"/>
  <c r="M22" i="4"/>
  <c r="L22" i="4"/>
  <c r="K22" i="4"/>
  <c r="J22" i="4"/>
  <c r="I22" i="4"/>
  <c r="H22" i="4"/>
  <c r="G22" i="4"/>
  <c r="F22" i="4"/>
  <c r="E22" i="4"/>
  <c r="D22" i="4"/>
  <c r="C22" i="4"/>
  <c r="B22" i="4"/>
  <c r="N22" i="4" s="1"/>
  <c r="M21" i="4"/>
  <c r="L21" i="4"/>
  <c r="K21" i="4"/>
  <c r="J21" i="4"/>
  <c r="I21" i="4"/>
  <c r="H21" i="4"/>
  <c r="N21" i="4" s="1"/>
  <c r="G21" i="4"/>
  <c r="F21" i="4"/>
  <c r="E21" i="4"/>
  <c r="D21" i="4"/>
  <c r="C21" i="4"/>
  <c r="B21" i="4"/>
  <c r="M20" i="4"/>
  <c r="L20" i="4"/>
  <c r="K20" i="4"/>
  <c r="J20" i="4"/>
  <c r="I20" i="4"/>
  <c r="H20" i="4"/>
  <c r="G20" i="4"/>
  <c r="F20" i="4"/>
  <c r="E20" i="4"/>
  <c r="D20" i="4"/>
  <c r="C20" i="4"/>
  <c r="B20" i="4"/>
  <c r="N20" i="4" s="1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M18" i="4"/>
  <c r="L18" i="4"/>
  <c r="K18" i="4"/>
  <c r="J18" i="4"/>
  <c r="I18" i="4"/>
  <c r="H18" i="4"/>
  <c r="G18" i="4"/>
  <c r="F18" i="4"/>
  <c r="E18" i="4"/>
  <c r="D18" i="4"/>
  <c r="C18" i="4"/>
  <c r="B18" i="4"/>
  <c r="N18" i="4" s="1"/>
  <c r="M17" i="4"/>
  <c r="L17" i="4"/>
  <c r="N17" i="4" s="1"/>
  <c r="K17" i="4"/>
  <c r="J17" i="4"/>
  <c r="I17" i="4"/>
  <c r="H17" i="4"/>
  <c r="G17" i="4"/>
  <c r="F17" i="4"/>
  <c r="E17" i="4"/>
  <c r="D17" i="4"/>
  <c r="C17" i="4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N14" i="4" s="1"/>
  <c r="B14" i="4"/>
  <c r="M13" i="4"/>
  <c r="L13" i="4"/>
  <c r="K13" i="4"/>
  <c r="J13" i="4"/>
  <c r="I13" i="4"/>
  <c r="H13" i="4"/>
  <c r="G13" i="4"/>
  <c r="F13" i="4"/>
  <c r="E13" i="4"/>
  <c r="D13" i="4"/>
  <c r="C13" i="4"/>
  <c r="N13" i="4" s="1"/>
  <c r="B13" i="4"/>
  <c r="M12" i="4"/>
  <c r="L12" i="4"/>
  <c r="K12" i="4"/>
  <c r="J12" i="4"/>
  <c r="I12" i="4"/>
  <c r="H12" i="4"/>
  <c r="G12" i="4"/>
  <c r="F12" i="4"/>
  <c r="E12" i="4"/>
  <c r="N12" i="4" s="1"/>
  <c r="D12" i="4"/>
  <c r="C12" i="4"/>
  <c r="B12" i="4"/>
  <c r="M11" i="4"/>
  <c r="L11" i="4"/>
  <c r="K11" i="4"/>
  <c r="J11" i="4"/>
  <c r="I11" i="4"/>
  <c r="H11" i="4"/>
  <c r="G11" i="4"/>
  <c r="F11" i="4"/>
  <c r="E11" i="4"/>
  <c r="D11" i="4"/>
  <c r="C11" i="4"/>
  <c r="N11" i="4" s="1"/>
  <c r="B11" i="4"/>
  <c r="M10" i="4"/>
  <c r="L10" i="4"/>
  <c r="K10" i="4"/>
  <c r="J10" i="4"/>
  <c r="I10" i="4"/>
  <c r="H10" i="4"/>
  <c r="G10" i="4"/>
  <c r="F10" i="4"/>
  <c r="E10" i="4"/>
  <c r="N10" i="4" s="1"/>
  <c r="D10" i="4"/>
  <c r="C10" i="4"/>
  <c r="B10" i="4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N8" i="4" s="1"/>
  <c r="H8" i="4"/>
  <c r="G8" i="4"/>
  <c r="F8" i="4"/>
  <c r="E8" i="4"/>
  <c r="D8" i="4"/>
  <c r="C8" i="4"/>
  <c r="B8" i="4"/>
  <c r="M7" i="4"/>
  <c r="L7" i="4"/>
  <c r="K7" i="4"/>
  <c r="J7" i="4"/>
  <c r="I7" i="4"/>
  <c r="H7" i="4"/>
  <c r="G7" i="4"/>
  <c r="F7" i="4"/>
  <c r="E7" i="4"/>
  <c r="D7" i="4"/>
  <c r="C7" i="4"/>
  <c r="N7" i="4" s="1"/>
  <c r="B7" i="4"/>
  <c r="N6" i="4"/>
  <c r="N5" i="4"/>
  <c r="E88" i="1"/>
  <c r="B50" i="1"/>
  <c r="F42" i="1"/>
  <c r="E42" i="1"/>
  <c r="D41" i="1"/>
  <c r="D42" i="1" s="1"/>
  <c r="C41" i="1"/>
  <c r="C42" i="1" s="1"/>
  <c r="D40" i="1"/>
  <c r="C40" i="1"/>
  <c r="D37" i="1"/>
  <c r="N24" i="1"/>
  <c r="M24" i="1"/>
  <c r="L24" i="1"/>
  <c r="K24" i="1"/>
  <c r="J24" i="1"/>
  <c r="I24" i="1"/>
  <c r="H24" i="1"/>
  <c r="G24" i="1"/>
  <c r="F24" i="1"/>
  <c r="E24" i="1"/>
  <c r="D24" i="1"/>
  <c r="N20" i="1"/>
  <c r="M20" i="1"/>
  <c r="L20" i="1"/>
  <c r="K20" i="1"/>
  <c r="J20" i="1"/>
  <c r="I20" i="1"/>
  <c r="H20" i="1"/>
  <c r="G20" i="1"/>
  <c r="F20" i="1"/>
  <c r="E20" i="1"/>
  <c r="D20" i="1"/>
  <c r="C20" i="1"/>
  <c r="C5" i="1"/>
  <c r="C4" i="1"/>
  <c r="D109" i="6" s="1"/>
  <c r="E2" i="3" a="1"/>
  <c r="E18" i="3" s="1"/>
  <c r="D2" i="3" a="1"/>
  <c r="D13" i="3" s="1"/>
  <c r="J260" i="6" l="1"/>
  <c r="J247" i="6"/>
  <c r="J234" i="6"/>
  <c r="J221" i="6"/>
  <c r="J208" i="6"/>
  <c r="J195" i="6"/>
  <c r="J182" i="6"/>
  <c r="J169" i="6"/>
  <c r="J149" i="6"/>
  <c r="J136" i="6"/>
  <c r="J123" i="6"/>
  <c r="J110" i="6"/>
  <c r="J259" i="6"/>
  <c r="J246" i="6"/>
  <c r="J233" i="6"/>
  <c r="J220" i="6"/>
  <c r="J207" i="6"/>
  <c r="J194" i="6"/>
  <c r="J181" i="6"/>
  <c r="J168" i="6"/>
  <c r="J160" i="6"/>
  <c r="J147" i="6"/>
  <c r="J134" i="6"/>
  <c r="J121" i="6"/>
  <c r="J258" i="6"/>
  <c r="J245" i="6"/>
  <c r="J232" i="6"/>
  <c r="J219" i="6"/>
  <c r="J206" i="6"/>
  <c r="J193" i="6"/>
  <c r="J180" i="6"/>
  <c r="J167" i="6"/>
  <c r="J159" i="6"/>
  <c r="J146" i="6"/>
  <c r="J133" i="6"/>
  <c r="J120" i="6"/>
  <c r="J257" i="6"/>
  <c r="J244" i="6"/>
  <c r="J231" i="6"/>
  <c r="J218" i="6"/>
  <c r="J205" i="6"/>
  <c r="J192" i="6"/>
  <c r="J179" i="6"/>
  <c r="J166" i="6"/>
  <c r="J158" i="6"/>
  <c r="J145" i="6"/>
  <c r="J132" i="6"/>
  <c r="J119" i="6"/>
  <c r="J256" i="6"/>
  <c r="J243" i="6"/>
  <c r="J230" i="6"/>
  <c r="J217" i="6"/>
  <c r="J204" i="6"/>
  <c r="J191" i="6"/>
  <c r="J178" i="6"/>
  <c r="J165" i="6"/>
  <c r="J157" i="6"/>
  <c r="J144" i="6"/>
  <c r="J131" i="6"/>
  <c r="J118" i="6"/>
  <c r="J255" i="6"/>
  <c r="J242" i="6"/>
  <c r="J229" i="6"/>
  <c r="J216" i="6"/>
  <c r="J203" i="6"/>
  <c r="J190" i="6"/>
  <c r="J177" i="6"/>
  <c r="J164" i="6"/>
  <c r="J156" i="6"/>
  <c r="J143" i="6"/>
  <c r="J130" i="6"/>
  <c r="J117" i="6"/>
  <c r="J254" i="6"/>
  <c r="J241" i="6"/>
  <c r="J228" i="6"/>
  <c r="J215" i="6"/>
  <c r="J202" i="6"/>
  <c r="J189" i="6"/>
  <c r="J176" i="6"/>
  <c r="J163" i="6"/>
  <c r="J155" i="6"/>
  <c r="J142" i="6"/>
  <c r="J129" i="6"/>
  <c r="J116" i="6"/>
  <c r="J253" i="6"/>
  <c r="J240" i="6"/>
  <c r="J227" i="6"/>
  <c r="J214" i="6"/>
  <c r="J201" i="6"/>
  <c r="J188" i="6"/>
  <c r="J175" i="6"/>
  <c r="J162" i="6"/>
  <c r="J154" i="6"/>
  <c r="J141" i="6"/>
  <c r="J128" i="6"/>
  <c r="J115" i="6"/>
  <c r="J264" i="6"/>
  <c r="J251" i="6"/>
  <c r="J238" i="6"/>
  <c r="J225" i="6"/>
  <c r="J212" i="6"/>
  <c r="J199" i="6"/>
  <c r="J186" i="6"/>
  <c r="J173" i="6"/>
  <c r="J153" i="6"/>
  <c r="J140" i="6"/>
  <c r="J127" i="6"/>
  <c r="J114" i="6"/>
  <c r="J263" i="6"/>
  <c r="J250" i="6"/>
  <c r="J237" i="6"/>
  <c r="J224" i="6"/>
  <c r="J211" i="6"/>
  <c r="J198" i="6"/>
  <c r="J185" i="6"/>
  <c r="J172" i="6"/>
  <c r="J152" i="6"/>
  <c r="J139" i="6"/>
  <c r="J126" i="6"/>
  <c r="J113" i="6"/>
  <c r="J262" i="6"/>
  <c r="J249" i="6"/>
  <c r="J236" i="6"/>
  <c r="J223" i="6"/>
  <c r="J210" i="6"/>
  <c r="J197" i="6"/>
  <c r="J184" i="6"/>
  <c r="J171" i="6"/>
  <c r="J151" i="6"/>
  <c r="J138" i="6"/>
  <c r="J125" i="6"/>
  <c r="J112" i="6"/>
  <c r="J261" i="6"/>
  <c r="J248" i="6"/>
  <c r="J235" i="6"/>
  <c r="J222" i="6"/>
  <c r="J209" i="6"/>
  <c r="J196" i="6"/>
  <c r="J183" i="6"/>
  <c r="J170" i="6"/>
  <c r="J150" i="6"/>
  <c r="J137" i="6"/>
  <c r="J124" i="6"/>
  <c r="J111" i="6"/>
  <c r="N18" i="1"/>
  <c r="O24" i="1"/>
  <c r="O12" i="5"/>
  <c r="J14" i="5"/>
  <c r="O14" i="5" s="1"/>
  <c r="E17" i="5"/>
  <c r="O17" i="5" s="1"/>
  <c r="K21" i="5"/>
  <c r="P20" i="5" s="1"/>
  <c r="R20" i="5" s="1"/>
  <c r="D26" i="5"/>
  <c r="O26" i="5" s="1"/>
  <c r="E2" i="3"/>
  <c r="D18" i="1"/>
  <c r="K14" i="5"/>
  <c r="F17" i="5"/>
  <c r="L21" i="5"/>
  <c r="E26" i="5"/>
  <c r="E3" i="3"/>
  <c r="F18" i="1"/>
  <c r="C51" i="1"/>
  <c r="H17" i="5"/>
  <c r="N21" i="5"/>
  <c r="E13" i="3"/>
  <c r="E14" i="3"/>
  <c r="D9" i="3"/>
  <c r="E15" i="3"/>
  <c r="D10" i="3"/>
  <c r="E16" i="3"/>
  <c r="N14" i="5"/>
  <c r="H26" i="5"/>
  <c r="E5" i="3"/>
  <c r="H18" i="1"/>
  <c r="E51" i="1"/>
  <c r="J17" i="5"/>
  <c r="D16" i="3"/>
  <c r="O24" i="5"/>
  <c r="D2" i="3"/>
  <c r="E7" i="3"/>
  <c r="J18" i="1"/>
  <c r="G51" i="1"/>
  <c r="F13" i="5"/>
  <c r="O13" i="5" s="1"/>
  <c r="L17" i="5"/>
  <c r="E22" i="5"/>
  <c r="O22" i="5" s="1"/>
  <c r="K26" i="5"/>
  <c r="E8" i="3"/>
  <c r="K18" i="1"/>
  <c r="H51" i="1"/>
  <c r="G13" i="5"/>
  <c r="M17" i="5"/>
  <c r="E6" i="3"/>
  <c r="I18" i="1"/>
  <c r="F51" i="1"/>
  <c r="D3" i="3"/>
  <c r="E9" i="3"/>
  <c r="L18" i="1"/>
  <c r="I51" i="1"/>
  <c r="H13" i="5"/>
  <c r="N17" i="5"/>
  <c r="I13" i="5"/>
  <c r="H22" i="5"/>
  <c r="C25" i="5"/>
  <c r="N26" i="5"/>
  <c r="D11" i="3"/>
  <c r="E4" i="3"/>
  <c r="D51" i="1"/>
  <c r="E10" i="3"/>
  <c r="D5" i="3"/>
  <c r="D7" i="3"/>
  <c r="D8" i="3"/>
  <c r="E17" i="3"/>
  <c r="D12" i="3"/>
  <c r="E19" i="3"/>
  <c r="D14" i="3"/>
  <c r="D15" i="3"/>
  <c r="D17" i="3"/>
  <c r="D18" i="3"/>
  <c r="E18" i="1"/>
  <c r="G18" i="1"/>
  <c r="D4" i="3"/>
  <c r="M18" i="1"/>
  <c r="J51" i="1"/>
  <c r="E11" i="3"/>
  <c r="K51" i="1"/>
  <c r="C18" i="5"/>
  <c r="O18" i="5" s="1"/>
  <c r="I22" i="5"/>
  <c r="D6" i="3"/>
  <c r="E12" i="3"/>
  <c r="L51" i="1"/>
  <c r="O20" i="5"/>
  <c r="J22" i="5"/>
  <c r="M51" i="1"/>
  <c r="N51" i="1"/>
  <c r="O18" i="1" l="1"/>
  <c r="O25" i="5"/>
  <c r="P24" i="5"/>
  <c r="R24" i="5" s="1"/>
  <c r="O21" i="5"/>
  <c r="P12" i="5"/>
  <c r="R12" i="5" s="1"/>
  <c r="P16" i="5"/>
  <c r="C66" i="1" l="1"/>
  <c r="D43" i="1"/>
  <c r="D66" i="1" s="1"/>
  <c r="F43" i="1"/>
  <c r="F66" i="1" s="1"/>
  <c r="E43" i="1"/>
  <c r="E66" i="1" s="1"/>
  <c r="T252" i="6"/>
  <c r="T239" i="6"/>
  <c r="T96" i="6"/>
  <c r="T226" i="6"/>
  <c r="T83" i="6"/>
  <c r="T213" i="6"/>
  <c r="T70" i="6"/>
  <c r="T200" i="6"/>
  <c r="T57" i="6"/>
  <c r="T187" i="6"/>
  <c r="T174" i="6"/>
  <c r="T161" i="6"/>
  <c r="T148" i="6"/>
  <c r="C44" i="1"/>
  <c r="T135" i="6"/>
  <c r="T122" i="6"/>
  <c r="T109" i="6"/>
  <c r="R16" i="5"/>
  <c r="O51" i="1"/>
  <c r="T44" i="6"/>
  <c r="T31" i="6"/>
  <c r="T18" i="6"/>
  <c r="T5" i="6"/>
  <c r="D44" i="1"/>
  <c r="F44" i="1"/>
  <c r="E44" i="1"/>
  <c r="G78" i="1" l="1" a="1"/>
  <c r="G78" i="1" s="1"/>
  <c r="G79" i="1" s="1"/>
  <c r="G80" i="1" s="1"/>
  <c r="G81" i="1" s="1"/>
  <c r="G82" i="1" s="1"/>
  <c r="G83" i="1" s="1"/>
  <c r="G66" i="1" a="1"/>
  <c r="G66" i="1" s="1"/>
  <c r="J9" i="1"/>
  <c r="J10" i="1" s="1"/>
  <c r="I9" i="1"/>
  <c r="I10" i="1" s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K49" i="1"/>
  <c r="K57" i="1" s="1"/>
  <c r="J49" i="1"/>
  <c r="J57" i="1" s="1"/>
  <c r="I49" i="1"/>
  <c r="I57" i="1" s="1"/>
  <c r="E49" i="1"/>
  <c r="E57" i="1" s="1"/>
  <c r="D49" i="1"/>
  <c r="D57" i="1" s="1"/>
  <c r="C49" i="1"/>
  <c r="C57" i="1" s="1"/>
  <c r="H49" i="1"/>
  <c r="H57" i="1" s="1"/>
  <c r="L49" i="1"/>
  <c r="L57" i="1" s="1"/>
  <c r="F49" i="1"/>
  <c r="F57" i="1" s="1"/>
  <c r="G49" i="1"/>
  <c r="G57" i="1" s="1"/>
  <c r="N49" i="1"/>
  <c r="N57" i="1" s="1"/>
  <c r="M49" i="1"/>
  <c r="M57" i="1" s="1"/>
  <c r="L47" i="1"/>
  <c r="L55" i="1" s="1"/>
  <c r="J47" i="1"/>
  <c r="J55" i="1" s="1"/>
  <c r="I47" i="1"/>
  <c r="I55" i="1" s="1"/>
  <c r="E47" i="1"/>
  <c r="E55" i="1" s="1"/>
  <c r="D47" i="1"/>
  <c r="D55" i="1" s="1"/>
  <c r="C47" i="1"/>
  <c r="C55" i="1" s="1"/>
  <c r="K47" i="1"/>
  <c r="K55" i="1" s="1"/>
  <c r="G47" i="1"/>
  <c r="G55" i="1" s="1"/>
  <c r="H47" i="1"/>
  <c r="H55" i="1" s="1"/>
  <c r="F47" i="1"/>
  <c r="F55" i="1" s="1"/>
  <c r="N47" i="1"/>
  <c r="N55" i="1" s="1"/>
  <c r="M47" i="1"/>
  <c r="M55" i="1" s="1"/>
  <c r="N48" i="1"/>
  <c r="N56" i="1" s="1"/>
  <c r="M48" i="1"/>
  <c r="M56" i="1" s="1"/>
  <c r="L48" i="1"/>
  <c r="L56" i="1" s="1"/>
  <c r="E48" i="1"/>
  <c r="C48" i="1"/>
  <c r="C56" i="1" s="1"/>
  <c r="K48" i="1"/>
  <c r="K56" i="1" s="1"/>
  <c r="J48" i="1"/>
  <c r="J56" i="1" s="1"/>
  <c r="G48" i="1"/>
  <c r="G56" i="1" s="1"/>
  <c r="I48" i="1"/>
  <c r="I56" i="1" s="1"/>
  <c r="H48" i="1"/>
  <c r="H56" i="1" s="1"/>
  <c r="F48" i="1"/>
  <c r="D48" i="1"/>
  <c r="D56" i="1" s="1"/>
  <c r="N46" i="1"/>
  <c r="N54" i="1" s="1"/>
  <c r="M46" i="1"/>
  <c r="M54" i="1" s="1"/>
  <c r="L46" i="1"/>
  <c r="L54" i="1" s="1"/>
  <c r="K46" i="1"/>
  <c r="K54" i="1" s="1"/>
  <c r="J46" i="1"/>
  <c r="J54" i="1" s="1"/>
  <c r="G46" i="1"/>
  <c r="G54" i="1" s="1"/>
  <c r="E46" i="1"/>
  <c r="E54" i="1" s="1"/>
  <c r="I46" i="1"/>
  <c r="I54" i="1" s="1"/>
  <c r="H46" i="1"/>
  <c r="H54" i="1" s="1"/>
  <c r="F46" i="1"/>
  <c r="F54" i="1" s="1"/>
  <c r="C46" i="1"/>
  <c r="D46" i="1"/>
  <c r="D54" i="1" s="1"/>
  <c r="F84" i="1" l="1"/>
  <c r="G77" i="1"/>
  <c r="G72" i="1"/>
  <c r="G73" i="1"/>
  <c r="G75" i="1"/>
  <c r="G67" i="1"/>
  <c r="G74" i="1"/>
  <c r="G71" i="1"/>
  <c r="G68" i="1"/>
  <c r="G70" i="1"/>
  <c r="G76" i="1"/>
  <c r="G69" i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E84" i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E56" i="1"/>
  <c r="M242" i="6" s="1"/>
  <c r="F56" i="1"/>
  <c r="M237" i="6"/>
  <c r="L237" i="6"/>
  <c r="K237" i="6"/>
  <c r="L133" i="6"/>
  <c r="M133" i="6"/>
  <c r="K133" i="6"/>
  <c r="M185" i="6"/>
  <c r="L185" i="6"/>
  <c r="K185" i="6"/>
  <c r="L221" i="6"/>
  <c r="K169" i="6"/>
  <c r="M169" i="6"/>
  <c r="L169" i="6"/>
  <c r="M221" i="6"/>
  <c r="M117" i="6"/>
  <c r="K221" i="6"/>
  <c r="L117" i="6"/>
  <c r="K117" i="6"/>
  <c r="K228" i="6"/>
  <c r="M228" i="6"/>
  <c r="K124" i="6"/>
  <c r="M176" i="6"/>
  <c r="L176" i="6"/>
  <c r="K176" i="6"/>
  <c r="L228" i="6"/>
  <c r="M124" i="6"/>
  <c r="L124" i="6"/>
  <c r="M165" i="6"/>
  <c r="K165" i="6"/>
  <c r="M217" i="6"/>
  <c r="K217" i="6"/>
  <c r="L217" i="6"/>
  <c r="M113" i="6"/>
  <c r="L113" i="6"/>
  <c r="L165" i="6"/>
  <c r="K113" i="6"/>
  <c r="M216" i="6"/>
  <c r="L216" i="6"/>
  <c r="K216" i="6"/>
  <c r="M112" i="6"/>
  <c r="L112" i="6"/>
  <c r="K164" i="6"/>
  <c r="K112" i="6"/>
  <c r="M164" i="6"/>
  <c r="L164" i="6"/>
  <c r="L263" i="6"/>
  <c r="M263" i="6"/>
  <c r="M159" i="6"/>
  <c r="K263" i="6"/>
  <c r="L159" i="6"/>
  <c r="L211" i="6"/>
  <c r="K159" i="6"/>
  <c r="J107" i="6"/>
  <c r="M107" i="6"/>
  <c r="L107" i="6"/>
  <c r="K107" i="6"/>
  <c r="M211" i="6"/>
  <c r="K211" i="6"/>
  <c r="M219" i="6"/>
  <c r="L219" i="6"/>
  <c r="M115" i="6"/>
  <c r="L115" i="6"/>
  <c r="K115" i="6"/>
  <c r="M167" i="6"/>
  <c r="L167" i="6"/>
  <c r="K219" i="6"/>
  <c r="K167" i="6"/>
  <c r="K123" i="6"/>
  <c r="K227" i="6"/>
  <c r="M227" i="6"/>
  <c r="M175" i="6"/>
  <c r="L175" i="6"/>
  <c r="K175" i="6"/>
  <c r="M123" i="6"/>
  <c r="L227" i="6"/>
  <c r="L123" i="6"/>
  <c r="M172" i="6"/>
  <c r="K172" i="6"/>
  <c r="K224" i="6"/>
  <c r="L172" i="6"/>
  <c r="M224" i="6"/>
  <c r="L224" i="6"/>
  <c r="M120" i="6"/>
  <c r="L120" i="6"/>
  <c r="K120" i="6"/>
  <c r="M262" i="6"/>
  <c r="K158" i="6"/>
  <c r="K262" i="6"/>
  <c r="M106" i="6"/>
  <c r="L106" i="6"/>
  <c r="M158" i="6"/>
  <c r="K106" i="6"/>
  <c r="L158" i="6"/>
  <c r="J106" i="6"/>
  <c r="L210" i="6"/>
  <c r="L262" i="6"/>
  <c r="M210" i="6"/>
  <c r="K210" i="6"/>
  <c r="M220" i="6"/>
  <c r="L220" i="6"/>
  <c r="K220" i="6"/>
  <c r="M116" i="6"/>
  <c r="L116" i="6"/>
  <c r="M168" i="6"/>
  <c r="K116" i="6"/>
  <c r="K168" i="6"/>
  <c r="L168" i="6"/>
  <c r="K128" i="6"/>
  <c r="L180" i="6"/>
  <c r="K180" i="6"/>
  <c r="M180" i="6"/>
  <c r="L232" i="6"/>
  <c r="M232" i="6"/>
  <c r="K232" i="6"/>
  <c r="M128" i="6"/>
  <c r="L128" i="6"/>
  <c r="K118" i="6"/>
  <c r="M118" i="6"/>
  <c r="L118" i="6"/>
  <c r="K170" i="6"/>
  <c r="M170" i="6"/>
  <c r="L170" i="6"/>
  <c r="M222" i="6"/>
  <c r="L222" i="6"/>
  <c r="K222" i="6"/>
  <c r="M130" i="6"/>
  <c r="K130" i="6"/>
  <c r="L130" i="6"/>
  <c r="K234" i="6"/>
  <c r="M234" i="6"/>
  <c r="L234" i="6"/>
  <c r="M182" i="6"/>
  <c r="L182" i="6"/>
  <c r="K182" i="6"/>
  <c r="K139" i="6"/>
  <c r="J87" i="6"/>
  <c r="K243" i="6"/>
  <c r="M191" i="6"/>
  <c r="L191" i="6"/>
  <c r="K191" i="6"/>
  <c r="M243" i="6"/>
  <c r="M87" i="6"/>
  <c r="M139" i="6"/>
  <c r="L87" i="6"/>
  <c r="K87" i="6"/>
  <c r="L139" i="6"/>
  <c r="L243" i="6"/>
  <c r="L194" i="6"/>
  <c r="L90" i="6"/>
  <c r="K194" i="6"/>
  <c r="M90" i="6"/>
  <c r="L246" i="6"/>
  <c r="M246" i="6"/>
  <c r="K246" i="6"/>
  <c r="K142" i="6"/>
  <c r="M142" i="6"/>
  <c r="L142" i="6"/>
  <c r="M194" i="6"/>
  <c r="K90" i="6"/>
  <c r="J90" i="6"/>
  <c r="L203" i="6"/>
  <c r="M99" i="6"/>
  <c r="L255" i="6"/>
  <c r="M255" i="6"/>
  <c r="M151" i="6"/>
  <c r="L151" i="6"/>
  <c r="K151" i="6"/>
  <c r="M203" i="6"/>
  <c r="K203" i="6"/>
  <c r="K255" i="6"/>
  <c r="L99" i="6"/>
  <c r="K99" i="6"/>
  <c r="J99" i="6"/>
  <c r="K178" i="6"/>
  <c r="K126" i="6"/>
  <c r="L230" i="6"/>
  <c r="M230" i="6"/>
  <c r="M126" i="6"/>
  <c r="L126" i="6"/>
  <c r="K230" i="6"/>
  <c r="M178" i="6"/>
  <c r="L178" i="6"/>
  <c r="K131" i="6"/>
  <c r="K183" i="6"/>
  <c r="L183" i="6"/>
  <c r="M183" i="6"/>
  <c r="K235" i="6"/>
  <c r="L235" i="6"/>
  <c r="M131" i="6"/>
  <c r="M235" i="6"/>
  <c r="L131" i="6"/>
  <c r="M129" i="6"/>
  <c r="M181" i="6"/>
  <c r="L181" i="6"/>
  <c r="K181" i="6"/>
  <c r="L233" i="6"/>
  <c r="K233" i="6"/>
  <c r="L129" i="6"/>
  <c r="K129" i="6"/>
  <c r="M233" i="6"/>
  <c r="M137" i="6"/>
  <c r="M85" i="6"/>
  <c r="M241" i="6"/>
  <c r="L85" i="6"/>
  <c r="K85" i="6"/>
  <c r="K241" i="6"/>
  <c r="J85" i="6"/>
  <c r="L241" i="6"/>
  <c r="K189" i="6"/>
  <c r="L137" i="6"/>
  <c r="K137" i="6"/>
  <c r="M189" i="6"/>
  <c r="L189" i="6"/>
  <c r="M153" i="6"/>
  <c r="L101" i="6"/>
  <c r="M101" i="6"/>
  <c r="M205" i="6"/>
  <c r="K205" i="6"/>
  <c r="L257" i="6"/>
  <c r="M257" i="6"/>
  <c r="K257" i="6"/>
  <c r="L205" i="6"/>
  <c r="K101" i="6"/>
  <c r="L153" i="6"/>
  <c r="K153" i="6"/>
  <c r="J101" i="6"/>
  <c r="K154" i="6"/>
  <c r="M154" i="6"/>
  <c r="L154" i="6"/>
  <c r="M206" i="6"/>
  <c r="K206" i="6"/>
  <c r="M102" i="6"/>
  <c r="M258" i="6"/>
  <c r="L102" i="6"/>
  <c r="K102" i="6"/>
  <c r="J102" i="6"/>
  <c r="L258" i="6"/>
  <c r="L206" i="6"/>
  <c r="K258" i="6"/>
  <c r="K155" i="6"/>
  <c r="M103" i="6"/>
  <c r="M207" i="6"/>
  <c r="K207" i="6"/>
  <c r="L259" i="6"/>
  <c r="M259" i="6"/>
  <c r="L207" i="6"/>
  <c r="M155" i="6"/>
  <c r="K259" i="6"/>
  <c r="J103" i="6"/>
  <c r="L155" i="6"/>
  <c r="L103" i="6"/>
  <c r="K103" i="6"/>
  <c r="M127" i="6"/>
  <c r="M231" i="6"/>
  <c r="L127" i="6"/>
  <c r="K127" i="6"/>
  <c r="L231" i="6"/>
  <c r="K231" i="6"/>
  <c r="M179" i="6"/>
  <c r="L179" i="6"/>
  <c r="K179" i="6"/>
  <c r="L177" i="6"/>
  <c r="K177" i="6"/>
  <c r="M177" i="6"/>
  <c r="L229" i="6"/>
  <c r="M125" i="6"/>
  <c r="L125" i="6"/>
  <c r="M229" i="6"/>
  <c r="K229" i="6"/>
  <c r="K125" i="6"/>
  <c r="L245" i="6"/>
  <c r="M193" i="6"/>
  <c r="M245" i="6"/>
  <c r="L193" i="6"/>
  <c r="M89" i="6"/>
  <c r="L89" i="6"/>
  <c r="K89" i="6"/>
  <c r="M141" i="6"/>
  <c r="J89" i="6"/>
  <c r="L141" i="6"/>
  <c r="K141" i="6"/>
  <c r="K193" i="6"/>
  <c r="K245" i="6"/>
  <c r="M192" i="6"/>
  <c r="K244" i="6"/>
  <c r="K192" i="6"/>
  <c r="M88" i="6"/>
  <c r="L88" i="6"/>
  <c r="K88" i="6"/>
  <c r="K140" i="6"/>
  <c r="L244" i="6"/>
  <c r="M244" i="6"/>
  <c r="L140" i="6"/>
  <c r="M140" i="6"/>
  <c r="L192" i="6"/>
  <c r="J88" i="6"/>
  <c r="M248" i="6"/>
  <c r="K144" i="6"/>
  <c r="K196" i="6"/>
  <c r="L196" i="6"/>
  <c r="M196" i="6"/>
  <c r="J92" i="6"/>
  <c r="K248" i="6"/>
  <c r="M92" i="6"/>
  <c r="L92" i="6"/>
  <c r="K92" i="6"/>
  <c r="L248" i="6"/>
  <c r="M144" i="6"/>
  <c r="L144" i="6"/>
  <c r="K254" i="6"/>
  <c r="L202" i="6"/>
  <c r="L254" i="6"/>
  <c r="M98" i="6"/>
  <c r="K150" i="6"/>
  <c r="L98" i="6"/>
  <c r="K98" i="6"/>
  <c r="M150" i="6"/>
  <c r="J98" i="6"/>
  <c r="M202" i="6"/>
  <c r="K202" i="6"/>
  <c r="L150" i="6"/>
  <c r="M254" i="6"/>
  <c r="K249" i="6"/>
  <c r="M145" i="6"/>
  <c r="M249" i="6"/>
  <c r="M93" i="6"/>
  <c r="M197" i="6"/>
  <c r="L93" i="6"/>
  <c r="L197" i="6"/>
  <c r="K93" i="6"/>
  <c r="K197" i="6"/>
  <c r="J93" i="6"/>
  <c r="L145" i="6"/>
  <c r="K145" i="6"/>
  <c r="L249" i="6"/>
  <c r="K250" i="6"/>
  <c r="M146" i="6"/>
  <c r="L146" i="6"/>
  <c r="K146" i="6"/>
  <c r="M94" i="6"/>
  <c r="M198" i="6"/>
  <c r="K198" i="6"/>
  <c r="L250" i="6"/>
  <c r="M250" i="6"/>
  <c r="L198" i="6"/>
  <c r="J94" i="6"/>
  <c r="L94" i="6"/>
  <c r="K94" i="6"/>
  <c r="K104" i="6"/>
  <c r="J104" i="6"/>
  <c r="K260" i="6"/>
  <c r="K156" i="6"/>
  <c r="M104" i="6"/>
  <c r="L260" i="6"/>
  <c r="M260" i="6"/>
  <c r="M156" i="6"/>
  <c r="L156" i="6"/>
  <c r="K208" i="6"/>
  <c r="M208" i="6"/>
  <c r="L208" i="6"/>
  <c r="L104" i="6"/>
  <c r="L238" i="6"/>
  <c r="K186" i="6"/>
  <c r="L186" i="6"/>
  <c r="M134" i="6"/>
  <c r="K238" i="6"/>
  <c r="M186" i="6"/>
  <c r="L134" i="6"/>
  <c r="K134" i="6"/>
  <c r="M238" i="6"/>
  <c r="M166" i="6"/>
  <c r="L166" i="6"/>
  <c r="K218" i="6"/>
  <c r="M114" i="6"/>
  <c r="L114" i="6"/>
  <c r="K114" i="6"/>
  <c r="M218" i="6"/>
  <c r="L218" i="6"/>
  <c r="K166" i="6"/>
  <c r="K223" i="6"/>
  <c r="M119" i="6"/>
  <c r="L119" i="6"/>
  <c r="K171" i="6"/>
  <c r="M171" i="6"/>
  <c r="K119" i="6"/>
  <c r="L171" i="6"/>
  <c r="L223" i="6"/>
  <c r="M223" i="6"/>
  <c r="L173" i="6"/>
  <c r="K173" i="6"/>
  <c r="K225" i="6"/>
  <c r="L121" i="6"/>
  <c r="M225" i="6"/>
  <c r="L225" i="6"/>
  <c r="K121" i="6"/>
  <c r="M121" i="6"/>
  <c r="M173" i="6"/>
  <c r="L236" i="6"/>
  <c r="K184" i="6"/>
  <c r="M236" i="6"/>
  <c r="K236" i="6"/>
  <c r="K132" i="6"/>
  <c r="M184" i="6"/>
  <c r="L184" i="6"/>
  <c r="M132" i="6"/>
  <c r="L132" i="6"/>
  <c r="L108" i="6"/>
  <c r="M264" i="6"/>
  <c r="K212" i="6"/>
  <c r="K108" i="6"/>
  <c r="J108" i="6"/>
  <c r="L264" i="6"/>
  <c r="M212" i="6"/>
  <c r="K160" i="6"/>
  <c r="L212" i="6"/>
  <c r="K264" i="6"/>
  <c r="M160" i="6"/>
  <c r="L160" i="6"/>
  <c r="M108" i="6"/>
  <c r="L204" i="6"/>
  <c r="K100" i="6"/>
  <c r="J100" i="6"/>
  <c r="K152" i="6"/>
  <c r="L256" i="6"/>
  <c r="M256" i="6"/>
  <c r="M204" i="6"/>
  <c r="K204" i="6"/>
  <c r="K256" i="6"/>
  <c r="M100" i="6"/>
  <c r="L100" i="6"/>
  <c r="M152" i="6"/>
  <c r="L152" i="6"/>
  <c r="L91" i="6"/>
  <c r="K91" i="6"/>
  <c r="J91" i="6"/>
  <c r="L247" i="6"/>
  <c r="M143" i="6"/>
  <c r="L143" i="6"/>
  <c r="K143" i="6"/>
  <c r="K195" i="6"/>
  <c r="M195" i="6"/>
  <c r="L195" i="6"/>
  <c r="K247" i="6"/>
  <c r="M247" i="6"/>
  <c r="M91" i="6"/>
  <c r="K253" i="6"/>
  <c r="L201" i="6"/>
  <c r="M201" i="6"/>
  <c r="L149" i="6"/>
  <c r="M149" i="6"/>
  <c r="M97" i="6"/>
  <c r="K201" i="6"/>
  <c r="L97" i="6"/>
  <c r="L253" i="6"/>
  <c r="M253" i="6"/>
  <c r="K97" i="6"/>
  <c r="J97" i="6"/>
  <c r="K149" i="6"/>
  <c r="L188" i="6"/>
  <c r="K188" i="6"/>
  <c r="K136" i="6"/>
  <c r="M240" i="6"/>
  <c r="K240" i="6"/>
  <c r="L240" i="6"/>
  <c r="M188" i="6"/>
  <c r="M136" i="6"/>
  <c r="L136" i="6"/>
  <c r="J86" i="6"/>
  <c r="M111" i="6"/>
  <c r="L111" i="6"/>
  <c r="K111" i="6"/>
  <c r="K163" i="6"/>
  <c r="M215" i="6"/>
  <c r="M163" i="6"/>
  <c r="L215" i="6"/>
  <c r="L163" i="6"/>
  <c r="K215" i="6"/>
  <c r="M110" i="6"/>
  <c r="L110" i="6"/>
  <c r="K214" i="6"/>
  <c r="M162" i="6"/>
  <c r="M6" i="6"/>
  <c r="L214" i="6"/>
  <c r="L58" i="6"/>
  <c r="M214" i="6"/>
  <c r="K162" i="6"/>
  <c r="K110" i="6"/>
  <c r="L162" i="6"/>
  <c r="L6" i="6"/>
  <c r="K147" i="6"/>
  <c r="K95" i="6"/>
  <c r="J95" i="6"/>
  <c r="M199" i="6"/>
  <c r="L199" i="6"/>
  <c r="K251" i="6"/>
  <c r="L251" i="6"/>
  <c r="M251" i="6"/>
  <c r="M147" i="6"/>
  <c r="M95" i="6"/>
  <c r="L95" i="6"/>
  <c r="K199" i="6"/>
  <c r="L147" i="6"/>
  <c r="M209" i="6"/>
  <c r="K209" i="6"/>
  <c r="L157" i="6"/>
  <c r="M157" i="6"/>
  <c r="K261" i="6"/>
  <c r="L105" i="6"/>
  <c r="M105" i="6"/>
  <c r="L261" i="6"/>
  <c r="M261" i="6"/>
  <c r="K157" i="6"/>
  <c r="K105" i="6"/>
  <c r="J105" i="6"/>
  <c r="L209" i="6"/>
  <c r="M76" i="6"/>
  <c r="L76" i="6"/>
  <c r="K76" i="6"/>
  <c r="J76" i="6"/>
  <c r="K24" i="6"/>
  <c r="M24" i="6"/>
  <c r="L24" i="6"/>
  <c r="J24" i="6"/>
  <c r="M30" i="6"/>
  <c r="K30" i="6"/>
  <c r="L30" i="6"/>
  <c r="M82" i="6"/>
  <c r="J30" i="6"/>
  <c r="L82" i="6"/>
  <c r="K82" i="6"/>
  <c r="J82" i="6"/>
  <c r="M80" i="6"/>
  <c r="L80" i="6"/>
  <c r="K80" i="6"/>
  <c r="J80" i="6"/>
  <c r="M28" i="6"/>
  <c r="L28" i="6"/>
  <c r="K28" i="6"/>
  <c r="J28" i="6"/>
  <c r="J81" i="6"/>
  <c r="M29" i="6"/>
  <c r="L29" i="6"/>
  <c r="K29" i="6"/>
  <c r="J29" i="6"/>
  <c r="M81" i="6"/>
  <c r="L81" i="6"/>
  <c r="K81" i="6"/>
  <c r="M60" i="6"/>
  <c r="L60" i="6"/>
  <c r="K60" i="6"/>
  <c r="J60" i="6"/>
  <c r="M8" i="6"/>
  <c r="L8" i="6"/>
  <c r="K8" i="6"/>
  <c r="J8" i="6"/>
  <c r="M27" i="6"/>
  <c r="L27" i="6"/>
  <c r="K27" i="6"/>
  <c r="J27" i="6"/>
  <c r="M79" i="6"/>
  <c r="L79" i="6"/>
  <c r="K79" i="6"/>
  <c r="J79" i="6"/>
  <c r="M15" i="6"/>
  <c r="M67" i="6"/>
  <c r="L15" i="6"/>
  <c r="L67" i="6"/>
  <c r="K15" i="6"/>
  <c r="K67" i="6"/>
  <c r="J15" i="6"/>
  <c r="J67" i="6"/>
  <c r="M25" i="6"/>
  <c r="L25" i="6"/>
  <c r="K25" i="6"/>
  <c r="J25" i="6"/>
  <c r="M77" i="6"/>
  <c r="L77" i="6"/>
  <c r="K77" i="6"/>
  <c r="J77" i="6"/>
  <c r="M33" i="6"/>
  <c r="L33" i="6"/>
  <c r="K33" i="6"/>
  <c r="J33" i="6"/>
  <c r="M49" i="6"/>
  <c r="L49" i="6"/>
  <c r="K49" i="6"/>
  <c r="J49" i="6"/>
  <c r="M54" i="6"/>
  <c r="L54" i="6"/>
  <c r="K54" i="6"/>
  <c r="J54" i="6"/>
  <c r="M40" i="6"/>
  <c r="L40" i="6"/>
  <c r="J40" i="6"/>
  <c r="K40" i="6"/>
  <c r="M47" i="6"/>
  <c r="L47" i="6"/>
  <c r="K47" i="6"/>
  <c r="J47" i="6"/>
  <c r="L9" i="6"/>
  <c r="M9" i="6"/>
  <c r="K9" i="6"/>
  <c r="J9" i="6"/>
  <c r="K61" i="6"/>
  <c r="M61" i="6"/>
  <c r="L61" i="6"/>
  <c r="J61" i="6"/>
  <c r="M64" i="6"/>
  <c r="K64" i="6"/>
  <c r="L64" i="6"/>
  <c r="J64" i="6"/>
  <c r="K12" i="6"/>
  <c r="M12" i="6"/>
  <c r="L12" i="6"/>
  <c r="J12" i="6"/>
  <c r="M10" i="6"/>
  <c r="L10" i="6"/>
  <c r="K10" i="6"/>
  <c r="J10" i="6"/>
  <c r="J62" i="6"/>
  <c r="M62" i="6"/>
  <c r="L62" i="6"/>
  <c r="K62" i="6"/>
  <c r="J71" i="6"/>
  <c r="M19" i="6"/>
  <c r="M71" i="6"/>
  <c r="L19" i="6"/>
  <c r="J19" i="6"/>
  <c r="L71" i="6"/>
  <c r="K71" i="6"/>
  <c r="K19" i="6"/>
  <c r="M68" i="6"/>
  <c r="J16" i="6"/>
  <c r="L68" i="6"/>
  <c r="M16" i="6"/>
  <c r="K68" i="6"/>
  <c r="L16" i="6"/>
  <c r="J68" i="6"/>
  <c r="K16" i="6"/>
  <c r="J17" i="6"/>
  <c r="M69" i="6"/>
  <c r="L69" i="6"/>
  <c r="K69" i="6"/>
  <c r="J69" i="6"/>
  <c r="M17" i="6"/>
  <c r="L17" i="6"/>
  <c r="K17" i="6"/>
  <c r="M55" i="6"/>
  <c r="L55" i="6"/>
  <c r="K55" i="6"/>
  <c r="J55" i="6"/>
  <c r="J38" i="6"/>
  <c r="M38" i="6"/>
  <c r="L38" i="6"/>
  <c r="K38" i="6"/>
  <c r="M50" i="6"/>
  <c r="L50" i="6"/>
  <c r="K50" i="6"/>
  <c r="J50" i="6"/>
  <c r="J32" i="6"/>
  <c r="M84" i="6"/>
  <c r="L84" i="6"/>
  <c r="K84" i="6"/>
  <c r="J84" i="6"/>
  <c r="M32" i="6"/>
  <c r="L32" i="6"/>
  <c r="K32" i="6"/>
  <c r="M41" i="6"/>
  <c r="L41" i="6"/>
  <c r="K41" i="6"/>
  <c r="J41" i="6"/>
  <c r="M51" i="6"/>
  <c r="L51" i="6"/>
  <c r="K51" i="6"/>
  <c r="J51" i="6"/>
  <c r="J63" i="6"/>
  <c r="M63" i="6"/>
  <c r="L63" i="6"/>
  <c r="K63" i="6"/>
  <c r="M11" i="6"/>
  <c r="L11" i="6"/>
  <c r="K11" i="6"/>
  <c r="J11" i="6"/>
  <c r="M75" i="6"/>
  <c r="L75" i="6"/>
  <c r="K75" i="6"/>
  <c r="J75" i="6"/>
  <c r="M23" i="6"/>
  <c r="L23" i="6"/>
  <c r="K23" i="6"/>
  <c r="J23" i="6"/>
  <c r="M14" i="6"/>
  <c r="L14" i="6"/>
  <c r="K14" i="6"/>
  <c r="M66" i="6"/>
  <c r="J14" i="6"/>
  <c r="L66" i="6"/>
  <c r="K66" i="6"/>
  <c r="J66" i="6"/>
  <c r="M21" i="6"/>
  <c r="L21" i="6"/>
  <c r="K21" i="6"/>
  <c r="J21" i="6"/>
  <c r="M73" i="6"/>
  <c r="L73" i="6"/>
  <c r="K73" i="6"/>
  <c r="J73" i="6"/>
  <c r="M56" i="6"/>
  <c r="L56" i="6"/>
  <c r="K56" i="6"/>
  <c r="J56" i="6"/>
  <c r="M48" i="6"/>
  <c r="L48" i="6"/>
  <c r="K48" i="6"/>
  <c r="J48" i="6"/>
  <c r="M39" i="6"/>
  <c r="L39" i="6"/>
  <c r="K39" i="6"/>
  <c r="J39" i="6"/>
  <c r="M46" i="6"/>
  <c r="L46" i="6"/>
  <c r="K46" i="6"/>
  <c r="J46" i="6"/>
  <c r="M59" i="6"/>
  <c r="L59" i="6"/>
  <c r="K59" i="6"/>
  <c r="J59" i="6"/>
  <c r="M7" i="6"/>
  <c r="L7" i="6"/>
  <c r="K7" i="6"/>
  <c r="J7" i="6"/>
  <c r="M42" i="6"/>
  <c r="L42" i="6"/>
  <c r="K42" i="6"/>
  <c r="J42" i="6"/>
  <c r="M52" i="6"/>
  <c r="L52" i="6"/>
  <c r="K52" i="6"/>
  <c r="J52" i="6"/>
  <c r="M74" i="6"/>
  <c r="L74" i="6"/>
  <c r="K74" i="6"/>
  <c r="J74" i="6"/>
  <c r="M22" i="6"/>
  <c r="L22" i="6"/>
  <c r="K22" i="6"/>
  <c r="J22" i="6"/>
  <c r="M13" i="6"/>
  <c r="L13" i="6"/>
  <c r="K13" i="6"/>
  <c r="J13" i="6"/>
  <c r="M65" i="6"/>
  <c r="L65" i="6"/>
  <c r="K65" i="6"/>
  <c r="J65" i="6"/>
  <c r="M72" i="6"/>
  <c r="L72" i="6"/>
  <c r="J72" i="6"/>
  <c r="M20" i="6"/>
  <c r="L20" i="6"/>
  <c r="K72" i="6"/>
  <c r="K20" i="6"/>
  <c r="J20" i="6"/>
  <c r="M26" i="6"/>
  <c r="L26" i="6"/>
  <c r="K26" i="6"/>
  <c r="J26" i="6"/>
  <c r="M78" i="6"/>
  <c r="L78" i="6"/>
  <c r="K78" i="6"/>
  <c r="J78" i="6"/>
  <c r="M35" i="6"/>
  <c r="L35" i="6"/>
  <c r="K35" i="6"/>
  <c r="J35" i="6"/>
  <c r="M37" i="6"/>
  <c r="L37" i="6"/>
  <c r="K37" i="6"/>
  <c r="J37" i="6"/>
  <c r="M36" i="6"/>
  <c r="L36" i="6"/>
  <c r="K36" i="6"/>
  <c r="J36" i="6"/>
  <c r="M45" i="6"/>
  <c r="L45" i="6"/>
  <c r="K45" i="6"/>
  <c r="J45" i="6"/>
  <c r="M58" i="6"/>
  <c r="K6" i="6"/>
  <c r="J6" i="6"/>
  <c r="K58" i="6"/>
  <c r="J58" i="6"/>
  <c r="J43" i="6"/>
  <c r="M43" i="6"/>
  <c r="L43" i="6"/>
  <c r="K43" i="6"/>
  <c r="M53" i="6"/>
  <c r="L53" i="6"/>
  <c r="K53" i="6"/>
  <c r="J53" i="6"/>
  <c r="N112" i="6" l="1"/>
  <c r="K242" i="6"/>
  <c r="M138" i="6"/>
  <c r="M86" i="6"/>
  <c r="K138" i="6"/>
  <c r="M190" i="6"/>
  <c r="L242" i="6"/>
  <c r="K190" i="6"/>
  <c r="K34" i="6"/>
  <c r="K86" i="6"/>
  <c r="L190" i="6"/>
  <c r="N190" i="6" s="1"/>
  <c r="L138" i="6"/>
  <c r="M34" i="6"/>
  <c r="L86" i="6"/>
  <c r="J34" i="6"/>
  <c r="L34" i="6"/>
  <c r="N34" i="6" s="1"/>
  <c r="G84" i="1"/>
  <c r="N115" i="6"/>
  <c r="P115" i="6" s="1"/>
  <c r="N216" i="6"/>
  <c r="P216" i="6" s="1"/>
  <c r="D84" i="1"/>
  <c r="N123" i="6"/>
  <c r="P123" i="6" s="1"/>
  <c r="C84" i="1"/>
  <c r="N229" i="6"/>
  <c r="O229" i="6" s="1"/>
  <c r="N157" i="6"/>
  <c r="N201" i="6"/>
  <c r="N256" i="6"/>
  <c r="N223" i="6"/>
  <c r="O223" i="6" s="1"/>
  <c r="N140" i="6"/>
  <c r="P140" i="6" s="1"/>
  <c r="N257" i="6"/>
  <c r="N232" i="6"/>
  <c r="O232" i="6" s="1"/>
  <c r="N111" i="6"/>
  <c r="P111" i="6" s="1"/>
  <c r="N47" i="6"/>
  <c r="P47" i="6" s="1"/>
  <c r="N244" i="6"/>
  <c r="P244" i="6" s="1"/>
  <c r="N158" i="6"/>
  <c r="P158" i="6" s="1"/>
  <c r="N124" i="6"/>
  <c r="P124" i="6" s="1"/>
  <c r="N185" i="6"/>
  <c r="P185" i="6" s="1"/>
  <c r="N222" i="6"/>
  <c r="O222" i="6" s="1"/>
  <c r="N105" i="6"/>
  <c r="O105" i="6" s="1"/>
  <c r="N147" i="6"/>
  <c r="P147" i="6" s="1"/>
  <c r="N46" i="6"/>
  <c r="O46" i="6" s="1"/>
  <c r="N51" i="6"/>
  <c r="P51" i="6" s="1"/>
  <c r="N55" i="6"/>
  <c r="P55" i="6" s="1"/>
  <c r="N53" i="6"/>
  <c r="O53" i="6" s="1"/>
  <c r="N56" i="6"/>
  <c r="P56" i="6" s="1"/>
  <c r="N14" i="6"/>
  <c r="P14" i="6" s="1"/>
  <c r="N95" i="6"/>
  <c r="P95" i="6" s="1"/>
  <c r="N250" i="6"/>
  <c r="O250" i="6" s="1"/>
  <c r="N155" i="6"/>
  <c r="O155" i="6" s="1"/>
  <c r="N176" i="6"/>
  <c r="O176" i="6" s="1"/>
  <c r="N45" i="6"/>
  <c r="O45" i="6" s="1"/>
  <c r="N59" i="6"/>
  <c r="P59" i="6" s="1"/>
  <c r="N48" i="6"/>
  <c r="O48" i="6" s="1"/>
  <c r="N27" i="6"/>
  <c r="P27" i="6" s="1"/>
  <c r="N110" i="6"/>
  <c r="O110" i="6" s="1"/>
  <c r="N225" i="6"/>
  <c r="P225" i="6" s="1"/>
  <c r="N166" i="6"/>
  <c r="P166" i="6" s="1"/>
  <c r="N197" i="6"/>
  <c r="O197" i="6" s="1"/>
  <c r="N245" i="6"/>
  <c r="O245" i="6" s="1"/>
  <c r="N130" i="6"/>
  <c r="O130" i="6" s="1"/>
  <c r="N224" i="6"/>
  <c r="P224" i="6" s="1"/>
  <c r="N217" i="6"/>
  <c r="P217" i="6" s="1"/>
  <c r="N193" i="6"/>
  <c r="O193" i="6" s="1"/>
  <c r="N231" i="6"/>
  <c r="O231" i="6" s="1"/>
  <c r="N219" i="6"/>
  <c r="O219" i="6" s="1"/>
  <c r="N233" i="6"/>
  <c r="P233" i="6" s="1"/>
  <c r="N220" i="6"/>
  <c r="O220" i="6" s="1"/>
  <c r="N84" i="6"/>
  <c r="O84" i="6" s="1"/>
  <c r="N29" i="6"/>
  <c r="P29" i="6" s="1"/>
  <c r="N90" i="6"/>
  <c r="O90" i="6" s="1"/>
  <c r="N221" i="6"/>
  <c r="O221" i="6" s="1"/>
  <c r="N82" i="6"/>
  <c r="O82" i="6" s="1"/>
  <c r="N89" i="6"/>
  <c r="P89" i="6" s="1"/>
  <c r="N182" i="6"/>
  <c r="P182" i="6" s="1"/>
  <c r="N192" i="6"/>
  <c r="P192" i="6" s="1"/>
  <c r="N179" i="6"/>
  <c r="O179" i="6" s="1"/>
  <c r="N117" i="6"/>
  <c r="P117" i="6" s="1"/>
  <c r="N85" i="6"/>
  <c r="P85" i="6" s="1"/>
  <c r="N162" i="6"/>
  <c r="P162" i="6" s="1"/>
  <c r="N120" i="6"/>
  <c r="O120" i="6" s="1"/>
  <c r="N30" i="6"/>
  <c r="P30" i="6" s="1"/>
  <c r="N230" i="6"/>
  <c r="P230" i="6" s="1"/>
  <c r="N113" i="6"/>
  <c r="O113" i="6" s="1"/>
  <c r="N234" i="6"/>
  <c r="O234" i="6" s="1"/>
  <c r="N195" i="6"/>
  <c r="P195" i="6" s="1"/>
  <c r="N126" i="6"/>
  <c r="P126" i="6" s="1"/>
  <c r="N160" i="6"/>
  <c r="O160" i="6" s="1"/>
  <c r="N136" i="6"/>
  <c r="P136" i="6" s="1"/>
  <c r="N52" i="6"/>
  <c r="P52" i="6" s="1"/>
  <c r="N17" i="6"/>
  <c r="P17" i="6" s="1"/>
  <c r="N163" i="6"/>
  <c r="P163" i="6" s="1"/>
  <c r="N188" i="6"/>
  <c r="O188" i="6" s="1"/>
  <c r="N240" i="6"/>
  <c r="P240" i="6" s="1"/>
  <c r="N186" i="6"/>
  <c r="O186" i="6" s="1"/>
  <c r="N205" i="6"/>
  <c r="P205" i="6" s="1"/>
  <c r="N73" i="6"/>
  <c r="P73" i="6" s="1"/>
  <c r="N11" i="6"/>
  <c r="O11" i="6" s="1"/>
  <c r="N50" i="6"/>
  <c r="O50" i="6" s="1"/>
  <c r="N64" i="6"/>
  <c r="O64" i="6" s="1"/>
  <c r="N79" i="6"/>
  <c r="P79" i="6" s="1"/>
  <c r="N171" i="6"/>
  <c r="N177" i="6"/>
  <c r="N258" i="6"/>
  <c r="N151" i="6"/>
  <c r="O157" i="6"/>
  <c r="P157" i="6"/>
  <c r="O201" i="6"/>
  <c r="P201" i="6"/>
  <c r="O256" i="6"/>
  <c r="P256" i="6"/>
  <c r="N93" i="6"/>
  <c r="N102" i="6"/>
  <c r="N191" i="6"/>
  <c r="N21" i="6"/>
  <c r="O21" i="6" s="1"/>
  <c r="N80" i="6"/>
  <c r="P80" i="6" s="1"/>
  <c r="N204" i="6"/>
  <c r="N137" i="6"/>
  <c r="N235" i="6"/>
  <c r="O112" i="6"/>
  <c r="P112" i="6"/>
  <c r="N228" i="6"/>
  <c r="N106" i="6"/>
  <c r="N164" i="6"/>
  <c r="N242" i="6"/>
  <c r="N236" i="6"/>
  <c r="N141" i="6"/>
  <c r="N189" i="6"/>
  <c r="N243" i="6"/>
  <c r="N114" i="6"/>
  <c r="N156" i="6"/>
  <c r="N183" i="6"/>
  <c r="N87" i="6"/>
  <c r="N262" i="6"/>
  <c r="N167" i="6"/>
  <c r="N261" i="6"/>
  <c r="N152" i="6"/>
  <c r="N184" i="6"/>
  <c r="N260" i="6"/>
  <c r="N248" i="6"/>
  <c r="N127" i="6"/>
  <c r="N206" i="6"/>
  <c r="N131" i="6"/>
  <c r="N139" i="6"/>
  <c r="O115" i="6"/>
  <c r="O216" i="6"/>
  <c r="N227" i="6"/>
  <c r="N253" i="6"/>
  <c r="N100" i="6"/>
  <c r="N104" i="6"/>
  <c r="N92" i="6"/>
  <c r="N241" i="6"/>
  <c r="N180" i="6"/>
  <c r="N173" i="6"/>
  <c r="N218" i="6"/>
  <c r="N145" i="6"/>
  <c r="N214" i="6"/>
  <c r="N138" i="6"/>
  <c r="N128" i="6"/>
  <c r="N254" i="6"/>
  <c r="N209" i="6"/>
  <c r="N247" i="6"/>
  <c r="N121" i="6"/>
  <c r="N249" i="6"/>
  <c r="N196" i="6"/>
  <c r="N154" i="6"/>
  <c r="N142" i="6"/>
  <c r="N169" i="6"/>
  <c r="N43" i="6"/>
  <c r="P43" i="6" s="1"/>
  <c r="N39" i="6"/>
  <c r="P39" i="6" s="1"/>
  <c r="N25" i="6"/>
  <c r="P25" i="6" s="1"/>
  <c r="N94" i="6"/>
  <c r="N144" i="6"/>
  <c r="N101" i="6"/>
  <c r="N246" i="6"/>
  <c r="N168" i="6"/>
  <c r="N211" i="6"/>
  <c r="N65" i="6"/>
  <c r="O65" i="6" s="1"/>
  <c r="N132" i="6"/>
  <c r="N60" i="6"/>
  <c r="P60" i="6" s="1"/>
  <c r="N199" i="6"/>
  <c r="N215" i="6"/>
  <c r="N134" i="6"/>
  <c r="N103" i="6"/>
  <c r="N153" i="6"/>
  <c r="N116" i="6"/>
  <c r="N264" i="6"/>
  <c r="N202" i="6"/>
  <c r="N88" i="6"/>
  <c r="N259" i="6"/>
  <c r="N143" i="6"/>
  <c r="N129" i="6"/>
  <c r="N20" i="6"/>
  <c r="P20" i="6" s="1"/>
  <c r="N23" i="6"/>
  <c r="P23" i="6" s="1"/>
  <c r="N67" i="6"/>
  <c r="O67" i="6" s="1"/>
  <c r="N212" i="6"/>
  <c r="N238" i="6"/>
  <c r="N198" i="6"/>
  <c r="N98" i="6"/>
  <c r="N125" i="6"/>
  <c r="N178" i="6"/>
  <c r="N194" i="6"/>
  <c r="N172" i="6"/>
  <c r="N133" i="6"/>
  <c r="N118" i="6"/>
  <c r="O257" i="6"/>
  <c r="P257" i="6"/>
  <c r="N99" i="6"/>
  <c r="N107" i="6"/>
  <c r="N159" i="6"/>
  <c r="N165" i="6"/>
  <c r="N208" i="6"/>
  <c r="N76" i="6"/>
  <c r="P76" i="6" s="1"/>
  <c r="N251" i="6"/>
  <c r="N91" i="6"/>
  <c r="N108" i="6"/>
  <c r="N146" i="6"/>
  <c r="N207" i="6"/>
  <c r="N181" i="6"/>
  <c r="N237" i="6"/>
  <c r="N75" i="6"/>
  <c r="O75" i="6" s="1"/>
  <c r="N149" i="6"/>
  <c r="N150" i="6"/>
  <c r="N255" i="6"/>
  <c r="N170" i="6"/>
  <c r="N210" i="6"/>
  <c r="N37" i="6"/>
  <c r="P37" i="6" s="1"/>
  <c r="N42" i="6"/>
  <c r="O42" i="6" s="1"/>
  <c r="N97" i="6"/>
  <c r="N119" i="6"/>
  <c r="N203" i="6"/>
  <c r="N175" i="6"/>
  <c r="N263" i="6"/>
  <c r="N61" i="6"/>
  <c r="N66" i="6"/>
  <c r="N77" i="6"/>
  <c r="N58" i="6"/>
  <c r="N78" i="6"/>
  <c r="N63" i="6"/>
  <c r="N71" i="6"/>
  <c r="N74" i="6"/>
  <c r="N69" i="6"/>
  <c r="N62" i="6"/>
  <c r="N72" i="6"/>
  <c r="N68" i="6"/>
  <c r="N81" i="6"/>
  <c r="N40" i="6"/>
  <c r="P40" i="6" s="1"/>
  <c r="N54" i="6"/>
  <c r="P54" i="6" s="1"/>
  <c r="N33" i="6"/>
  <c r="P33" i="6" s="1"/>
  <c r="N12" i="6"/>
  <c r="O12" i="6" s="1"/>
  <c r="N8" i="6"/>
  <c r="P8" i="6" s="1"/>
  <c r="N49" i="6"/>
  <c r="P49" i="6" s="1"/>
  <c r="N15" i="6"/>
  <c r="O15" i="6" s="1"/>
  <c r="N24" i="6"/>
  <c r="P24" i="6" s="1"/>
  <c r="N6" i="6"/>
  <c r="P6" i="6" s="1"/>
  <c r="N19" i="6"/>
  <c r="O19" i="6" s="1"/>
  <c r="N28" i="6"/>
  <c r="O28" i="6" s="1"/>
  <c r="N9" i="6"/>
  <c r="P9" i="6" s="1"/>
  <c r="N22" i="6"/>
  <c r="P22" i="6" s="1"/>
  <c r="N36" i="6"/>
  <c r="N35" i="6"/>
  <c r="N32" i="6"/>
  <c r="N16" i="6"/>
  <c r="O29" i="6"/>
  <c r="N38" i="6"/>
  <c r="N41" i="6"/>
  <c r="N10" i="6"/>
  <c r="O56" i="6"/>
  <c r="N7" i="6"/>
  <c r="N26" i="6"/>
  <c r="N13" i="6"/>
  <c r="N86" i="6" l="1"/>
  <c r="P155" i="6"/>
  <c r="O47" i="6"/>
  <c r="P223" i="6"/>
  <c r="Q223" i="6" s="1"/>
  <c r="R223" i="6" s="1"/>
  <c r="P222" i="6"/>
  <c r="O14" i="6"/>
  <c r="O123" i="6"/>
  <c r="O30" i="6"/>
  <c r="Q30" i="6" s="1"/>
  <c r="R30" i="6" s="1"/>
  <c r="P229" i="6"/>
  <c r="Q229" i="6" s="1"/>
  <c r="R229" i="6" s="1"/>
  <c r="O185" i="6"/>
  <c r="O140" i="6"/>
  <c r="Q140" i="6" s="1"/>
  <c r="R140" i="6" s="1"/>
  <c r="P179" i="6"/>
  <c r="Q179" i="6" s="1"/>
  <c r="R179" i="6" s="1"/>
  <c r="P105" i="6"/>
  <c r="Q105" i="6" s="1"/>
  <c r="R105" i="6" s="1"/>
  <c r="P84" i="6"/>
  <c r="P188" i="6"/>
  <c r="Q188" i="6" s="1"/>
  <c r="R188" i="6" s="1"/>
  <c r="O225" i="6"/>
  <c r="Q225" i="6" s="1"/>
  <c r="R225" i="6" s="1"/>
  <c r="O111" i="6"/>
  <c r="Q111" i="6" s="1"/>
  <c r="R111" i="6" s="1"/>
  <c r="O117" i="6"/>
  <c r="Q117" i="6" s="1"/>
  <c r="R117" i="6" s="1"/>
  <c r="P53" i="6"/>
  <c r="P120" i="6"/>
  <c r="Q120" i="6" s="1"/>
  <c r="R120" i="6" s="1"/>
  <c r="O244" i="6"/>
  <c r="O124" i="6"/>
  <c r="Q124" i="6" s="1"/>
  <c r="R124" i="6" s="1"/>
  <c r="O95" i="6"/>
  <c r="O162" i="6"/>
  <c r="Q162" i="6" s="1"/>
  <c r="R162" i="6" s="1"/>
  <c r="O55" i="6"/>
  <c r="Q55" i="6" s="1"/>
  <c r="R55" i="6" s="1"/>
  <c r="O158" i="6"/>
  <c r="Q158" i="6" s="1"/>
  <c r="R158" i="6" s="1"/>
  <c r="O205" i="6"/>
  <c r="Q205" i="6" s="1"/>
  <c r="R205" i="6" s="1"/>
  <c r="P220" i="6"/>
  <c r="Q220" i="6" s="1"/>
  <c r="R220" i="6" s="1"/>
  <c r="P250" i="6"/>
  <c r="Q250" i="6" s="1"/>
  <c r="R250" i="6" s="1"/>
  <c r="P245" i="6"/>
  <c r="Q245" i="6" s="1"/>
  <c r="R245" i="6" s="1"/>
  <c r="P197" i="6"/>
  <c r="Q197" i="6" s="1"/>
  <c r="R197" i="6" s="1"/>
  <c r="P90" i="6"/>
  <c r="Q90" i="6" s="1"/>
  <c r="R90" i="6" s="1"/>
  <c r="P232" i="6"/>
  <c r="Q232" i="6" s="1"/>
  <c r="R232" i="6" s="1"/>
  <c r="O79" i="6"/>
  <c r="Q79" i="6" s="1"/>
  <c r="R79" i="6" s="1"/>
  <c r="O147" i="6"/>
  <c r="Q147" i="6" s="1"/>
  <c r="R147" i="6" s="1"/>
  <c r="Q201" i="6"/>
  <c r="R201" i="6" s="1"/>
  <c r="O51" i="6"/>
  <c r="P46" i="6"/>
  <c r="Q46" i="6" s="1"/>
  <c r="R46" i="6" s="1"/>
  <c r="O27" i="6"/>
  <c r="Q27" i="6" s="1"/>
  <c r="R27" i="6" s="1"/>
  <c r="P82" i="6"/>
  <c r="Q82" i="6" s="1"/>
  <c r="R82" i="6" s="1"/>
  <c r="Q112" i="6"/>
  <c r="R112" i="6" s="1"/>
  <c r="P113" i="6"/>
  <c r="Q113" i="6" s="1"/>
  <c r="R113" i="6" s="1"/>
  <c r="P221" i="6"/>
  <c r="Q221" i="6" s="1"/>
  <c r="R221" i="6" s="1"/>
  <c r="O163" i="6"/>
  <c r="Q163" i="6" s="1"/>
  <c r="R163" i="6" s="1"/>
  <c r="O230" i="6"/>
  <c r="Q230" i="6" s="1"/>
  <c r="R230" i="6" s="1"/>
  <c r="O195" i="6"/>
  <c r="Q195" i="6" s="1"/>
  <c r="R195" i="6" s="1"/>
  <c r="O224" i="6"/>
  <c r="Q224" i="6" s="1"/>
  <c r="R224" i="6" s="1"/>
  <c r="P130" i="6"/>
  <c r="Q130" i="6" s="1"/>
  <c r="R130" i="6" s="1"/>
  <c r="O73" i="6"/>
  <c r="Q73" i="6" s="1"/>
  <c r="R73" i="6" s="1"/>
  <c r="O166" i="6"/>
  <c r="P110" i="6"/>
  <c r="Q110" i="6" s="1"/>
  <c r="R110" i="6" s="1"/>
  <c r="Q115" i="6"/>
  <c r="R115" i="6" s="1"/>
  <c r="O217" i="6"/>
  <c r="Q217" i="6" s="1"/>
  <c r="R217" i="6" s="1"/>
  <c r="P176" i="6"/>
  <c r="Q176" i="6" s="1"/>
  <c r="R176" i="6" s="1"/>
  <c r="O182" i="6"/>
  <c r="Q182" i="6" s="1"/>
  <c r="R182" i="6" s="1"/>
  <c r="P45" i="6"/>
  <c r="Q45" i="6" s="1"/>
  <c r="R45" i="6" s="1"/>
  <c r="Q95" i="6"/>
  <c r="R95" i="6" s="1"/>
  <c r="O126" i="6"/>
  <c r="Q126" i="6" s="1"/>
  <c r="R126" i="6" s="1"/>
  <c r="Q185" i="6"/>
  <c r="R185" i="6" s="1"/>
  <c r="P75" i="6"/>
  <c r="Q75" i="6" s="1"/>
  <c r="R75" i="6" s="1"/>
  <c r="P64" i="6"/>
  <c r="Q64" i="6" s="1"/>
  <c r="R64" i="6" s="1"/>
  <c r="O37" i="6"/>
  <c r="Q37" i="6" s="1"/>
  <c r="R37" i="6" s="1"/>
  <c r="Q84" i="6"/>
  <c r="R84" i="6" s="1"/>
  <c r="P48" i="6"/>
  <c r="Q48" i="6" s="1"/>
  <c r="R48" i="6" s="1"/>
  <c r="P219" i="6"/>
  <c r="Q219" i="6" s="1"/>
  <c r="R219" i="6" s="1"/>
  <c r="O233" i="6"/>
  <c r="Q233" i="6" s="1"/>
  <c r="R233" i="6" s="1"/>
  <c r="O85" i="6"/>
  <c r="Q85" i="6" s="1"/>
  <c r="R85" i="6" s="1"/>
  <c r="O59" i="6"/>
  <c r="Q59" i="6" s="1"/>
  <c r="R59" i="6" s="1"/>
  <c r="P193" i="6"/>
  <c r="Q193" i="6" s="1"/>
  <c r="R193" i="6" s="1"/>
  <c r="P231" i="6"/>
  <c r="Q231" i="6" s="1"/>
  <c r="R231" i="6" s="1"/>
  <c r="O52" i="6"/>
  <c r="Q52" i="6" s="1"/>
  <c r="R52" i="6" s="1"/>
  <c r="P160" i="6"/>
  <c r="Q160" i="6" s="1"/>
  <c r="R160" i="6" s="1"/>
  <c r="O192" i="6"/>
  <c r="Q192" i="6" s="1"/>
  <c r="R192" i="6" s="1"/>
  <c r="O89" i="6"/>
  <c r="Q89" i="6" s="1"/>
  <c r="R89" i="6" s="1"/>
  <c r="Q222" i="6"/>
  <c r="R222" i="6" s="1"/>
  <c r="Q155" i="6"/>
  <c r="R155" i="6" s="1"/>
  <c r="P50" i="6"/>
  <c r="Q50" i="6" s="1"/>
  <c r="R50" i="6" s="1"/>
  <c r="Q216" i="6"/>
  <c r="R216" i="6" s="1"/>
  <c r="O80" i="6"/>
  <c r="Q80" i="6" s="1"/>
  <c r="R80" i="6" s="1"/>
  <c r="P11" i="6"/>
  <c r="Q11" i="6" s="1"/>
  <c r="R11" i="6" s="1"/>
  <c r="P186" i="6"/>
  <c r="Q186" i="6" s="1"/>
  <c r="R186" i="6" s="1"/>
  <c r="P21" i="6"/>
  <c r="Q21" i="6" s="1"/>
  <c r="R21" i="6" s="1"/>
  <c r="P65" i="6"/>
  <c r="Q65" i="6" s="1"/>
  <c r="R65" i="6" s="1"/>
  <c r="O240" i="6"/>
  <c r="Q240" i="6" s="1"/>
  <c r="R240" i="6" s="1"/>
  <c r="O17" i="6"/>
  <c r="Q17" i="6" s="1"/>
  <c r="R17" i="6" s="1"/>
  <c r="P234" i="6"/>
  <c r="Q234" i="6" s="1"/>
  <c r="R234" i="6" s="1"/>
  <c r="O136" i="6"/>
  <c r="Q136" i="6" s="1"/>
  <c r="R136" i="6" s="1"/>
  <c r="O25" i="6"/>
  <c r="Q25" i="6" s="1"/>
  <c r="R25" i="6" s="1"/>
  <c r="Q244" i="6"/>
  <c r="R244" i="6" s="1"/>
  <c r="O238" i="6"/>
  <c r="P238" i="6"/>
  <c r="O259" i="6"/>
  <c r="P259" i="6"/>
  <c r="O144" i="6"/>
  <c r="P144" i="6"/>
  <c r="O145" i="6"/>
  <c r="P145" i="6"/>
  <c r="P167" i="6"/>
  <c r="O167" i="6"/>
  <c r="P191" i="6"/>
  <c r="O191" i="6"/>
  <c r="P146" i="6"/>
  <c r="O146" i="6"/>
  <c r="O97" i="6"/>
  <c r="P97" i="6"/>
  <c r="P91" i="6"/>
  <c r="O91" i="6"/>
  <c r="P218" i="6"/>
  <c r="O218" i="6"/>
  <c r="P131" i="6"/>
  <c r="O131" i="6"/>
  <c r="Q257" i="6"/>
  <c r="R257" i="6" s="1"/>
  <c r="O173" i="6"/>
  <c r="P173" i="6"/>
  <c r="P183" i="6"/>
  <c r="O183" i="6"/>
  <c r="O202" i="6"/>
  <c r="P202" i="6"/>
  <c r="O156" i="6"/>
  <c r="P156" i="6"/>
  <c r="O235" i="6"/>
  <c r="P235" i="6"/>
  <c r="Q256" i="6"/>
  <c r="R256" i="6" s="1"/>
  <c r="O228" i="6"/>
  <c r="P228" i="6"/>
  <c r="P154" i="6"/>
  <c r="O154" i="6"/>
  <c r="P206" i="6"/>
  <c r="O206" i="6"/>
  <c r="O114" i="6"/>
  <c r="P114" i="6"/>
  <c r="O137" i="6"/>
  <c r="P137" i="6"/>
  <c r="P198" i="6"/>
  <c r="O198" i="6"/>
  <c r="P87" i="6"/>
  <c r="O87" i="6"/>
  <c r="P196" i="6"/>
  <c r="O196" i="6"/>
  <c r="P127" i="6"/>
  <c r="O127" i="6"/>
  <c r="O243" i="6"/>
  <c r="P243" i="6"/>
  <c r="O101" i="6"/>
  <c r="P101" i="6"/>
  <c r="O208" i="6"/>
  <c r="P208" i="6"/>
  <c r="P249" i="6"/>
  <c r="O249" i="6"/>
  <c r="P189" i="6"/>
  <c r="O189" i="6"/>
  <c r="P264" i="6"/>
  <c r="O264" i="6"/>
  <c r="O20" i="6"/>
  <c r="Q20" i="6" s="1"/>
  <c r="R20" i="6" s="1"/>
  <c r="O76" i="6"/>
  <c r="Q76" i="6" s="1"/>
  <c r="R76" i="6" s="1"/>
  <c r="O170" i="6"/>
  <c r="P170" i="6"/>
  <c r="P165" i="6"/>
  <c r="O165" i="6"/>
  <c r="P121" i="6"/>
  <c r="O121" i="6"/>
  <c r="P180" i="6"/>
  <c r="O180" i="6"/>
  <c r="O141" i="6"/>
  <c r="P141" i="6"/>
  <c r="P190" i="6"/>
  <c r="O190" i="6"/>
  <c r="O43" i="6"/>
  <c r="Q43" i="6" s="1"/>
  <c r="R43" i="6" s="1"/>
  <c r="O255" i="6"/>
  <c r="P255" i="6"/>
  <c r="O247" i="6"/>
  <c r="P247" i="6"/>
  <c r="O248" i="6"/>
  <c r="P248" i="6"/>
  <c r="P236" i="6"/>
  <c r="O236" i="6"/>
  <c r="O214" i="6"/>
  <c r="P214" i="6"/>
  <c r="P210" i="6"/>
  <c r="O210" i="6"/>
  <c r="P153" i="6"/>
  <c r="O153" i="6"/>
  <c r="P209" i="6"/>
  <c r="O209" i="6"/>
  <c r="O260" i="6"/>
  <c r="P260" i="6"/>
  <c r="O242" i="6"/>
  <c r="P242" i="6"/>
  <c r="Q157" i="6"/>
  <c r="R157" i="6" s="1"/>
  <c r="P116" i="6"/>
  <c r="O116" i="6"/>
  <c r="O118" i="6"/>
  <c r="P118" i="6"/>
  <c r="P103" i="6"/>
  <c r="O103" i="6"/>
  <c r="P184" i="6"/>
  <c r="O184" i="6"/>
  <c r="O151" i="6"/>
  <c r="P151" i="6"/>
  <c r="O102" i="6"/>
  <c r="P102" i="6"/>
  <c r="O134" i="6"/>
  <c r="P134" i="6"/>
  <c r="P241" i="6"/>
  <c r="O241" i="6"/>
  <c r="P152" i="6"/>
  <c r="O152" i="6"/>
  <c r="Q166" i="6"/>
  <c r="R166" i="6" s="1"/>
  <c r="P258" i="6"/>
  <c r="O258" i="6"/>
  <c r="O119" i="6"/>
  <c r="P119" i="6"/>
  <c r="P99" i="6"/>
  <c r="O99" i="6"/>
  <c r="O139" i="6"/>
  <c r="P139" i="6"/>
  <c r="P142" i="6"/>
  <c r="O142" i="6"/>
  <c r="O261" i="6"/>
  <c r="P261" i="6"/>
  <c r="P177" i="6"/>
  <c r="O177" i="6"/>
  <c r="P143" i="6"/>
  <c r="O143" i="6"/>
  <c r="P150" i="6"/>
  <c r="O150" i="6"/>
  <c r="O149" i="6"/>
  <c r="P149" i="6"/>
  <c r="O199" i="6"/>
  <c r="P199" i="6"/>
  <c r="P104" i="6"/>
  <c r="O104" i="6"/>
  <c r="P164" i="6"/>
  <c r="O164" i="6"/>
  <c r="P204" i="6"/>
  <c r="O204" i="6"/>
  <c r="P171" i="6"/>
  <c r="O171" i="6"/>
  <c r="P94" i="6"/>
  <c r="O94" i="6"/>
  <c r="P108" i="6"/>
  <c r="O108" i="6"/>
  <c r="P42" i="6"/>
  <c r="Q42" i="6" s="1"/>
  <c r="R42" i="6" s="1"/>
  <c r="P100" i="6"/>
  <c r="O100" i="6"/>
  <c r="P86" i="6"/>
  <c r="O86" i="6"/>
  <c r="O215" i="6"/>
  <c r="P215" i="6"/>
  <c r="P67" i="6"/>
  <c r="Q67" i="6" s="1"/>
  <c r="R67" i="6" s="1"/>
  <c r="P172" i="6"/>
  <c r="O172" i="6"/>
  <c r="P132" i="6"/>
  <c r="O132" i="6"/>
  <c r="O253" i="6"/>
  <c r="P253" i="6"/>
  <c r="P169" i="6"/>
  <c r="O169" i="6"/>
  <c r="O251" i="6"/>
  <c r="P251" i="6"/>
  <c r="O254" i="6"/>
  <c r="P254" i="6"/>
  <c r="P128" i="6"/>
  <c r="O128" i="6"/>
  <c r="P227" i="6"/>
  <c r="O227" i="6"/>
  <c r="P106" i="6"/>
  <c r="O106" i="6"/>
  <c r="O88" i="6"/>
  <c r="P88" i="6"/>
  <c r="P212" i="6"/>
  <c r="O212" i="6"/>
  <c r="P92" i="6"/>
  <c r="O92" i="6"/>
  <c r="O39" i="6"/>
  <c r="Q39" i="6" s="1"/>
  <c r="R39" i="6" s="1"/>
  <c r="O60" i="6"/>
  <c r="Q60" i="6" s="1"/>
  <c r="R60" i="6" s="1"/>
  <c r="P237" i="6"/>
  <c r="O237" i="6"/>
  <c r="P178" i="6"/>
  <c r="O178" i="6"/>
  <c r="P129" i="6"/>
  <c r="O129" i="6"/>
  <c r="O211" i="6"/>
  <c r="P211" i="6"/>
  <c r="O262" i="6"/>
  <c r="P262" i="6"/>
  <c r="O159" i="6"/>
  <c r="P159" i="6"/>
  <c r="O194" i="6"/>
  <c r="P194" i="6"/>
  <c r="P263" i="6"/>
  <c r="O263" i="6"/>
  <c r="P107" i="6"/>
  <c r="O107" i="6"/>
  <c r="P175" i="6"/>
  <c r="O175" i="6"/>
  <c r="O181" i="6"/>
  <c r="P181" i="6"/>
  <c r="P125" i="6"/>
  <c r="O125" i="6"/>
  <c r="O168" i="6"/>
  <c r="P168" i="6"/>
  <c r="O93" i="6"/>
  <c r="P93" i="6"/>
  <c r="O23" i="6"/>
  <c r="Q23" i="6" s="1"/>
  <c r="R23" i="6" s="1"/>
  <c r="P133" i="6"/>
  <c r="O133" i="6"/>
  <c r="O203" i="6"/>
  <c r="P203" i="6"/>
  <c r="P207" i="6"/>
  <c r="O207" i="6"/>
  <c r="P98" i="6"/>
  <c r="O98" i="6"/>
  <c r="O246" i="6"/>
  <c r="P246" i="6"/>
  <c r="P138" i="6"/>
  <c r="O138" i="6"/>
  <c r="Q123" i="6"/>
  <c r="R123" i="6" s="1"/>
  <c r="O63" i="6"/>
  <c r="P63" i="6"/>
  <c r="O81" i="6"/>
  <c r="P81" i="6"/>
  <c r="P71" i="6"/>
  <c r="O71" i="6"/>
  <c r="P58" i="6"/>
  <c r="O58" i="6"/>
  <c r="O40" i="6"/>
  <c r="Q40" i="6" s="1"/>
  <c r="R40" i="6" s="1"/>
  <c r="O77" i="6"/>
  <c r="P77" i="6"/>
  <c r="P74" i="6"/>
  <c r="O74" i="6"/>
  <c r="O78" i="6"/>
  <c r="P78" i="6"/>
  <c r="P68" i="6"/>
  <c r="O68" i="6"/>
  <c r="P62" i="6"/>
  <c r="O62" i="6"/>
  <c r="O61" i="6"/>
  <c r="P61" i="6"/>
  <c r="O72" i="6"/>
  <c r="P72" i="6"/>
  <c r="O66" i="6"/>
  <c r="P66" i="6"/>
  <c r="P69" i="6"/>
  <c r="O69" i="6"/>
  <c r="P12" i="6"/>
  <c r="Q12" i="6" s="1"/>
  <c r="R12" i="6" s="1"/>
  <c r="Q56" i="6"/>
  <c r="R56" i="6" s="1"/>
  <c r="O54" i="6"/>
  <c r="Q54" i="6" s="1"/>
  <c r="R54" i="6" s="1"/>
  <c r="O49" i="6"/>
  <c r="Q49" i="6" s="1"/>
  <c r="R49" i="6" s="1"/>
  <c r="Q47" i="6"/>
  <c r="R47" i="6" s="1"/>
  <c r="O33" i="6"/>
  <c r="Q33" i="6" s="1"/>
  <c r="R33" i="6" s="1"/>
  <c r="O24" i="6"/>
  <c r="Q24" i="6" s="1"/>
  <c r="R24" i="6" s="1"/>
  <c r="P15" i="6"/>
  <c r="Q15" i="6" s="1"/>
  <c r="R15" i="6" s="1"/>
  <c r="O8" i="6"/>
  <c r="Q8" i="6" s="1"/>
  <c r="R8" i="6" s="1"/>
  <c r="O22" i="6"/>
  <c r="Q22" i="6" s="1"/>
  <c r="R22" i="6" s="1"/>
  <c r="P19" i="6"/>
  <c r="Q19" i="6" s="1"/>
  <c r="R19" i="6" s="1"/>
  <c r="P28" i="6"/>
  <c r="Q28" i="6" s="1"/>
  <c r="R28" i="6" s="1"/>
  <c r="Q51" i="6"/>
  <c r="R51" i="6" s="1"/>
  <c r="O6" i="6"/>
  <c r="Q6" i="6" s="1"/>
  <c r="R6" i="6" s="1"/>
  <c r="Q29" i="6"/>
  <c r="R29" i="6" s="1"/>
  <c r="Q14" i="6"/>
  <c r="R14" i="6" s="1"/>
  <c r="Q53" i="6"/>
  <c r="R53" i="6" s="1"/>
  <c r="O9" i="6"/>
  <c r="Q9" i="6" s="1"/>
  <c r="R9" i="6" s="1"/>
  <c r="P36" i="6"/>
  <c r="O36" i="6"/>
  <c r="P16" i="6"/>
  <c r="O16" i="6"/>
  <c r="P32" i="6"/>
  <c r="O32" i="6"/>
  <c r="P26" i="6"/>
  <c r="O26" i="6"/>
  <c r="P7" i="6"/>
  <c r="O7" i="6"/>
  <c r="P41" i="6"/>
  <c r="O41" i="6"/>
  <c r="P35" i="6"/>
  <c r="O35" i="6"/>
  <c r="P34" i="6"/>
  <c r="O34" i="6"/>
  <c r="P10" i="6"/>
  <c r="O10" i="6"/>
  <c r="P38" i="6"/>
  <c r="O38" i="6"/>
  <c r="P13" i="6"/>
  <c r="O13" i="6"/>
  <c r="Q198" i="6" l="1"/>
  <c r="R198" i="6" s="1"/>
  <c r="Q183" i="6"/>
  <c r="R183" i="6" s="1"/>
  <c r="Q172" i="6"/>
  <c r="R172" i="6" s="1"/>
  <c r="Q264" i="6"/>
  <c r="R264" i="6" s="1"/>
  <c r="Q101" i="6"/>
  <c r="Q107" i="6"/>
  <c r="R107" i="6" s="1"/>
  <c r="Q154" i="6"/>
  <c r="R154" i="6" s="1"/>
  <c r="Q87" i="6"/>
  <c r="R87" i="6" s="1"/>
  <c r="Q88" i="6"/>
  <c r="R88" i="6" s="1"/>
  <c r="Q227" i="6"/>
  <c r="R227" i="6" s="1"/>
  <c r="Q104" i="6"/>
  <c r="R104" i="6" s="1"/>
  <c r="Q199" i="6"/>
  <c r="R199" i="6" s="1"/>
  <c r="Q133" i="6"/>
  <c r="R133" i="6" s="1"/>
  <c r="Q62" i="6"/>
  <c r="R62" i="6" s="1"/>
  <c r="Q171" i="6"/>
  <c r="R171" i="6" s="1"/>
  <c r="Q129" i="6"/>
  <c r="R129" i="6" s="1"/>
  <c r="Q169" i="6"/>
  <c r="R169" i="6" s="1"/>
  <c r="Q236" i="6"/>
  <c r="R236" i="6" s="1"/>
  <c r="Q71" i="6"/>
  <c r="R71" i="6" s="1"/>
  <c r="Q177" i="6"/>
  <c r="R177" i="6" s="1"/>
  <c r="Q258" i="6"/>
  <c r="R258" i="6" s="1"/>
  <c r="Q131" i="6"/>
  <c r="R131" i="6" s="1"/>
  <c r="Q16" i="6"/>
  <c r="R16" i="6" s="1"/>
  <c r="Q156" i="6"/>
  <c r="R156" i="6" s="1"/>
  <c r="Q142" i="6"/>
  <c r="R142" i="6" s="1"/>
  <c r="Q103" i="6"/>
  <c r="R103" i="6" s="1"/>
  <c r="Q121" i="6"/>
  <c r="R121" i="6" s="1"/>
  <c r="Q175" i="6"/>
  <c r="R175" i="6" s="1"/>
  <c r="Q114" i="6"/>
  <c r="R114" i="6" s="1"/>
  <c r="Q128" i="6"/>
  <c r="R128" i="6" s="1"/>
  <c r="Q209" i="6"/>
  <c r="R209" i="6" s="1"/>
  <c r="Q189" i="6"/>
  <c r="R189" i="6" s="1"/>
  <c r="Q181" i="6"/>
  <c r="R181" i="6" s="1"/>
  <c r="Q241" i="6"/>
  <c r="R241" i="6" s="1"/>
  <c r="Q196" i="6"/>
  <c r="R196" i="6" s="1"/>
  <c r="Q211" i="6"/>
  <c r="R211" i="6" s="1"/>
  <c r="Q251" i="6"/>
  <c r="R251" i="6" s="1"/>
  <c r="Q204" i="6"/>
  <c r="R204" i="6" s="1"/>
  <c r="Q116" i="6"/>
  <c r="R116" i="6" s="1"/>
  <c r="Q210" i="6"/>
  <c r="R210" i="6" s="1"/>
  <c r="Q98" i="6"/>
  <c r="R98" i="6" s="1"/>
  <c r="Q164" i="6"/>
  <c r="R164" i="6" s="1"/>
  <c r="Q143" i="6"/>
  <c r="R143" i="6" s="1"/>
  <c r="Q119" i="6"/>
  <c r="R119" i="6" s="1"/>
  <c r="Q100" i="6"/>
  <c r="R100" i="6" s="1"/>
  <c r="Q137" i="6"/>
  <c r="R137" i="6" s="1"/>
  <c r="Q74" i="6"/>
  <c r="R74" i="6" s="1"/>
  <c r="Q125" i="6"/>
  <c r="R125" i="6" s="1"/>
  <c r="Q194" i="6"/>
  <c r="R194" i="6" s="1"/>
  <c r="Q108" i="6"/>
  <c r="R108" i="6" s="1"/>
  <c r="Q150" i="6"/>
  <c r="R150" i="6" s="1"/>
  <c r="Q99" i="6"/>
  <c r="R99" i="6" s="1"/>
  <c r="Q165" i="6"/>
  <c r="R165" i="6" s="1"/>
  <c r="Q138" i="6"/>
  <c r="R138" i="6" s="1"/>
  <c r="Q92" i="6"/>
  <c r="R92" i="6" s="1"/>
  <c r="Q151" i="6"/>
  <c r="R151" i="6" s="1"/>
  <c r="Q146" i="6"/>
  <c r="R146" i="6" s="1"/>
  <c r="Q159" i="6"/>
  <c r="R159" i="6" s="1"/>
  <c r="Q68" i="6"/>
  <c r="R68" i="6" s="1"/>
  <c r="Q212" i="6"/>
  <c r="R212" i="6" s="1"/>
  <c r="Q152" i="6"/>
  <c r="R152" i="6" s="1"/>
  <c r="Q127" i="6"/>
  <c r="R127" i="6" s="1"/>
  <c r="Q191" i="6"/>
  <c r="R191" i="6" s="1"/>
  <c r="Q263" i="6"/>
  <c r="R263" i="6" s="1"/>
  <c r="Q139" i="6"/>
  <c r="R139" i="6" s="1"/>
  <c r="Q153" i="6"/>
  <c r="R153" i="6" s="1"/>
  <c r="Q167" i="6"/>
  <c r="R167" i="6" s="1"/>
  <c r="Q207" i="6"/>
  <c r="R207" i="6" s="1"/>
  <c r="Q178" i="6"/>
  <c r="R178" i="6" s="1"/>
  <c r="Q106" i="6"/>
  <c r="R106" i="6" s="1"/>
  <c r="Q218" i="6"/>
  <c r="R218" i="6" s="1"/>
  <c r="Q238" i="6"/>
  <c r="R238" i="6" s="1"/>
  <c r="Q184" i="6"/>
  <c r="R184" i="6" s="1"/>
  <c r="Q247" i="6"/>
  <c r="R247" i="6" s="1"/>
  <c r="Q249" i="6"/>
  <c r="R249" i="6" s="1"/>
  <c r="Q91" i="6"/>
  <c r="R91" i="6" s="1"/>
  <c r="Q242" i="6"/>
  <c r="R242" i="6" s="1"/>
  <c r="Q141" i="6"/>
  <c r="R141" i="6" s="1"/>
  <c r="Q246" i="6"/>
  <c r="R246" i="6" s="1"/>
  <c r="Q180" i="6"/>
  <c r="R180" i="6" s="1"/>
  <c r="Q149" i="6"/>
  <c r="R149" i="6" s="1"/>
  <c r="Q78" i="6"/>
  <c r="R78" i="6" s="1"/>
  <c r="Q86" i="6"/>
  <c r="R86" i="6" s="1"/>
  <c r="Q145" i="6"/>
  <c r="R145" i="6" s="1"/>
  <c r="Q58" i="6"/>
  <c r="R58" i="6" s="1"/>
  <c r="Q202" i="6"/>
  <c r="R202" i="6" s="1"/>
  <c r="Q262" i="6"/>
  <c r="R262" i="6" s="1"/>
  <c r="Q243" i="6"/>
  <c r="R243" i="6" s="1"/>
  <c r="Q97" i="6"/>
  <c r="R97" i="6" s="1"/>
  <c r="Q134" i="6"/>
  <c r="R134" i="6" s="1"/>
  <c r="Q228" i="6"/>
  <c r="R228" i="6" s="1"/>
  <c r="Q93" i="6"/>
  <c r="R93" i="6" s="1"/>
  <c r="Q102" i="6"/>
  <c r="R102" i="6" s="1"/>
  <c r="Q235" i="6"/>
  <c r="R235" i="6" s="1"/>
  <c r="Q237" i="6"/>
  <c r="R237" i="6" s="1"/>
  <c r="Q261" i="6"/>
  <c r="R261" i="6" s="1"/>
  <c r="Q260" i="6"/>
  <c r="R260" i="6" s="1"/>
  <c r="Q94" i="6"/>
  <c r="R94" i="6" s="1"/>
  <c r="Q170" i="6"/>
  <c r="R170" i="6" s="1"/>
  <c r="Q253" i="6"/>
  <c r="R253" i="6" s="1"/>
  <c r="Q132" i="6"/>
  <c r="R132" i="6" s="1"/>
  <c r="Q214" i="6"/>
  <c r="R214" i="6" s="1"/>
  <c r="Q144" i="6"/>
  <c r="R144" i="6" s="1"/>
  <c r="Q248" i="6"/>
  <c r="R248" i="6" s="1"/>
  <c r="Q118" i="6"/>
  <c r="R118" i="6" s="1"/>
  <c r="Q259" i="6"/>
  <c r="R259" i="6" s="1"/>
  <c r="Q203" i="6"/>
  <c r="R203" i="6" s="1"/>
  <c r="Q215" i="6"/>
  <c r="R215" i="6" s="1"/>
  <c r="Q173" i="6"/>
  <c r="R173" i="6" s="1"/>
  <c r="Q81" i="6"/>
  <c r="R81" i="6" s="1"/>
  <c r="Q255" i="6"/>
  <c r="R255" i="6" s="1"/>
  <c r="R101" i="6"/>
  <c r="Q254" i="6"/>
  <c r="R254" i="6" s="1"/>
  <c r="Q168" i="6"/>
  <c r="R168" i="6" s="1"/>
  <c r="Q69" i="6"/>
  <c r="R69" i="6" s="1"/>
  <c r="Q190" i="6"/>
  <c r="R190" i="6" s="1"/>
  <c r="Q208" i="6"/>
  <c r="R208" i="6" s="1"/>
  <c r="Q206" i="6"/>
  <c r="R206" i="6" s="1"/>
  <c r="S44" i="6"/>
  <c r="U44" i="6" s="1"/>
  <c r="Q77" i="6"/>
  <c r="R77" i="6" s="1"/>
  <c r="Q61" i="6"/>
  <c r="R61" i="6" s="1"/>
  <c r="Q66" i="6"/>
  <c r="R66" i="6" s="1"/>
  <c r="Q72" i="6"/>
  <c r="R72" i="6" s="1"/>
  <c r="Q63" i="6"/>
  <c r="R63" i="6" s="1"/>
  <c r="Q41" i="6"/>
  <c r="R41" i="6" s="1"/>
  <c r="Q36" i="6"/>
  <c r="R36" i="6" s="1"/>
  <c r="Q35" i="6"/>
  <c r="R35" i="6" s="1"/>
  <c r="Q34" i="6"/>
  <c r="R34" i="6" s="1"/>
  <c r="Q10" i="6"/>
  <c r="R10" i="6" s="1"/>
  <c r="Q7" i="6"/>
  <c r="R7" i="6" s="1"/>
  <c r="Q13" i="6"/>
  <c r="Q32" i="6"/>
  <c r="R32" i="6" s="1"/>
  <c r="Q38" i="6"/>
  <c r="R38" i="6" s="1"/>
  <c r="Q26" i="6"/>
  <c r="S174" i="6" l="1"/>
  <c r="U174" i="6" s="1"/>
  <c r="S83" i="6"/>
  <c r="U83" i="6" s="1"/>
  <c r="S109" i="6"/>
  <c r="U109" i="6" s="1"/>
  <c r="S239" i="6"/>
  <c r="U239" i="6" s="1"/>
  <c r="S187" i="6"/>
  <c r="U187" i="6" s="1"/>
  <c r="S148" i="6"/>
  <c r="U148" i="6" s="1"/>
  <c r="S161" i="6"/>
  <c r="U161" i="6" s="1"/>
  <c r="S213" i="6"/>
  <c r="U213" i="6" s="1"/>
  <c r="S135" i="6"/>
  <c r="U135" i="6" s="1"/>
  <c r="S57" i="6"/>
  <c r="U57" i="6" s="1"/>
  <c r="S200" i="6"/>
  <c r="U200" i="6" s="1"/>
  <c r="S70" i="6"/>
  <c r="U70" i="6" s="1"/>
  <c r="S252" i="6"/>
  <c r="U252" i="6" s="1"/>
  <c r="S226" i="6"/>
  <c r="U226" i="6" s="1"/>
  <c r="S122" i="6"/>
  <c r="U122" i="6" s="1"/>
  <c r="S31" i="6"/>
  <c r="U31" i="6" s="1"/>
  <c r="S96" i="6"/>
  <c r="U96" i="6" s="1"/>
  <c r="R13" i="6"/>
  <c r="S5" i="6" s="1"/>
  <c r="U5" i="6" s="1"/>
  <c r="R26" i="6"/>
  <c r="S18" i="6" s="1"/>
  <c r="U1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tc={3788E499-6229-45B0-A3ED-4B24EF3FABB3}</author>
    <author>Unknown Author</author>
  </authors>
  <commentList>
    <comment ref="J10" authorId="0" shapeId="0" xr:uid="{3788E499-6229-45B0-A3ED-4B24EF3FABB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</text>
    </comment>
    <comment ref="C14" authorId="1" shapeId="0" xr:uid="{00000000-0006-0000-0000-000004000000}">
      <text>
        <r>
          <rPr>
            <sz val="10"/>
            <rFont val="Arial"/>
            <family val="2"/>
          </rPr>
          <t>13</t>
        </r>
        <r>
          <rPr>
            <sz val="10"/>
            <rFont val="Noto Sans CJK SC"/>
            <family val="2"/>
          </rPr>
          <t>차 가구에너지 패널조사에서</t>
        </r>
        <r>
          <rPr>
            <sz val="10"/>
            <rFont val="Arial"/>
            <family val="2"/>
          </rPr>
          <t>,
(</t>
        </r>
        <r>
          <rPr>
            <sz val="10"/>
            <rFont val="Noto Sans CJK SC"/>
            <family val="2"/>
          </rPr>
          <t xml:space="preserve">가스보일러 사용 가구의 연간 가스사용량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가스취사 사용 가구의 가스 사용량</t>
        </r>
        <r>
          <rPr>
            <sz val="10"/>
            <rFont val="Arial"/>
            <family val="2"/>
          </rPr>
          <t>)/</t>
        </r>
        <r>
          <rPr>
            <sz val="10"/>
            <rFont val="Noto Sans CJK SC"/>
            <family val="2"/>
          </rPr>
          <t>가스보일러 사용 가구의 연간 가스사용량</t>
        </r>
      </text>
    </comment>
    <comment ref="B41" authorId="1" shapeId="0" xr:uid="{00000000-0006-0000-00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</t>
        </r>
        <r>
          <rPr>
            <sz val="10"/>
            <rFont val="Noto Sans CJK SC"/>
            <family val="2"/>
          </rPr>
          <t xml:space="preserve">년 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월 기준으로 통일함</t>
        </r>
        <r>
          <rPr>
            <sz val="10"/>
            <rFont val="Arial"/>
            <family val="2"/>
          </rPr>
          <t>(1</t>
        </r>
        <r>
          <rPr>
            <sz val="10"/>
            <rFont val="Noto Sans CJK SC"/>
            <family val="2"/>
          </rPr>
          <t>월 난방비 입력하게 하므로</t>
        </r>
        <r>
          <rPr>
            <sz val="10"/>
            <rFont val="Arial"/>
            <family val="2"/>
          </rPr>
          <t>)</t>
        </r>
      </text>
    </comment>
    <comment ref="C41" authorId="1" shapeId="0" xr:uid="{00000000-0006-0000-0000-000005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D41" authorId="1" shapeId="0" xr:uid="{00000000-0006-0000-0000-000006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E41" authorId="1" shapeId="0" xr:uid="{00000000-0006-0000-0000-000007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</t>
        </r>
        <r>
          <rPr>
            <sz val="10"/>
            <rFont val="Noto Sans CJK SC"/>
            <family val="2"/>
          </rPr>
          <t>전체 주유소의 제품별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>)-</t>
        </r>
        <r>
          <rPr>
            <sz val="10"/>
            <rFont val="Noto Sans CJK SC"/>
            <family val="2"/>
          </rPr>
          <t>실내등유</t>
        </r>
      </text>
    </comment>
    <comment ref="F41" authorId="1" shapeId="0" xr:uid="{00000000-0006-0000-0000-000008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https://www.klpg.or.kr/html/dh/board04 (</t>
        </r>
        <r>
          <rPr>
            <sz val="10"/>
            <rFont val="Noto Sans CJK SC"/>
            <family val="2"/>
          </rPr>
          <t>프로판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가정용</t>
        </r>
        <r>
          <rPr>
            <sz val="10"/>
            <rFont val="Arial"/>
            <family val="2"/>
          </rPr>
          <t>)
Reply:
    https://www.opinet.co.kr/user/dopsravsel/DopSrAvselSelect.do (LPG</t>
        </r>
        <r>
          <rPr>
            <sz val="10"/>
            <rFont val="Noto Sans CJK SC"/>
            <family val="2"/>
          </rPr>
          <t>용기판매소의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 xml:space="preserve">) - </t>
        </r>
        <r>
          <rPr>
            <sz val="10"/>
            <rFont val="Noto Sans CJK SC"/>
            <family val="2"/>
          </rPr>
          <t>일반프로판</t>
        </r>
        <r>
          <rPr>
            <sz val="10"/>
            <rFont val="Arial"/>
            <family val="2"/>
          </rPr>
          <t>)</t>
        </r>
      </text>
    </comment>
    <comment ref="B87" authorId="1" shapeId="0" xr:uid="{00000000-0006-0000-0000-000002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Noto Sans CJK SC"/>
            <family val="2"/>
          </rPr>
          <t>제</t>
        </r>
        <r>
          <rPr>
            <sz val="10"/>
            <rFont val="Arial"/>
            <family val="2"/>
          </rPr>
          <t>8</t>
        </r>
        <r>
          <rPr>
            <sz val="10"/>
            <rFont val="Noto Sans CJK SC"/>
            <family val="2"/>
          </rPr>
          <t>차 열량환산기준</t>
        </r>
      </text>
    </comment>
    <comment ref="B90" authorId="1" shapeId="0" xr:uid="{00000000-0006-0000-0000-000003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[</t>
        </r>
        <r>
          <rPr>
            <sz val="10"/>
            <rFont val="Noto Sans CJK SC"/>
            <family val="2"/>
          </rPr>
          <t>스레드 댓글</t>
        </r>
        <r>
          <rPr>
            <sz val="10"/>
            <rFont val="Arial"/>
            <family val="2"/>
          </rPr>
          <t xml:space="preserve">]
</t>
        </r>
        <r>
          <rPr>
            <sz val="10"/>
            <rFont val="Noto Sans CJK SC"/>
            <family val="2"/>
          </rPr>
          <t xml:space="preserve">사용 중인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 xml:space="preserve">에서 이 스레드 댓글을 읽을 수 있지만 파일을 이후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>에서 열면 편집 내용이 모두 제거됩니다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>자세한 정보</t>
        </r>
        <r>
          <rPr>
            <sz val="10"/>
            <rFont val="Arial"/>
            <family val="2"/>
          </rPr>
          <t xml:space="preserve">: https://go.microsoft.com/fwlink/?linkid=870924.
</t>
        </r>
        <r>
          <rPr>
            <sz val="10"/>
            <rFont val="Noto Sans CJK SC"/>
            <family val="2"/>
          </rPr>
          <t>댓글</t>
        </r>
        <r>
          <rPr>
            <sz val="10"/>
            <rFont val="Arial"/>
            <family val="2"/>
          </rPr>
          <t>:
    13</t>
        </r>
        <r>
          <rPr>
            <sz val="10"/>
            <rFont val="Noto Sans CJK SC"/>
            <family val="2"/>
          </rPr>
          <t xml:space="preserve">차 가구에너지패널조사에서
지역별 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 xml:space="preserve">단독주택 도시가스 주난방 사용 가구 도시가스 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도시가스 취사사용량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>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<sst xmlns="http://schemas.openxmlformats.org/spreadsheetml/2006/main" count="1039" uniqueCount="475">
  <si>
    <t>INPUT</t>
  </si>
  <si>
    <t>입력1</t>
  </si>
  <si>
    <r>
      <rPr>
        <b/>
        <sz val="11"/>
        <color theme="1"/>
        <rFont val="Noto Sans CJK SC"/>
        <family val="2"/>
      </rPr>
      <t xml:space="preserve">전용 면적 </t>
    </r>
    <r>
      <rPr>
        <b/>
        <sz val="11"/>
        <color theme="1"/>
        <rFont val="맑은 고딕"/>
        <family val="3"/>
        <charset val="129"/>
      </rPr>
      <t>(</t>
    </r>
    <r>
      <rPr>
        <b/>
        <sz val="11"/>
        <color theme="1"/>
        <rFont val="Noto Sans CJK SC"/>
        <family val="2"/>
      </rPr>
      <t>평</t>
    </r>
    <r>
      <rPr>
        <b/>
        <sz val="11"/>
        <color theme="1"/>
        <rFont val="맑은 고딕"/>
        <family val="3"/>
        <charset val="129"/>
      </rPr>
      <t>)</t>
    </r>
  </si>
  <si>
    <r>
      <rPr>
        <sz val="11"/>
        <color rgb="FF9C5700"/>
        <rFont val="Noto Sans CJK SC"/>
        <family val="2"/>
      </rPr>
      <t>전용 면적</t>
    </r>
    <r>
      <rPr>
        <sz val="11"/>
        <color rgb="FF9C5700"/>
        <rFont val="맑은 고딕"/>
        <family val="3"/>
        <charset val="129"/>
      </rPr>
      <t>(</t>
    </r>
    <r>
      <rPr>
        <sz val="11"/>
        <color rgb="FF9C5700"/>
        <rFont val="Noto Sans CJK SC"/>
        <family val="2"/>
      </rPr>
      <t>평</t>
    </r>
    <r>
      <rPr>
        <sz val="11"/>
        <color rgb="FF9C5700"/>
        <rFont val="맑은 고딕"/>
        <family val="3"/>
        <charset val="129"/>
      </rPr>
      <t>) (</t>
    </r>
    <r>
      <rPr>
        <sz val="11"/>
        <color rgb="FF9C5700"/>
        <rFont val="Noto Sans CJK SC"/>
        <family val="2"/>
      </rPr>
      <t>선택</t>
    </r>
    <r>
      <rPr>
        <sz val="11"/>
        <color rgb="FF9C5700"/>
        <rFont val="맑은 고딕"/>
        <family val="3"/>
        <charset val="129"/>
      </rPr>
      <t>)</t>
    </r>
  </si>
  <si>
    <r>
      <rPr>
        <sz val="11"/>
        <color theme="1"/>
        <rFont val="Noto Sans CJK SC"/>
        <family val="2"/>
      </rPr>
      <t>히트펌프 열용량</t>
    </r>
    <r>
      <rPr>
        <sz val="11"/>
        <color theme="1"/>
        <rFont val="맑은 고딕"/>
        <family val="2"/>
        <charset val="129"/>
      </rPr>
      <t>(kW)</t>
    </r>
  </si>
  <si>
    <t>필요 공간</t>
  </si>
  <si>
    <t>입력2</t>
  </si>
  <si>
    <t>현재 난방기기</t>
  </si>
  <si>
    <t>난방기기(선택)</t>
  </si>
  <si>
    <t>기기 효율</t>
  </si>
  <si>
    <t>기기 온실가스 배출계수(tCO2eq/MWh)</t>
  </si>
  <si>
    <t>입력3</t>
  </si>
  <si>
    <t>취사기기</t>
  </si>
  <si>
    <t>취사기기(선택)</t>
  </si>
  <si>
    <t>전체 사용량 대비 난방 비중</t>
  </si>
  <si>
    <t>입력4</t>
  </si>
  <si>
    <t>난방요금</t>
  </si>
  <si>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</si>
  <si>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2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</si>
  <si>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3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</si>
  <si>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4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</si>
  <si>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5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</si>
  <si>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6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</si>
  <si>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7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</si>
  <si>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8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</si>
  <si>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9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</si>
  <si>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10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</si>
  <si>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</si>
  <si>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12</t>
    </r>
    <r>
      <rPr>
        <sz val="11"/>
        <color theme="1"/>
        <rFont val="Noto Sans CJK SC"/>
        <family val="2"/>
      </rPr>
      <t>월</t>
    </r>
  </si>
  <si>
    <t>계</t>
  </si>
  <si>
    <t>월별 난방요금(입력)</t>
  </si>
  <si>
    <t>지역</t>
  </si>
  <si>
    <t>경상남도</t>
  </si>
  <si>
    <t>거창군</t>
  </si>
  <si>
    <t>주) 1월만 입력하게 하고 월별 난방비중으로 추정</t>
  </si>
  <si>
    <t>월별 난방비중</t>
  </si>
  <si>
    <t>입력5</t>
  </si>
  <si>
    <t>전기요금</t>
  </si>
  <si>
    <t>월별 전기요금(입력)</t>
  </si>
  <si>
    <t>월별 전기요금 비중</t>
  </si>
  <si>
    <t>입력6</t>
  </si>
  <si>
    <t>태양광</t>
  </si>
  <si>
    <t>태양광 설치 유무(선택)</t>
  </si>
  <si>
    <t>유/무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</si>
  <si>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</si>
  <si>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</si>
  <si>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</si>
  <si>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</si>
  <si>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</si>
  <si>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</si>
  <si>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</si>
  <si>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</si>
  <si>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</si>
  <si>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</si>
  <si>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</si>
  <si>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LPG</t>
  </si>
  <si>
    <t>기본요금(원)</t>
  </si>
  <si>
    <t>사용요금(기존 단위)(가스: 원/MJ, 등유: 원/L, LPG: 원/kg)</t>
  </si>
  <si>
    <t>사용요금(원/KWh)</t>
  </si>
  <si>
    <r>
      <rPr>
        <sz val="11"/>
        <color theme="0"/>
        <rFont val="맑은 고딕"/>
        <family val="2"/>
        <charset val="129"/>
      </rPr>
      <t>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</si>
  <si>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2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</si>
  <si>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3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</si>
  <si>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4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</si>
  <si>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5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</si>
  <si>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6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</si>
  <si>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7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</si>
  <si>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8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</si>
  <si>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9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</si>
  <si>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10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</si>
  <si>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</si>
  <si>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12</t>
    </r>
    <r>
      <rPr>
        <sz val="11"/>
        <color theme="0"/>
        <rFont val="Noto Sans CJK SC"/>
        <family val="2"/>
      </rPr>
      <t>월</t>
    </r>
  </si>
  <si>
    <t>도시가스(컨덴싱)</t>
  </si>
  <si>
    <t>지역구분</t>
  </si>
  <si>
    <t>월별 COP</t>
  </si>
  <si>
    <t>전력 사용량</t>
  </si>
  <si>
    <r>
      <rPr>
        <sz val="11"/>
        <color theme="1"/>
        <rFont val="Noto Sans CJK SC"/>
        <family val="2"/>
      </rPr>
      <t xml:space="preserve">월별 </t>
    </r>
    <r>
      <rPr>
        <sz val="11"/>
        <color theme="1"/>
        <rFont val="맑은 고딕"/>
        <family val="2"/>
        <charset val="129"/>
      </rPr>
      <t>kWh</t>
    </r>
  </si>
  <si>
    <t>도시가스(컨덴싱)-&gt;HP</t>
  </si>
  <si>
    <t>도시가스(일반)-&gt;HP</t>
  </si>
  <si>
    <t>등유-&gt;HP</t>
  </si>
  <si>
    <t>LPG-&gt;HP</t>
  </si>
  <si>
    <t>결과2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</si>
  <si>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</si>
  <si>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</si>
  <si>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</si>
  <si>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</si>
  <si>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</si>
  <si>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</si>
  <si>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</si>
  <si>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</si>
  <si>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</si>
  <si>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구분</t>
  </si>
  <si>
    <t>전국</t>
  </si>
  <si>
    <t>월별 비중(합계=1)</t>
  </si>
  <si>
    <t>서울특별시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</si>
  <si>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</si>
  <si>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</si>
  <si>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</si>
  <si>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</si>
  <si>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</si>
  <si>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</si>
  <si>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</si>
  <si>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</si>
  <si>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</si>
  <si>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</si>
  <si>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</si>
  <si>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</si>
  <si>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</si>
  <si>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</si>
  <si>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</si>
  <si>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</si>
  <si>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</si>
  <si>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</si>
  <si>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</si>
  <si>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</si>
  <si>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</si>
  <si>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</si>
  <si>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</si>
  <si>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</si>
  <si>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</si>
  <si>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</si>
  <si>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</si>
  <si>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</si>
  <si>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</si>
  <si>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</si>
  <si>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</si>
  <si>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</si>
  <si>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</si>
  <si>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</si>
  <si>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</si>
  <si>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</si>
  <si>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</si>
  <si>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</si>
  <si>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</si>
  <si>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</si>
  <si>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</si>
  <si>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</si>
  <si>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</si>
  <si>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</si>
  <si>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</si>
  <si>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</si>
  <si>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</si>
  <si>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</si>
  <si>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</si>
  <si>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</si>
  <si>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</si>
  <si>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</si>
  <si>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</si>
  <si>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</si>
  <si>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</si>
  <si>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</si>
  <si>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</si>
  <si>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</si>
  <si>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</si>
  <si>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</si>
  <si>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</si>
  <si>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</si>
  <si>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</si>
  <si>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</si>
  <si>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</si>
  <si>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</si>
  <si>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</si>
  <si>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</si>
  <si>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</si>
  <si>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</si>
  <si>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</si>
  <si>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</si>
  <si>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</si>
  <si>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</si>
  <si>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</si>
  <si>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</si>
  <si>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</si>
  <si>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</si>
  <si>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</si>
  <si>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</si>
  <si>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</si>
  <si>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</si>
  <si>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</si>
  <si>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</si>
  <si>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</si>
  <si>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</si>
  <si>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</si>
  <si>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</si>
  <si>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</si>
  <si>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</si>
  <si>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</si>
  <si>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</si>
  <si>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</si>
  <si>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</si>
  <si>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</si>
  <si>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</si>
  <si>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</si>
  <si>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</si>
  <si>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</si>
  <si>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</si>
  <si>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</si>
  <si>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</si>
  <si>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</si>
  <si>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</si>
  <si>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</si>
  <si>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</si>
  <si>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</si>
  <si>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</si>
  <si>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</si>
  <si>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</si>
  <si>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</si>
  <si>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</si>
  <si>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</si>
  <si>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</si>
  <si>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</si>
  <si>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</si>
  <si>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</si>
  <si>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</si>
  <si>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</si>
  <si>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</si>
  <si>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</si>
  <si>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</si>
  <si>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</si>
  <si>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</si>
  <si>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</si>
  <si>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</si>
  <si>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</si>
  <si>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</si>
  <si>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</si>
  <si>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</si>
  <si>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</si>
  <si>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</si>
  <si>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</si>
  <si>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</si>
  <si>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</si>
  <si>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</si>
  <si>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</si>
  <si>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</si>
  <si>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</si>
  <si>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</si>
  <si>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</si>
  <si>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</si>
  <si>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</si>
  <si>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</si>
  <si>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</si>
  <si>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</si>
  <si>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</si>
  <si>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</si>
  <si>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</si>
  <si>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</si>
  <si>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</si>
  <si>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</si>
  <si>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</si>
  <si>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</si>
  <si>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</si>
  <si>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</si>
  <si>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</si>
  <si>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</si>
  <si>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</si>
  <si>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</si>
  <si>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</si>
  <si>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</si>
  <si>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</si>
  <si>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</si>
  <si>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</si>
  <si>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</si>
  <si>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</si>
  <si>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</si>
  <si>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</si>
  <si>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</si>
  <si>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</si>
  <si>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</si>
  <si>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</si>
  <si>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</si>
  <si>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</si>
  <si>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</si>
  <si>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</si>
  <si>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</si>
  <si>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</si>
  <si>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</si>
  <si>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</si>
  <si>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</si>
  <si>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</si>
  <si>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</si>
  <si>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</si>
  <si>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</si>
  <si>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</si>
  <si>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</si>
  <si>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</si>
  <si>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</si>
  <si>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</si>
  <si>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</si>
  <si>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</si>
  <si>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</si>
  <si>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</si>
  <si>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</si>
  <si>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</si>
  <si>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</si>
  <si>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</si>
  <si>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</si>
  <si>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</si>
  <si>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</si>
  <si>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</si>
  <si>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</si>
  <si>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</si>
  <si>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</si>
  <si>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</si>
  <si>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</si>
  <si>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</si>
  <si>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</si>
  <si>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</si>
  <si>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</si>
  <si>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</si>
  <si>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</si>
  <si>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</si>
  <si>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</si>
  <si>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</si>
  <si>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</si>
  <si>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</si>
  <si>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</si>
  <si>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</si>
  <si>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</si>
  <si>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</si>
  <si>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</si>
  <si>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</si>
  <si>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</si>
  <si>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</si>
  <si>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</si>
  <si>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</si>
  <si>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</si>
  <si>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</si>
  <si>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</si>
  <si>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</si>
  <si>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</si>
  <si>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</si>
  <si>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</si>
  <si>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</si>
  <si>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</si>
  <si>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</si>
  <si>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</si>
  <si>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</si>
  <si>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</si>
  <si>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r>
      <rPr>
        <b/>
        <sz val="10"/>
        <color rgb="FFFFFFFF"/>
        <rFont val="Arial"/>
        <family val="2"/>
        <charset val="1"/>
      </rPr>
      <t>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</si>
  <si>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2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</si>
  <si>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3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</si>
  <si>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4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</si>
  <si>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</si>
  <si>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6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</si>
  <si>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7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</si>
  <si>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8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</si>
  <si>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9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</si>
  <si>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10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</si>
  <si>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</si>
  <si>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12</t>
    </r>
    <r>
      <rPr>
        <b/>
        <sz val="10"/>
        <color rgb="FFFFFFFF"/>
        <rFont val="Noto Sans CJK SC"/>
        <family val="2"/>
      </rPr>
      <t>월</t>
    </r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</si>
  <si>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</si>
  <si>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</si>
  <si>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</si>
  <si>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</si>
  <si>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</si>
  <si>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</si>
  <si>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</si>
  <si>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</si>
  <si>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</si>
  <si>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</si>
  <si>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</si>
  <si>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</si>
  <si>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</si>
  <si>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r>
      <rPr>
        <i/>
        <sz val="9"/>
        <color rgb="FF595959"/>
        <rFont val="Arial"/>
        <family val="2"/>
        <charset val="1"/>
      </rPr>
      <t xml:space="preserve">← HDD </t>
    </r>
    <r>
      <rPr>
        <i/>
        <sz val="9"/>
        <color rgb="FF595959"/>
        <rFont val="Noto Sans CJK SC"/>
        <family val="2"/>
      </rPr>
      <t>계산 기준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국내 표준</t>
    </r>
    <r>
      <rPr>
        <i/>
        <sz val="9"/>
        <color rgb="FF595959"/>
        <rFont val="Arial"/>
        <family val="2"/>
        <charset val="1"/>
      </rPr>
      <t xml:space="preserve">: 15°C </t>
    </r>
    <r>
      <rPr>
        <i/>
        <sz val="9"/>
        <color rgb="FF595959"/>
        <rFont val="Noto Sans CJK SC"/>
        <family val="2"/>
      </rPr>
      <t xml:space="preserve">또는 </t>
    </r>
    <r>
      <rPr>
        <i/>
        <sz val="9"/>
        <color rgb="FF595959"/>
        <rFont val="Arial"/>
        <family val="2"/>
        <charset val="1"/>
      </rPr>
      <t>18°C</t>
    </r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</si>
  <si>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</si>
  <si>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</si>
  <si>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</si>
  <si>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</si>
  <si>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</si>
  <si>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r>
      <rPr>
        <b/>
        <sz val="10"/>
        <color rgb="FFFFFFFF"/>
        <rFont val="Arial"/>
        <family val="2"/>
        <charset val="1"/>
      </rPr>
      <t>sCOP
(HDD</t>
    </r>
    <r>
      <rPr>
        <b/>
        <sz val="10"/>
        <color rgb="FFFFFFFF"/>
        <rFont val="Noto Sans CJK SC"/>
        <family val="2"/>
      </rPr>
      <t>가중</t>
    </r>
    <r>
      <rPr>
        <b/>
        <sz val="10"/>
        <color rgb="FFFFFFFF"/>
        <rFont val="Arial"/>
        <family val="2"/>
        <charset val="1"/>
      </rPr>
      <t>)</t>
    </r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</si>
  <si>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</si>
  <si>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</si>
  <si>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</si>
  <si>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</si>
  <si>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</si>
  <si>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</si>
  <si>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</si>
  <si>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</si>
  <si>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</si>
  <si>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주택용 저압 기타계절</t>
  </si>
  <si>
    <r>
      <rPr>
        <sz val="11"/>
        <color theme="1"/>
        <rFont val="맑은 고딕"/>
        <family val="2"/>
        <charset val="129"/>
      </rPr>
      <t>HP</t>
    </r>
    <r>
      <rPr>
        <sz val="11"/>
        <color theme="1"/>
        <rFont val="Noto Sans CJK SC"/>
        <family val="2"/>
      </rPr>
      <t>전기요금 연합계</t>
    </r>
  </si>
  <si>
    <t>기존난방비 연합계</t>
  </si>
  <si>
    <r>
      <rPr>
        <sz val="11"/>
        <color theme="1"/>
        <rFont val="Noto Sans CJK SC"/>
        <family val="2"/>
      </rPr>
      <t xml:space="preserve">난방비 </t>
    </r>
    <r>
      <rPr>
        <sz val="11"/>
        <color theme="1"/>
        <rFont val="맑은 고딕"/>
        <family val="2"/>
        <charset val="129"/>
      </rPr>
      <t xml:space="preserve">Saving </t>
    </r>
    <r>
      <rPr>
        <sz val="11"/>
        <color theme="1"/>
        <rFont val="Noto Sans CJK SC"/>
        <family val="2"/>
      </rPr>
      <t>비율</t>
    </r>
  </si>
  <si>
    <r>
      <rPr>
        <sz val="11"/>
        <color theme="1"/>
        <rFont val="Noto Sans CJK SC"/>
        <family val="2"/>
      </rPr>
      <t>기본요금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</t>
    </r>
    <r>
      <rPr>
        <sz val="11"/>
        <color theme="1"/>
        <rFont val="Noto Sans CJK SC"/>
        <family val="2"/>
      </rPr>
      <t>호</t>
    </r>
    <r>
      <rPr>
        <sz val="11"/>
        <color theme="1"/>
        <rFont val="맑은 고딕"/>
        <family val="2"/>
        <charset val="129"/>
      </rPr>
      <t>)</t>
    </r>
  </si>
  <si>
    <r>
      <rPr>
        <sz val="11"/>
        <color theme="1"/>
        <rFont val="Noto Sans CJK SC"/>
        <family val="2"/>
      </rPr>
      <t>전력량요금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/kWh)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</si>
  <si>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컨덴싱</t>
    </r>
    <r>
      <rPr>
        <sz val="11"/>
        <color theme="1"/>
        <rFont val="맑은 고딕"/>
        <family val="2"/>
        <charset val="129"/>
      </rPr>
      <t>)-&gt;HP</t>
    </r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</si>
  <si>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</si>
  <si>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</si>
  <si>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</si>
  <si>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</si>
  <si>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</si>
  <si>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</si>
  <si>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</si>
  <si>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</si>
  <si>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</si>
  <si>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</si>
  <si>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201~400kWh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</si>
  <si>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</si>
  <si>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</si>
  <si>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</si>
  <si>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기타계절 </t>
    </r>
    <r>
      <rPr>
        <sz val="11"/>
        <color theme="1"/>
        <rFont val="맑은 고딕"/>
        <family val="2"/>
        <charset val="129"/>
      </rPr>
      <t>: 1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~6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30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, 9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</si>
  <si>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동계</t>
    </r>
    <r>
      <rPr>
        <sz val="11"/>
        <color theme="1"/>
        <rFont val="맑은 고딕"/>
        <family val="2"/>
        <charset val="129"/>
      </rPr>
      <t>(12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~2</t>
    </r>
    <r>
      <rPr>
        <sz val="11"/>
        <color theme="1"/>
        <rFont val="Noto Sans CJK SC"/>
        <family val="2"/>
      </rPr>
      <t>월 말일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</si>
  <si>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t>주택용 저압 하계</t>
  </si>
  <si>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</si>
  <si>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</si>
  <si>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301~450kWh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</si>
  <si>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150kWh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</si>
  <si>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</si>
  <si>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</si>
  <si>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일반</t>
    </r>
    <r>
      <rPr>
        <sz val="11"/>
        <color theme="1"/>
        <rFont val="맑은 고딕"/>
        <family val="2"/>
        <charset val="129"/>
      </rPr>
      <t>)-&gt;HP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</si>
  <si>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하계 </t>
    </r>
    <r>
      <rPr>
        <sz val="11"/>
        <color theme="1"/>
        <rFont val="맑은 고딕"/>
        <family val="2"/>
        <charset val="129"/>
      </rPr>
      <t>: 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</si>
  <si>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하계</t>
    </r>
    <r>
      <rPr>
        <sz val="11"/>
        <color theme="1"/>
        <rFont val="맑은 고딕"/>
        <family val="2"/>
        <charset val="129"/>
      </rPr>
      <t>(7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</si>
  <si>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r>
      <rPr>
        <sz val="11"/>
        <color theme="1" tint="4.9897762993255407E-2"/>
        <rFont val="Noto Sans CJK SC"/>
        <family val="2"/>
      </rPr>
      <t>등유</t>
    </r>
    <r>
      <rPr>
        <sz val="11"/>
        <color theme="1" tint="4.9897762993255407E-2"/>
        <rFont val="맑은 고딕"/>
        <family val="3"/>
        <charset val="129"/>
      </rPr>
      <t>-&gt;HP</t>
    </r>
  </si>
  <si>
    <t>가전용 소비량(22년기준 가구패널 전국)</t>
    <phoneticPr fontId="52" type="noConversion"/>
  </si>
  <si>
    <t>HP전기요금</t>
    <phoneticPr fontId="52" type="noConversion"/>
  </si>
  <si>
    <t>누진제 태X</t>
    <phoneticPr fontId="52" type="noConversion"/>
  </si>
  <si>
    <t>누진제 태O</t>
    <phoneticPr fontId="52" type="noConversion"/>
  </si>
  <si>
    <t>최종 파일(월별 1kW당 발전량)(단위: kWh)</t>
  </si>
  <si>
    <t>광역지자체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</si>
  <si>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</si>
  <si>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</si>
  <si>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</si>
  <si>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</si>
  <si>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</si>
  <si>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</si>
  <si>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</si>
  <si>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</si>
  <si>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</si>
  <si>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</si>
  <si>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</si>
  <si>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</si>
  <si>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월별태양광발전량</t>
    <phoneticPr fontId="52" type="noConversion"/>
  </si>
  <si>
    <t>HP전기요금</t>
  </si>
  <si>
    <r>
      <rPr>
        <sz val="11"/>
        <color rgb="FF9C5700"/>
        <rFont val="맑은 고딕"/>
        <family val="3"/>
        <charset val="129"/>
      </rPr>
      <t>설치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r>
      <rPr>
        <sz val="11"/>
        <color rgb="FF9C5700"/>
        <rFont val="Noto Sans CJK SC"/>
        <family val="2"/>
        <charset val="1"/>
      </rPr>
      <t>(kW)</t>
    </r>
    <phoneticPr fontId="52" type="noConversion"/>
  </si>
  <si>
    <t>계약전력kW</t>
    <phoneticPr fontId="52" type="noConversion"/>
  </si>
  <si>
    <t>COP</t>
    <phoneticPr fontId="52" type="noConversion"/>
  </si>
  <si>
    <t>(원/kW)</t>
  </si>
  <si>
    <t>전력량요금(원/kWh)</t>
  </si>
  <si>
    <t>여름철</t>
  </si>
  <si>
    <t>(6~8월)</t>
  </si>
  <si>
    <t>봄·가을철</t>
  </si>
  <si>
    <t>(3~5월,</t>
  </si>
  <si>
    <t>9~10월)</t>
  </si>
  <si>
    <t>겨울철</t>
  </si>
  <si>
    <t>(11~2월)</t>
  </si>
  <si>
    <t>일반용(HP전용)</t>
    <phoneticPr fontId="52" type="noConversion"/>
  </si>
  <si>
    <t>계시별 태X</t>
    <phoneticPr fontId="52" type="noConversion"/>
  </si>
  <si>
    <t xml:space="preserve">월별 가전 전력사용량은 시간대별 실측자료의 부재를 고려하여, </t>
    <phoneticPr fontId="52" type="noConversion"/>
  </si>
  <si>
    <t xml:space="preserve">야간 상시부하와 주간 기본수요, 저녁 시간대 생활가전 사용 증가를 반영해 </t>
    <phoneticPr fontId="52" type="noConversion"/>
  </si>
  <si>
    <t>경부하 30%, 중간부하 30%, 최대부하 40%로 배분하였다.</t>
  </si>
  <si>
    <t>경부하</t>
    <phoneticPr fontId="52" type="noConversion"/>
  </si>
  <si>
    <t>중간부하</t>
    <phoneticPr fontId="52" type="noConversion"/>
  </si>
  <si>
    <t>최대부하</t>
    <phoneticPr fontId="52" type="noConversion"/>
  </si>
  <si>
    <t>(3~5월, 9~10월)</t>
  </si>
  <si>
    <t>(1~2월, 6~8월, 11~12월)</t>
    <phoneticPr fontId="52" type="noConversion"/>
  </si>
  <si>
    <t>기본요금(원/kW)</t>
    <phoneticPr fontId="52" type="noConversion"/>
  </si>
  <si>
    <t xml:space="preserve">여름철 저녁 시간대 에어컨·세탁기·제습기 등 
</t>
    <phoneticPr fontId="52" type="noConversion"/>
  </si>
  <si>
    <t>주요 가전의 동시사용 가능성을 고려하여 3kW로 가정하였다.</t>
    <phoneticPr fontId="52" type="noConversion"/>
  </si>
  <si>
    <t xml:space="preserve">가전용 계약용량은 월사용량 기준 산정값보다, </t>
    <phoneticPr fontId="52" type="noConversion"/>
  </si>
  <si>
    <t>계시별 태O</t>
    <phoneticPr fontId="52" type="noConversion"/>
  </si>
  <si>
    <t>히트펌프(2025년)</t>
    <phoneticPr fontId="52" type="noConversion"/>
  </si>
  <si>
    <t>히트펌프</t>
    <phoneticPr fontId="52" type="noConversion"/>
  </si>
  <si>
    <t>히트펌프(2038년)</t>
    <phoneticPr fontId="52" type="noConversion"/>
  </si>
  <si>
    <t>계</t>
    <phoneticPr fontId="52" type="noConversion"/>
  </si>
  <si>
    <r>
      <t>연간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온실가스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배출량</t>
    </r>
    <r>
      <rPr>
        <b/>
        <sz val="11"/>
        <rFont val="Noto Sans CJK SC"/>
        <family val="2"/>
        <charset val="1"/>
      </rPr>
      <t>(tCO2eq)</t>
    </r>
  </si>
  <si>
    <t>연차</t>
    <phoneticPr fontId="52" type="noConversion"/>
  </si>
  <si>
    <t>도시가스</t>
    <phoneticPr fontId="52" type="noConversion"/>
  </si>
  <si>
    <t>LPG</t>
    <phoneticPr fontId="52" type="noConversion"/>
  </si>
  <si>
    <t>인덕션(전기)</t>
    <phoneticPr fontId="52" type="noConversion"/>
  </si>
  <si>
    <t>가스 일반보일러</t>
    <phoneticPr fontId="52" type="noConversion"/>
  </si>
  <si>
    <t>등유 보일러</t>
    <phoneticPr fontId="52" type="noConversion"/>
  </si>
  <si>
    <t>LPG 보일러</t>
    <phoneticPr fontId="52" type="noConversion"/>
  </si>
  <si>
    <t>가스 콘덴싱보일러</t>
  </si>
  <si>
    <t>가스 콘덴싱보일러</t>
    <phoneticPr fontId="52" type="noConversion"/>
  </si>
  <si>
    <r>
      <rPr>
        <sz val="11"/>
        <color theme="0"/>
        <rFont val="맑은 고딕"/>
        <family val="3"/>
        <charset val="129"/>
      </rPr>
      <t>실제 난방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3"/>
        <charset val="129"/>
      </rPr>
      <t>에너지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2"/>
        <charset val="129"/>
      </rPr>
      <t>사용량</t>
    </r>
    <r>
      <rPr>
        <sz val="11"/>
        <color theme="0"/>
        <rFont val="Arial"/>
        <family val="2"/>
      </rPr>
      <t>(kWh)</t>
    </r>
    <phoneticPr fontId="52" type="noConversion"/>
  </si>
  <si>
    <r>
      <rPr>
        <sz val="11"/>
        <color theme="0"/>
        <rFont val="맑은 고딕"/>
        <family val="2"/>
        <charset val="129"/>
      </rPr>
      <t>유효</t>
    </r>
    <r>
      <rPr>
        <sz val="11"/>
        <color theme="0"/>
        <rFont val="Noto Sans CJK SC"/>
        <family val="2"/>
        <charset val="129"/>
      </rPr>
      <t xml:space="preserve"> </t>
    </r>
    <r>
      <rPr>
        <sz val="11"/>
        <color theme="0"/>
        <rFont val="맑은 고딕"/>
        <family val="2"/>
        <charset val="129"/>
      </rPr>
      <t>열</t>
    </r>
    <r>
      <rPr>
        <sz val="11"/>
        <color theme="0"/>
        <rFont val="Noto Sans CJK SC"/>
        <family val="2"/>
      </rPr>
      <t xml:space="preserve"> </t>
    </r>
    <r>
      <rPr>
        <sz val="11"/>
        <color theme="0"/>
        <rFont val="맑은 고딕"/>
        <family val="3"/>
        <charset val="129"/>
      </rPr>
      <t>수요</t>
    </r>
    <r>
      <rPr>
        <sz val="11"/>
        <color theme="0"/>
        <rFont val="Noto Sans CJK SC"/>
        <family val="2"/>
      </rPr>
      <t>(kWh)</t>
    </r>
    <r>
      <rPr>
        <sz val="11"/>
        <color theme="0"/>
        <rFont val="Noto Sans CJK SC"/>
        <family val="2"/>
        <charset val="129"/>
      </rPr>
      <t>(히트펌프 전환 계산용)</t>
    </r>
    <phoneticPr fontId="52" type="noConversion"/>
  </si>
  <si>
    <t>인덕션(전기)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</si>
</sst>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_-* #,##0.000_-;\-* #,##0.000_-;_-* \-_-;_-@_-"/>
    <numFmt numFmtId="178" formatCode="_-* #,##0.000_-;\-* #,##0.000_-;_-* \-??_-;_-@_-"/>
    <numFmt numFmtId="179" formatCode="_-* #,##0_-;\-* #,##0_-;_-* \-_-;_-@_-"/>
    <numFmt numFmtId="180" formatCode="_-* #,##0.00_-;\-* #,##0.00_-;_-* \-??_-;_-@_-"/>
    <numFmt numFmtId="181" formatCode="0.0%"/>
    <numFmt numFmtId="182" formatCode="_-* #,##0.00_-;\-* #,##0.00_-;_-* \-_-;_-@_-"/>
    <numFmt numFmtId="183" formatCode="#,##0.0"/>
    <numFmt numFmtId="184" formatCode="0.000_);[Red]\(0.000\)"/>
    <numFmt numFmtId="185" formatCode="0.0"/>
    <numFmt numFmtId="186" formatCode="00"/>
    <numFmt numFmtId="187" formatCode="0_);[Red]\(0\)"/>
    <numFmt numFmtId="188" formatCode="0.0_);[Red]\(0.0\)"/>
    <numFmt numFmtId="189" formatCode="0.000"/>
    <numFmt numFmtId="190" formatCode="_-* #,##0.00_-;\-* #,##0.00_-;_-* &quot;-&quot;_-;_-@_-"/>
    <numFmt numFmtId="191" formatCode="_-* #,##0.000_-;\-* #,##0.000_-;_-* &quot;-&quot;_-;_-@_-"/>
    <numFmt numFmtId="192" formatCode="0_ "/>
  </numFmts>
  <fonts count="66"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"/>
    </font>
    <font>
      <sz val="11"/>
      <name val="돋움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theme="1"/>
      <name val="Noto Sans CJK SC"/>
      <family val="2"/>
    </font>
    <font>
      <b/>
      <sz val="11"/>
      <color theme="1"/>
      <name val="맑은 고딕"/>
      <family val="3"/>
      <charset val="129"/>
    </font>
    <font>
      <sz val="11"/>
      <color rgb="FF9C5700"/>
      <name val="Noto Sans CJK SC"/>
      <family val="2"/>
    </font>
    <font>
      <sz val="11"/>
      <color rgb="FF9C5700"/>
      <name val="맑은 고딕"/>
      <family val="3"/>
      <charset val="129"/>
    </font>
    <font>
      <sz val="11"/>
      <color rgb="FF9C5700"/>
      <name val="맑은 고딕"/>
      <family val="2"/>
      <charset val="129"/>
    </font>
    <font>
      <sz val="11"/>
      <color rgb="FF006100"/>
      <name val="맑은 고딕"/>
      <family val="2"/>
      <charset val="129"/>
    </font>
    <font>
      <sz val="11"/>
      <color rgb="FF006100"/>
      <name val="Noto Sans CJK SC"/>
      <family val="2"/>
      <charset val="1"/>
    </font>
    <font>
      <sz val="11"/>
      <color theme="1"/>
      <name val="Noto Sans CJK SC"/>
      <family val="2"/>
    </font>
    <font>
      <sz val="11"/>
      <color rgb="FF9C5700"/>
      <name val="Noto Sans CJK SC"/>
      <family val="2"/>
      <charset val="1"/>
    </font>
    <font>
      <sz val="11"/>
      <color rgb="FF006100"/>
      <name val="Noto Sans CJK SC"/>
      <family val="2"/>
    </font>
    <font>
      <sz val="11"/>
      <color theme="1"/>
      <name val="Noto Sans CJK SC"/>
      <family val="2"/>
      <charset val="1"/>
    </font>
    <font>
      <sz val="11"/>
      <color rgb="FFFF0000"/>
      <name val="맑은 고딕"/>
      <family val="2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  <family val="3"/>
      <charset val="129"/>
    </font>
    <font>
      <sz val="1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 tint="0.49967955565050204"/>
      <name val="맑은 고딕"/>
      <family val="3"/>
      <charset val="129"/>
    </font>
    <font>
      <sz val="11"/>
      <color rgb="FF141414"/>
      <name val="Noto Sans CJK SC"/>
      <family val="2"/>
      <charset val="1"/>
    </font>
    <font>
      <sz val="11"/>
      <color theme="0"/>
      <name val="Noto Sans CJK SC"/>
      <family val="2"/>
      <charset val="1"/>
    </font>
    <font>
      <sz val="11"/>
      <color theme="0"/>
      <name val="맑은 고딕"/>
      <family val="2"/>
      <charset val="129"/>
    </font>
    <font>
      <sz val="11"/>
      <color theme="0"/>
      <name val="Noto Sans CJK SC"/>
      <family val="2"/>
    </font>
    <font>
      <sz val="11"/>
      <color theme="0"/>
      <name val="Noto Sans CJK SC"/>
      <family val="3"/>
      <charset val="129"/>
    </font>
    <font>
      <sz val="11"/>
      <color theme="1" tint="0.49967955565050204"/>
      <name val="Arial"/>
      <family val="2"/>
      <charset val="129"/>
    </font>
    <font>
      <sz val="11"/>
      <color theme="1" tint="0.49967955565050204"/>
      <name val="맑은 고딕"/>
      <family val="2"/>
      <charset val="129"/>
    </font>
    <font>
      <b/>
      <sz val="11"/>
      <color theme="1" tint="0.49967955565050204"/>
      <name val="Noto Sans CJK SC"/>
      <family val="2"/>
      <charset val="1"/>
    </font>
    <font>
      <sz val="10"/>
      <name val="Arial"/>
      <family val="2"/>
    </font>
    <font>
      <sz val="10"/>
      <name val="Noto Sans CJK SC"/>
      <family val="2"/>
    </font>
    <font>
      <b/>
      <sz val="12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3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b/>
      <sz val="12"/>
      <color rgb="FF0000FF"/>
      <name val="Arial"/>
      <family val="2"/>
      <charset val="1"/>
    </font>
    <font>
      <i/>
      <sz val="9"/>
      <color rgb="FF595959"/>
      <name val="Noto Sans CJK SC"/>
      <family val="2"/>
      <charset val="1"/>
    </font>
    <font>
      <i/>
      <sz val="9"/>
      <color rgb="FF595959"/>
      <name val="Arial"/>
      <family val="2"/>
      <charset val="1"/>
    </font>
    <font>
      <i/>
      <sz val="9"/>
      <color rgb="FF595959"/>
      <name val="Noto Sans CJK SC"/>
      <family val="2"/>
    </font>
    <font>
      <b/>
      <sz val="14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name val="Noto Sans CJK SC"/>
      <family val="2"/>
      <charset val="1"/>
    </font>
    <font>
      <sz val="10"/>
      <color rgb="FFFFFFFF"/>
      <name val="Noto Sans CJK SC"/>
      <family val="2"/>
      <charset val="1"/>
    </font>
    <font>
      <sz val="11"/>
      <color theme="1" tint="4.9897762993255407E-2"/>
      <name val="Noto Sans CJK SC"/>
      <family val="2"/>
    </font>
    <font>
      <sz val="11"/>
      <color theme="1" tint="4.9897762993255407E-2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9C5700"/>
      <name val="Arial"/>
      <family val="2"/>
    </font>
    <font>
      <sz val="11"/>
      <color rgb="FF9C5700"/>
      <name val="Noto Sans CJK SC"/>
      <family val="3"/>
      <charset val="129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name val="Noto Sans CJK SC"/>
      <family val="2"/>
      <charset val="1"/>
    </font>
    <font>
      <sz val="11"/>
      <name val="Noto Sans CJK SC"/>
      <family val="2"/>
      <charset val="1"/>
    </font>
    <font>
      <sz val="11"/>
      <color theme="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0"/>
      <name val="Noto Sans CJK SC"/>
      <family val="2"/>
      <charset val="1"/>
    </font>
    <font>
      <b/>
      <sz val="11"/>
      <color theme="1"/>
      <name val="맑은 고딕"/>
      <family val="2"/>
      <charset val="129"/>
    </font>
    <font>
      <b/>
      <sz val="11"/>
      <name val="돋움"/>
      <family val="3"/>
      <charset val="129"/>
    </font>
    <font>
      <sz val="11"/>
      <color theme="0"/>
      <name val="Arial"/>
      <family val="2"/>
    </font>
    <font>
      <sz val="11"/>
      <color theme="0"/>
      <name val="Noto Sans CJK SC"/>
      <family val="2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C6EFCE"/>
        <bgColor rgb="FFD5E8D4"/>
      </patternFill>
    </fill>
    <fill>
      <patternFill patternType="solid">
        <fgColor theme="4"/>
        <bgColor rgb="FF1F4E79"/>
      </patternFill>
    </fill>
    <fill>
      <patternFill patternType="solid">
        <fgColor theme="4" tint="0.79979857783745845"/>
        <bgColor rgb="FFC2D5E1"/>
      </patternFill>
    </fill>
    <fill>
      <patternFill patternType="solid">
        <fgColor rgb="FF1F4E79"/>
        <bgColor rgb="FF156082"/>
      </patternFill>
    </fill>
    <fill>
      <patternFill patternType="solid">
        <fgColor rgb="FF2E75B6"/>
        <bgColor rgb="FF4574AD"/>
      </patternFill>
    </fill>
    <fill>
      <patternFill patternType="solid">
        <fgColor rgb="FFDEEAF1"/>
        <bgColor rgb="FFDCEAF7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DAB4E"/>
      </patternFill>
    </fill>
    <fill>
      <patternFill patternType="solid">
        <fgColor rgb="FFD5E8D4"/>
        <bgColor rgb="FFE2EFDA"/>
      </patternFill>
    </fill>
    <fill>
      <patternFill patternType="solid">
        <fgColor rgb="FFED7D31"/>
        <bgColor rgb="FFD57547"/>
      </patternFill>
    </fill>
    <fill>
      <patternFill patternType="solid">
        <fgColor rgb="FFFDE9D9"/>
        <bgColor rgb="FFFFF2CC"/>
      </patternFill>
    </fill>
    <fill>
      <patternFill patternType="solid">
        <fgColor rgb="FF7030A0"/>
        <bgColor rgb="FF5E4979"/>
      </patternFill>
    </fill>
    <fill>
      <patternFill patternType="solid">
        <fgColor rgb="FFEBE2F5"/>
        <bgColor rgb="FFDEEAF1"/>
      </patternFill>
    </fill>
    <fill>
      <patternFill patternType="solid">
        <fgColor rgb="FFFFF2CC"/>
        <bgColor rgb="FFFDE9D9"/>
      </patternFill>
    </fill>
    <fill>
      <patternFill patternType="solid">
        <fgColor rgb="FFC00000"/>
        <bgColor rgb="FFFF000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>
      <alignment vertical="center"/>
    </xf>
    <xf numFmtId="9" fontId="51" fillId="0" borderId="0">
      <alignment vertical="center"/>
    </xf>
    <xf numFmtId="0" fontId="1" fillId="0" borderId="0"/>
    <xf numFmtId="176" fontId="2" fillId="0" borderId="0">
      <alignment vertical="center"/>
    </xf>
    <xf numFmtId="0" fontId="8" fillId="2" borderId="0">
      <alignment vertical="center"/>
    </xf>
    <xf numFmtId="0" fontId="9" fillId="3" borderId="0">
      <alignment vertical="center"/>
    </xf>
    <xf numFmtId="176" fontId="51" fillId="0" borderId="0">
      <alignment vertical="center"/>
    </xf>
    <xf numFmtId="0" fontId="23" fillId="4" borderId="0">
      <alignment vertical="center"/>
    </xf>
    <xf numFmtId="0" fontId="51" fillId="5" borderId="0">
      <alignment vertical="center"/>
    </xf>
    <xf numFmtId="176" fontId="51" fillId="0" borderId="0">
      <alignment vertical="center"/>
    </xf>
    <xf numFmtId="41" fontId="51" fillId="0" borderId="0" applyFont="0" applyFill="0" applyBorder="0" applyAlignment="0" applyProtection="0">
      <alignment vertical="center"/>
    </xf>
  </cellStyleXfs>
  <cellXfs count="189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2" borderId="0" xfId="4" applyFont="1">
      <alignment vertical="center"/>
    </xf>
    <xf numFmtId="0" fontId="10" fillId="3" borderId="0" xfId="5" applyFont="1">
      <alignment vertical="center"/>
    </xf>
    <xf numFmtId="0" fontId="11" fillId="0" borderId="0" xfId="0" applyFont="1">
      <alignment vertical="center"/>
    </xf>
    <xf numFmtId="0" fontId="12" fillId="2" borderId="0" xfId="4" applyFont="1">
      <alignment vertical="center"/>
    </xf>
    <xf numFmtId="0" fontId="9" fillId="3" borderId="0" xfId="5">
      <alignment vertical="center"/>
    </xf>
    <xf numFmtId="0" fontId="14" fillId="0" borderId="0" xfId="0" applyFont="1">
      <alignment vertical="center"/>
    </xf>
    <xf numFmtId="9" fontId="0" fillId="0" borderId="0" xfId="0" applyNumberFormat="1">
      <alignment vertical="center"/>
    </xf>
    <xf numFmtId="177" fontId="51" fillId="0" borderId="0" xfId="6" applyNumberFormat="1">
      <alignment vertical="center"/>
    </xf>
    <xf numFmtId="178" fontId="0" fillId="0" borderId="0" xfId="0" applyNumberFormat="1">
      <alignment vertical="center"/>
    </xf>
    <xf numFmtId="0" fontId="13" fillId="3" borderId="0" xfId="5" applyFont="1">
      <alignment vertical="center"/>
    </xf>
    <xf numFmtId="0" fontId="15" fillId="0" borderId="0" xfId="0" applyFont="1" applyAlignment="1"/>
    <xf numFmtId="10" fontId="16" fillId="0" borderId="0" xfId="0" applyNumberFormat="1" applyFont="1">
      <alignment vertical="center"/>
    </xf>
    <xf numFmtId="179" fontId="9" fillId="3" borderId="0" xfId="6" applyNumberFormat="1" applyFont="1" applyFill="1">
      <alignment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9" fontId="18" fillId="0" borderId="0" xfId="1" applyFont="1">
      <alignment vertical="center"/>
    </xf>
    <xf numFmtId="9" fontId="51" fillId="0" borderId="0" xfId="1">
      <alignment vertical="center"/>
    </xf>
    <xf numFmtId="180" fontId="0" fillId="0" borderId="0" xfId="0" applyNumberFormat="1">
      <alignment vertical="center"/>
    </xf>
    <xf numFmtId="181" fontId="51" fillId="0" borderId="0" xfId="1" applyNumberFormat="1">
      <alignment vertical="center"/>
    </xf>
    <xf numFmtId="10" fontId="51" fillId="0" borderId="0" xfId="1" applyNumberFormat="1">
      <alignment vertical="center"/>
    </xf>
    <xf numFmtId="0" fontId="5" fillId="0" borderId="0" xfId="0" applyFont="1">
      <alignment vertical="center"/>
    </xf>
    <xf numFmtId="179" fontId="19" fillId="0" borderId="0" xfId="6" applyNumberFormat="1" applyFont="1">
      <alignment vertical="center"/>
    </xf>
    <xf numFmtId="9" fontId="19" fillId="0" borderId="0" xfId="6" applyNumberFormat="1" applyFont="1">
      <alignment vertical="center"/>
    </xf>
    <xf numFmtId="0" fontId="20" fillId="0" borderId="0" xfId="0" applyFont="1">
      <alignment vertical="center"/>
    </xf>
    <xf numFmtId="179" fontId="51" fillId="0" borderId="0" xfId="6" applyNumberFormat="1">
      <alignment vertical="center"/>
    </xf>
    <xf numFmtId="179" fontId="20" fillId="0" borderId="0" xfId="6" applyNumberFormat="1" applyFont="1">
      <alignment vertical="center"/>
    </xf>
    <xf numFmtId="0" fontId="21" fillId="0" borderId="0" xfId="0" applyFont="1">
      <alignment vertical="center"/>
    </xf>
    <xf numFmtId="182" fontId="51" fillId="0" borderId="0" xfId="6" applyNumberFormat="1">
      <alignment vertical="center"/>
    </xf>
    <xf numFmtId="179" fontId="51" fillId="5" borderId="2" xfId="8" applyNumberFormat="1" applyBorder="1">
      <alignment vertical="center"/>
    </xf>
    <xf numFmtId="179" fontId="51" fillId="5" borderId="3" xfId="8" applyNumberFormat="1" applyBorder="1">
      <alignment vertical="center"/>
    </xf>
    <xf numFmtId="0" fontId="22" fillId="4" borderId="4" xfId="7" applyFont="1" applyBorder="1">
      <alignment vertical="center"/>
    </xf>
    <xf numFmtId="0" fontId="23" fillId="4" borderId="4" xfId="7" applyBorder="1">
      <alignment vertical="center"/>
    </xf>
    <xf numFmtId="2" fontId="51" fillId="5" borderId="4" xfId="8" applyNumberFormat="1" applyBorder="1">
      <alignment vertical="center"/>
    </xf>
    <xf numFmtId="0" fontId="25" fillId="4" borderId="0" xfId="7" applyFont="1">
      <alignment vertical="center"/>
    </xf>
    <xf numFmtId="2" fontId="0" fillId="0" borderId="0" xfId="0" applyNumberFormat="1">
      <alignment vertical="center"/>
    </xf>
    <xf numFmtId="0" fontId="11" fillId="0" borderId="0" xfId="0" applyFont="1" applyAlignment="1"/>
    <xf numFmtId="0" fontId="25" fillId="4" borderId="4" xfId="7" applyFont="1" applyBorder="1">
      <alignment vertical="center"/>
    </xf>
    <xf numFmtId="0" fontId="26" fillId="0" borderId="0" xfId="0" applyFont="1">
      <alignment vertical="center"/>
    </xf>
    <xf numFmtId="182" fontId="27" fillId="0" borderId="0" xfId="6" applyNumberFormat="1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82" fontId="51" fillId="5" borderId="0" xfId="8" applyNumberFormat="1">
      <alignment vertical="center"/>
    </xf>
    <xf numFmtId="0" fontId="14" fillId="0" borderId="5" xfId="0" applyFont="1" applyBorder="1">
      <alignment vertical="center"/>
    </xf>
    <xf numFmtId="0" fontId="14" fillId="0" borderId="6" xfId="0" applyFont="1" applyBorder="1">
      <alignment vertical="center"/>
    </xf>
    <xf numFmtId="0" fontId="14" fillId="0" borderId="7" xfId="0" applyFont="1" applyBorder="1">
      <alignment vertical="center"/>
    </xf>
    <xf numFmtId="0" fontId="14" fillId="0" borderId="8" xfId="0" applyFont="1" applyBorder="1">
      <alignment vertical="center"/>
    </xf>
    <xf numFmtId="182" fontId="51" fillId="0" borderId="9" xfId="6" applyNumberFormat="1" applyBorder="1">
      <alignment vertical="center"/>
    </xf>
    <xf numFmtId="183" fontId="0" fillId="0" borderId="0" xfId="0" applyNumberFormat="1">
      <alignment vertical="center"/>
    </xf>
    <xf numFmtId="3" fontId="0" fillId="0" borderId="9" xfId="0" applyNumberFormat="1" applyBorder="1">
      <alignment vertical="center"/>
    </xf>
    <xf numFmtId="0" fontId="14" fillId="0" borderId="10" xfId="0" applyFont="1" applyBorder="1">
      <alignment vertical="center"/>
    </xf>
    <xf numFmtId="0" fontId="0" fillId="0" borderId="11" xfId="0" applyBorder="1">
      <alignment vertical="center"/>
    </xf>
    <xf numFmtId="183" fontId="0" fillId="0" borderId="11" xfId="0" applyNumberFormat="1" applyBorder="1">
      <alignment vertical="center"/>
    </xf>
    <xf numFmtId="3" fontId="0" fillId="0" borderId="12" xfId="0" applyNumberFormat="1" applyBorder="1">
      <alignment vertical="center"/>
    </xf>
    <xf numFmtId="177" fontId="51" fillId="0" borderId="0" xfId="9" applyNumberFormat="1">
      <alignment vertical="center"/>
    </xf>
    <xf numFmtId="184" fontId="51" fillId="0" borderId="0" xfId="1" applyNumberFormat="1" applyAlignment="1"/>
    <xf numFmtId="0" fontId="1" fillId="0" borderId="0" xfId="2"/>
    <xf numFmtId="0" fontId="33" fillId="7" borderId="13" xfId="2" applyFont="1" applyFill="1" applyBorder="1" applyAlignment="1">
      <alignment horizontal="center" vertical="center" wrapText="1"/>
    </xf>
    <xf numFmtId="0" fontId="34" fillId="7" borderId="13" xfId="2" applyFont="1" applyFill="1" applyBorder="1" applyAlignment="1">
      <alignment horizontal="center" vertical="center" wrapText="1"/>
    </xf>
    <xf numFmtId="0" fontId="36" fillId="7" borderId="13" xfId="2" applyFont="1" applyFill="1" applyBorder="1" applyAlignment="1">
      <alignment horizontal="center" vertical="center" wrapText="1"/>
    </xf>
    <xf numFmtId="185" fontId="37" fillId="8" borderId="13" xfId="2" applyNumberFormat="1" applyFont="1" applyFill="1" applyBorder="1" applyAlignment="1">
      <alignment horizontal="center" vertical="center"/>
    </xf>
    <xf numFmtId="185" fontId="38" fillId="8" borderId="13" xfId="2" applyNumberFormat="1" applyFont="1" applyFill="1" applyBorder="1" applyAlignment="1">
      <alignment horizontal="center" vertical="center"/>
    </xf>
    <xf numFmtId="186" fontId="38" fillId="9" borderId="13" xfId="2" applyNumberFormat="1" applyFont="1" applyFill="1" applyBorder="1" applyAlignment="1">
      <alignment horizontal="center" vertical="center"/>
    </xf>
    <xf numFmtId="185" fontId="37" fillId="9" borderId="13" xfId="2" applyNumberFormat="1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 wrapText="1"/>
    </xf>
    <xf numFmtId="0" fontId="34" fillId="10" borderId="13" xfId="2" applyFont="1" applyFill="1" applyBorder="1" applyAlignment="1">
      <alignment horizontal="center" vertical="center" wrapText="1"/>
    </xf>
    <xf numFmtId="0" fontId="36" fillId="10" borderId="13" xfId="2" applyFont="1" applyFill="1" applyBorder="1" applyAlignment="1">
      <alignment horizontal="center" vertical="center" wrapText="1"/>
    </xf>
    <xf numFmtId="185" fontId="37" fillId="11" borderId="13" xfId="2" applyNumberFormat="1" applyFont="1" applyFill="1" applyBorder="1" applyAlignment="1">
      <alignment horizontal="center" vertical="center"/>
    </xf>
    <xf numFmtId="185" fontId="38" fillId="11" borderId="13" xfId="2" applyNumberFormat="1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 wrapText="1"/>
    </xf>
    <xf numFmtId="0" fontId="34" fillId="12" borderId="13" xfId="2" applyFont="1" applyFill="1" applyBorder="1" applyAlignment="1">
      <alignment horizontal="center" vertical="center" wrapText="1"/>
    </xf>
    <xf numFmtId="0" fontId="36" fillId="12" borderId="13" xfId="2" applyFont="1" applyFill="1" applyBorder="1" applyAlignment="1">
      <alignment horizontal="center" vertical="center" wrapText="1"/>
    </xf>
    <xf numFmtId="185" fontId="37" fillId="13" borderId="13" xfId="2" applyNumberFormat="1" applyFont="1" applyFill="1" applyBorder="1" applyAlignment="1">
      <alignment horizontal="center" vertical="center"/>
    </xf>
    <xf numFmtId="185" fontId="38" fillId="13" borderId="13" xfId="2" applyNumberFormat="1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 wrapText="1"/>
    </xf>
    <xf numFmtId="0" fontId="34" fillId="14" borderId="13" xfId="2" applyFont="1" applyFill="1" applyBorder="1" applyAlignment="1">
      <alignment horizontal="center" vertical="center" wrapText="1"/>
    </xf>
    <xf numFmtId="0" fontId="36" fillId="14" borderId="13" xfId="2" applyFont="1" applyFill="1" applyBorder="1" applyAlignment="1">
      <alignment horizontal="center" vertical="center" wrapText="1"/>
    </xf>
    <xf numFmtId="185" fontId="37" fillId="15" borderId="13" xfId="2" applyNumberFormat="1" applyFont="1" applyFill="1" applyBorder="1" applyAlignment="1">
      <alignment horizontal="center" vertical="center"/>
    </xf>
    <xf numFmtId="185" fontId="38" fillId="15" borderId="13" xfId="2" applyNumberFormat="1" applyFont="1" applyFill="1" applyBorder="1" applyAlignment="1">
      <alignment horizontal="center" vertical="center"/>
    </xf>
    <xf numFmtId="1" fontId="41" fillId="16" borderId="15" xfId="2" applyNumberFormat="1" applyFont="1" applyFill="1" applyBorder="1" applyAlignment="1">
      <alignment horizontal="center" vertical="center"/>
    </xf>
    <xf numFmtId="2" fontId="41" fillId="16" borderId="15" xfId="2" applyNumberFormat="1" applyFont="1" applyFill="1" applyBorder="1" applyAlignment="1">
      <alignment horizontal="center" vertical="center"/>
    </xf>
    <xf numFmtId="185" fontId="41" fillId="16" borderId="15" xfId="2" applyNumberFormat="1" applyFont="1" applyFill="1" applyBorder="1" applyAlignment="1">
      <alignment horizontal="center" vertical="center"/>
    </xf>
    <xf numFmtId="0" fontId="33" fillId="6" borderId="13" xfId="2" applyFont="1" applyFill="1" applyBorder="1" applyAlignment="1">
      <alignment horizontal="center" vertical="center" wrapText="1"/>
    </xf>
    <xf numFmtId="0" fontId="34" fillId="6" borderId="13" xfId="2" applyFont="1" applyFill="1" applyBorder="1" applyAlignment="1">
      <alignment horizontal="center" vertical="center" wrapText="1"/>
    </xf>
    <xf numFmtId="0" fontId="34" fillId="17" borderId="13" xfId="2" applyFont="1" applyFill="1" applyBorder="1" applyAlignment="1">
      <alignment horizontal="center" vertical="center" wrapText="1"/>
    </xf>
    <xf numFmtId="0" fontId="33" fillId="18" borderId="13" xfId="2" applyFont="1" applyFill="1" applyBorder="1" applyAlignment="1">
      <alignment horizontal="center" vertical="center" wrapText="1"/>
    </xf>
    <xf numFmtId="0" fontId="33" fillId="7" borderId="16" xfId="2" applyFont="1" applyFill="1" applyBorder="1" applyAlignment="1">
      <alignment horizontal="center" vertical="center"/>
    </xf>
    <xf numFmtId="0" fontId="33" fillId="7" borderId="13" xfId="2" applyFont="1" applyFill="1" applyBorder="1" applyAlignment="1">
      <alignment horizontal="center" vertical="center"/>
    </xf>
    <xf numFmtId="0" fontId="37" fillId="7" borderId="16" xfId="2" applyFont="1" applyFill="1" applyBorder="1" applyAlignment="1">
      <alignment horizontal="center" vertical="center"/>
    </xf>
    <xf numFmtId="0" fontId="48" fillId="7" borderId="13" xfId="2" applyFont="1" applyFill="1" applyBorder="1" applyAlignment="1">
      <alignment horizontal="center" vertical="center"/>
    </xf>
    <xf numFmtId="1" fontId="37" fillId="8" borderId="13" xfId="2" applyNumberFormat="1" applyFont="1" applyFill="1" applyBorder="1" applyAlignment="1">
      <alignment horizontal="center" vertical="center"/>
    </xf>
    <xf numFmtId="1" fontId="38" fillId="8" borderId="13" xfId="2" applyNumberFormat="1" applyFont="1" applyFill="1" applyBorder="1" applyAlignment="1">
      <alignment horizontal="center" vertical="center"/>
    </xf>
    <xf numFmtId="2" fontId="37" fillId="8" borderId="13" xfId="2" applyNumberFormat="1" applyFont="1" applyFill="1" applyBorder="1" applyAlignment="1">
      <alignment horizontal="center" vertical="center"/>
    </xf>
    <xf numFmtId="2" fontId="38" fillId="8" borderId="13" xfId="2" applyNumberFormat="1" applyFont="1" applyFill="1" applyBorder="1" applyAlignment="1">
      <alignment horizontal="center" vertical="center"/>
    </xf>
    <xf numFmtId="0" fontId="33" fillId="10" borderId="16" xfId="2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/>
    </xf>
    <xf numFmtId="0" fontId="37" fillId="10" borderId="16" xfId="2" applyFont="1" applyFill="1" applyBorder="1" applyAlignment="1">
      <alignment horizontal="center" vertical="center"/>
    </xf>
    <xf numFmtId="0" fontId="48" fillId="10" borderId="13" xfId="2" applyFont="1" applyFill="1" applyBorder="1" applyAlignment="1">
      <alignment horizontal="center" vertical="center"/>
    </xf>
    <xf numFmtId="1" fontId="37" fillId="11" borderId="13" xfId="2" applyNumberFormat="1" applyFont="1" applyFill="1" applyBorder="1" applyAlignment="1">
      <alignment horizontal="center" vertical="center"/>
    </xf>
    <xf numFmtId="1" fontId="38" fillId="11" borderId="13" xfId="2" applyNumberFormat="1" applyFont="1" applyFill="1" applyBorder="1" applyAlignment="1">
      <alignment horizontal="center" vertical="center"/>
    </xf>
    <xf numFmtId="2" fontId="37" fillId="11" borderId="13" xfId="2" applyNumberFormat="1" applyFont="1" applyFill="1" applyBorder="1" applyAlignment="1">
      <alignment horizontal="center" vertical="center"/>
    </xf>
    <xf numFmtId="2" fontId="38" fillId="11" borderId="13" xfId="2" applyNumberFormat="1" applyFont="1" applyFill="1" applyBorder="1" applyAlignment="1">
      <alignment horizontal="center" vertical="center"/>
    </xf>
    <xf numFmtId="0" fontId="33" fillId="12" borderId="16" xfId="2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/>
    </xf>
    <xf numFmtId="0" fontId="37" fillId="12" borderId="16" xfId="2" applyFont="1" applyFill="1" applyBorder="1" applyAlignment="1">
      <alignment horizontal="center" vertical="center"/>
    </xf>
    <xf numFmtId="0" fontId="48" fillId="12" borderId="13" xfId="2" applyFont="1" applyFill="1" applyBorder="1" applyAlignment="1">
      <alignment horizontal="center" vertical="center"/>
    </xf>
    <xf numFmtId="1" fontId="37" fillId="13" borderId="13" xfId="2" applyNumberFormat="1" applyFont="1" applyFill="1" applyBorder="1" applyAlignment="1">
      <alignment horizontal="center" vertical="center"/>
    </xf>
    <xf numFmtId="1" fontId="38" fillId="13" borderId="13" xfId="2" applyNumberFormat="1" applyFont="1" applyFill="1" applyBorder="1" applyAlignment="1">
      <alignment horizontal="center" vertical="center"/>
    </xf>
    <xf numFmtId="2" fontId="37" fillId="13" borderId="13" xfId="2" applyNumberFormat="1" applyFont="1" applyFill="1" applyBorder="1" applyAlignment="1">
      <alignment horizontal="center" vertical="center"/>
    </xf>
    <xf numFmtId="2" fontId="38" fillId="13" borderId="13" xfId="2" applyNumberFormat="1" applyFont="1" applyFill="1" applyBorder="1" applyAlignment="1">
      <alignment horizontal="center" vertical="center"/>
    </xf>
    <xf numFmtId="0" fontId="33" fillId="14" borderId="16" xfId="2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/>
    </xf>
    <xf numFmtId="0" fontId="37" fillId="14" borderId="16" xfId="2" applyFont="1" applyFill="1" applyBorder="1" applyAlignment="1">
      <alignment horizontal="center" vertical="center"/>
    </xf>
    <xf numFmtId="0" fontId="48" fillId="14" borderId="13" xfId="2" applyFont="1" applyFill="1" applyBorder="1" applyAlignment="1">
      <alignment horizontal="center" vertical="center"/>
    </xf>
    <xf numFmtId="1" fontId="37" fillId="15" borderId="13" xfId="2" applyNumberFormat="1" applyFont="1" applyFill="1" applyBorder="1" applyAlignment="1">
      <alignment horizontal="center" vertical="center"/>
    </xf>
    <xf numFmtId="1" fontId="38" fillId="15" borderId="13" xfId="2" applyNumberFormat="1" applyFont="1" applyFill="1" applyBorder="1" applyAlignment="1">
      <alignment horizontal="center" vertical="center"/>
    </xf>
    <xf numFmtId="2" fontId="37" fillId="15" borderId="13" xfId="2" applyNumberFormat="1" applyFont="1" applyFill="1" applyBorder="1" applyAlignment="1">
      <alignment horizontal="center" vertical="center"/>
    </xf>
    <xf numFmtId="2" fontId="38" fillId="15" borderId="13" xfId="2" applyNumberFormat="1" applyFont="1" applyFill="1" applyBorder="1" applyAlignment="1">
      <alignment horizontal="center" vertical="center"/>
    </xf>
    <xf numFmtId="179" fontId="51" fillId="0" borderId="0" xfId="9" applyNumberFormat="1">
      <alignment vertical="center"/>
    </xf>
    <xf numFmtId="3" fontId="0" fillId="0" borderId="0" xfId="0" applyNumberFormat="1">
      <alignment vertical="center"/>
    </xf>
    <xf numFmtId="10" fontId="19" fillId="0" borderId="0" xfId="0" applyNumberFormat="1" applyFont="1">
      <alignment vertical="center"/>
    </xf>
    <xf numFmtId="187" fontId="0" fillId="0" borderId="0" xfId="0" applyNumberFormat="1" applyAlignment="1"/>
    <xf numFmtId="188" fontId="0" fillId="0" borderId="0" xfId="0" applyNumberFormat="1">
      <alignment vertical="center"/>
    </xf>
    <xf numFmtId="188" fontId="51" fillId="0" borderId="0" xfId="1" applyNumberFormat="1">
      <alignment vertical="center"/>
    </xf>
    <xf numFmtId="187" fontId="0" fillId="0" borderId="0" xfId="0" applyNumberFormat="1" applyAlignment="1">
      <alignment horizontal="left"/>
    </xf>
    <xf numFmtId="189" fontId="0" fillId="0" borderId="0" xfId="0" applyNumberFormat="1">
      <alignment vertical="center"/>
    </xf>
    <xf numFmtId="191" fontId="14" fillId="0" borderId="0" xfId="10" applyNumberFormat="1" applyFont="1">
      <alignment vertical="center"/>
    </xf>
    <xf numFmtId="0" fontId="54" fillId="2" borderId="0" xfId="4" applyFont="1">
      <alignment vertical="center"/>
    </xf>
    <xf numFmtId="187" fontId="0" fillId="0" borderId="0" xfId="0" applyNumberFormat="1">
      <alignment vertical="center"/>
    </xf>
    <xf numFmtId="0" fontId="55" fillId="0" borderId="0" xfId="0" applyFont="1">
      <alignment vertical="center"/>
    </xf>
    <xf numFmtId="190" fontId="51" fillId="5" borderId="0" xfId="10" applyNumberFormat="1" applyFill="1">
      <alignment vertical="center"/>
    </xf>
    <xf numFmtId="182" fontId="51" fillId="5" borderId="0" xfId="10" applyNumberFormat="1" applyFill="1">
      <alignment vertical="center"/>
    </xf>
    <xf numFmtId="41" fontId="0" fillId="0" borderId="0" xfId="10" applyFont="1" applyFill="1">
      <alignment vertical="center"/>
    </xf>
    <xf numFmtId="192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0" fillId="0" borderId="5" xfId="0" applyBorder="1">
      <alignment vertical="center"/>
    </xf>
    <xf numFmtId="0" fontId="11" fillId="0" borderId="6" xfId="0" applyFont="1" applyBorder="1">
      <alignment vertical="center"/>
    </xf>
    <xf numFmtId="41" fontId="0" fillId="0" borderId="6" xfId="10" applyFont="1" applyFill="1" applyBorder="1">
      <alignment vertical="center"/>
    </xf>
    <xf numFmtId="9" fontId="51" fillId="0" borderId="7" xfId="1" applyBorder="1">
      <alignment vertical="center"/>
    </xf>
    <xf numFmtId="0" fontId="0" fillId="0" borderId="8" xfId="0" applyBorder="1">
      <alignment vertical="center"/>
    </xf>
    <xf numFmtId="1" fontId="0" fillId="0" borderId="0" xfId="0" applyNumberFormat="1">
      <alignment vertical="center"/>
    </xf>
    <xf numFmtId="41" fontId="0" fillId="0" borderId="0" xfId="10" applyFont="1" applyFill="1" applyBorder="1" applyAlignment="1"/>
    <xf numFmtId="0" fontId="0" fillId="0" borderId="9" xfId="0" applyBorder="1" applyAlignment="1"/>
    <xf numFmtId="41" fontId="0" fillId="0" borderId="0" xfId="10" applyFont="1" applyFill="1" applyBorder="1">
      <alignment vertical="center"/>
    </xf>
    <xf numFmtId="9" fontId="51" fillId="0" borderId="9" xfId="1" applyBorder="1">
      <alignment vertical="center"/>
    </xf>
    <xf numFmtId="0" fontId="49" fillId="0" borderId="0" xfId="0" applyFont="1">
      <alignment vertical="center"/>
    </xf>
    <xf numFmtId="0" fontId="0" fillId="0" borderId="10" xfId="0" applyBorder="1">
      <alignment vertical="center"/>
    </xf>
    <xf numFmtId="1" fontId="0" fillId="0" borderId="11" xfId="0" applyNumberFormat="1" applyBorder="1">
      <alignment vertical="center"/>
    </xf>
    <xf numFmtId="41" fontId="0" fillId="0" borderId="11" xfId="10" applyFont="1" applyFill="1" applyBorder="1" applyAlignment="1"/>
    <xf numFmtId="0" fontId="0" fillId="0" borderId="12" xfId="0" applyBorder="1" applyAlignment="1"/>
    <xf numFmtId="0" fontId="0" fillId="0" borderId="6" xfId="0" applyBorder="1" applyAlignment="1"/>
    <xf numFmtId="190" fontId="0" fillId="0" borderId="8" xfId="10" applyNumberFormat="1" applyFont="1" applyFill="1" applyBorder="1">
      <alignment vertical="center"/>
    </xf>
    <xf numFmtId="0" fontId="0" fillId="0" borderId="11" xfId="0" applyBorder="1" applyAlignment="1"/>
    <xf numFmtId="41" fontId="0" fillId="0" borderId="6" xfId="10" applyFont="1" applyFill="1" applyBorder="1" applyAlignment="1"/>
    <xf numFmtId="2" fontId="0" fillId="0" borderId="0" xfId="0" applyNumberFormat="1" applyAlignment="1"/>
    <xf numFmtId="2" fontId="0" fillId="0" borderId="11" xfId="0" applyNumberFormat="1" applyBorder="1" applyAlignment="1"/>
    <xf numFmtId="0" fontId="56" fillId="0" borderId="0" xfId="0" applyFont="1">
      <alignment vertical="center"/>
    </xf>
    <xf numFmtId="0" fontId="56" fillId="0" borderId="11" xfId="0" applyFont="1" applyBorder="1">
      <alignment vertical="center"/>
    </xf>
    <xf numFmtId="182" fontId="18" fillId="0" borderId="0" xfId="6" applyNumberFormat="1" applyFont="1">
      <alignment vertical="center"/>
    </xf>
    <xf numFmtId="0" fontId="18" fillId="0" borderId="0" xfId="0" applyFont="1" applyAlignment="1"/>
    <xf numFmtId="0" fontId="18" fillId="0" borderId="0" xfId="0" applyFont="1">
      <alignment vertical="center"/>
    </xf>
    <xf numFmtId="0" fontId="58" fillId="0" borderId="0" xfId="0" applyFont="1">
      <alignment vertical="center"/>
    </xf>
    <xf numFmtId="0" fontId="60" fillId="0" borderId="0" xfId="0" applyFont="1">
      <alignment vertical="center"/>
    </xf>
    <xf numFmtId="182" fontId="5" fillId="5" borderId="0" xfId="8" applyNumberFormat="1" applyFont="1">
      <alignment vertical="center"/>
    </xf>
    <xf numFmtId="43" fontId="0" fillId="0" borderId="0" xfId="0" applyNumberFormat="1" applyAlignment="1"/>
    <xf numFmtId="182" fontId="62" fillId="5" borderId="0" xfId="8" applyNumberFormat="1" applyFont="1">
      <alignment vertical="center"/>
    </xf>
    <xf numFmtId="0" fontId="63" fillId="0" borderId="0" xfId="0" applyFont="1">
      <alignment vertical="center"/>
    </xf>
    <xf numFmtId="0" fontId="61" fillId="4" borderId="0" xfId="7" applyFont="1" applyAlignment="1">
      <alignment horizontal="center" vertical="center"/>
    </xf>
    <xf numFmtId="0" fontId="59" fillId="4" borderId="0" xfId="7" applyFont="1" applyAlignment="1">
      <alignment horizontal="center" vertical="center"/>
    </xf>
    <xf numFmtId="0" fontId="22" fillId="4" borderId="0" xfId="7" applyFont="1" applyAlignment="1">
      <alignment horizontal="center" vertical="center"/>
    </xf>
    <xf numFmtId="0" fontId="65" fillId="4" borderId="1" xfId="7" applyFont="1" applyBorder="1">
      <alignment vertical="center"/>
    </xf>
    <xf numFmtId="0" fontId="25" fillId="4" borderId="19" xfId="7" applyFont="1" applyBorder="1">
      <alignment vertical="center"/>
    </xf>
    <xf numFmtId="179" fontId="51" fillId="5" borderId="20" xfId="8" applyNumberFormat="1" applyBorder="1">
      <alignment vertical="center"/>
    </xf>
    <xf numFmtId="179" fontId="51" fillId="5" borderId="21" xfId="8" applyNumberFormat="1" applyBorder="1">
      <alignment vertical="center"/>
    </xf>
    <xf numFmtId="0" fontId="31" fillId="6" borderId="0" xfId="2" applyFont="1" applyFill="1" applyAlignment="1">
      <alignment horizontal="center" vertical="center"/>
    </xf>
    <xf numFmtId="0" fontId="32" fillId="7" borderId="0" xfId="2" applyFont="1" applyFill="1" applyAlignment="1">
      <alignment horizontal="left" vertical="center"/>
    </xf>
    <xf numFmtId="186" fontId="32" fillId="10" borderId="13" xfId="2" applyNumberFormat="1" applyFont="1" applyFill="1" applyBorder="1" applyAlignment="1">
      <alignment horizontal="left" vertical="center"/>
    </xf>
    <xf numFmtId="186" fontId="32" fillId="12" borderId="13" xfId="2" applyNumberFormat="1" applyFont="1" applyFill="1" applyBorder="1" applyAlignment="1">
      <alignment horizontal="left" vertical="center"/>
    </xf>
    <xf numFmtId="186" fontId="32" fillId="14" borderId="13" xfId="2" applyNumberFormat="1" applyFont="1" applyFill="1" applyBorder="1" applyAlignment="1">
      <alignment horizontal="left" vertical="center"/>
    </xf>
    <xf numFmtId="2" fontId="45" fillId="17" borderId="17" xfId="2" applyNumberFormat="1" applyFont="1" applyFill="1" applyBorder="1" applyAlignment="1">
      <alignment horizontal="center" vertical="center"/>
    </xf>
    <xf numFmtId="185" fontId="46" fillId="18" borderId="18" xfId="2" applyNumberFormat="1" applyFont="1" applyFill="1" applyBorder="1" applyAlignment="1">
      <alignment horizontal="center" vertical="center"/>
    </xf>
    <xf numFmtId="0" fontId="47" fillId="19" borderId="18" xfId="2" applyFont="1" applyFill="1" applyBorder="1" applyAlignment="1">
      <alignment horizontal="center" vertical="center"/>
    </xf>
    <xf numFmtId="0" fontId="40" fillId="0" borderId="14" xfId="2" applyFont="1" applyBorder="1" applyAlignment="1">
      <alignment horizontal="left" vertical="center"/>
    </xf>
    <xf numFmtId="0" fontId="43" fillId="0" borderId="0" xfId="2" applyFont="1" applyAlignment="1">
      <alignment horizontal="left" vertical="center"/>
    </xf>
    <xf numFmtId="0" fontId="42" fillId="0" borderId="0" xfId="2" applyFont="1" applyAlignment="1">
      <alignment horizontal="left" vertical="center"/>
    </xf>
    <xf numFmtId="0" fontId="39" fillId="6" borderId="0" xfId="2" applyFont="1" applyFill="1" applyAlignment="1">
      <alignment horizontal="center" vertical="center"/>
    </xf>
  </cellXfs>
  <cellStyles count="11">
    <cellStyle name="Excel Built-in 20% - Accent1" xfId="8" xr:uid="{00000000-0005-0000-0000-00000C000000}"/>
    <cellStyle name="Excel Built-in Accent1" xfId="7" xr:uid="{00000000-0005-0000-0000-00000B000000}"/>
    <cellStyle name="Excel Built-in Comma [0]" xfId="9" xr:uid="{00000000-0005-0000-0000-00000D000000}"/>
    <cellStyle name="Excel Built-in Comma [0] 1" xfId="6" xr:uid="{00000000-0005-0000-0000-00000A000000}"/>
    <cellStyle name="Excel Built-in Good" xfId="5" xr:uid="{00000000-0005-0000-0000-000009000000}"/>
    <cellStyle name="Excel Built-in Neutral" xfId="4" xr:uid="{00000000-0005-0000-0000-000008000000}"/>
    <cellStyle name="Normal 2" xfId="2" xr:uid="{00000000-0005-0000-0000-000006000000}"/>
    <cellStyle name="백분율" xfId="1" builtinId="5"/>
    <cellStyle name="쉼표 [0]" xfId="10" builtinId="6"/>
    <cellStyle name="쉼표 [0] 2" xfId="3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1E5F5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CEAF7"/>
      <rgbColor rgb="FF595959"/>
      <rgbColor rgb="FFF59C60"/>
      <rgbColor rgb="FF365F8E"/>
      <rgbColor rgb="FFC2D5E1"/>
      <rgbColor rgb="FFF2F2F2"/>
      <rgbColor rgb="FFD9D9D9"/>
      <rgbColor rgb="FFFDE9D9"/>
      <rgbColor rgb="FFC4D4AE"/>
      <rgbColor rgb="FF8184A0"/>
      <rgbColor rgb="FFD5E8D4"/>
      <rgbColor rgb="FF4574AD"/>
      <rgbColor rgb="FFEBE2F5"/>
      <rgbColor rgb="FF79B8CF"/>
      <rgbColor rgb="FFDEEAF1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C57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지역별 월별 난방 </a:t>
            </a: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COP (HDD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가중평균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2.5545171339563861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1A-44E8-94FC-4298D96B1ACF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2.67536704730832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1A-44E8-94FC-4298D96B1ACF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2.9981718464351004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1A-44E8-94FC-4298D96B1ACF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3.5193133047210301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A1A-44E8-94FC-4298D96B1ACF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A1A-44E8-94FC-4298D96B1ACF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4.6327683615819213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A1A-44E8-94FC-4298D96B1ACF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5.3074433656957929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A1A-44E8-94FC-4298D96B1ACF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5.3420195439739411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A1A-44E8-94FC-4298D96B1ACF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4.408602150537634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A1A-44E8-94FC-4298D96B1ACF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3.6283185840707963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A1A-44E8-94FC-4298D96B1ACF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3.0654205607476634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A1A-44E8-94FC-4298D96B1ACF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2.6537216828478964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A1A-44E8-94FC-4298D96B1ACF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2.887323943661972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A1A-44E8-94FC-4298D96B1ACF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3.0258302583025829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A1A-44E8-94FC-4298D96B1ACF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3.3814432989690721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A1A-44E8-94FC-4298D96B1ACF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3.9234449760765555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A1A-44E8-94FC-4298D96B1ACF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4.493150684931507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A1A-44E8-94FC-4298D96B1ACF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A1A-44E8-94FC-4298D96B1ACF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5.7342657342657342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A1A-44E8-94FC-4298D96B1ACF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5.8781362007168463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A1A-44E8-94FC-4298D96B1ACF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4.9696969696969697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A1A-44E8-94FC-4298D96B1ACF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A1A-44E8-94FC-4298D96B1ACF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3.4526315789473685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A1A-44E8-94FC-4298D96B1ACF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3.0091743119266057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A1A-44E8-94FC-4298D96B1ACF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3.203125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A1A-44E8-94FC-4298D96B1ACF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3.3064516129032255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AA1A-44E8-94FC-4298D96B1ACF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3.6043956043956045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AA1A-44E8-94FC-4298D96B1ACF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AA1A-44E8-94FC-4298D96B1ACF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AA1A-44E8-94FC-4298D96B1ACF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5.046153846153846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AA1A-44E8-94FC-4298D96B1ACF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5.6551724137931032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AA1A-44E8-94FC-4298D96B1ACF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AA1A-44E8-94FC-4298D96B1ACF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5.1572327044025155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AA1A-44E8-94FC-4298D96B1ACF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4.3733333333333331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AA1A-44E8-94FC-4298D96B1ACF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3.7442922374429228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AA1A-44E8-94FC-4298D96B1ACF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3.3131313131313131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AA1A-44E8-94FC-4298D96B1ACF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3.3606557377049184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AA1A-44E8-94FC-4298D96B1ACF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3.4166666666666665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AA1A-44E8-94FC-4298D96B1ACF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3.6853932584269664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AA1A-44E8-94FC-4298D96B1ACF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AA1A-44E8-94FC-4298D96B1ACF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AA1A-44E8-94FC-4298D96B1ACF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AA1A-44E8-94FC-4298D96B1ACF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AA1A-44E8-94FC-4298D96B1ACF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6.0740740740740744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AA1A-44E8-94FC-4298D96B1ACF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AA1A-44E8-94FC-4298D96B1ACF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4.5555555555555554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AA1A-44E8-94FC-4298D96B1ACF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3.9518072289156625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AA1A-44E8-94FC-4298D96B1ACF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3.5042735042735047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AA1A-44E8-94FC-4298D96B1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334748"/>
        <c:axId val="4639852"/>
      </c:lineChart>
      <c:catAx>
        <c:axId val="113347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639852"/>
        <c:crosses val="autoZero"/>
        <c:auto val="1"/>
        <c:lblAlgn val="ctr"/>
        <c:lblOffset val="100"/>
        <c:noMultiLvlLbl val="0"/>
      </c:catAx>
      <c:valAx>
        <c:axId val="4639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da-DK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334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419760</xdr:colOff>
      <xdr:row>10</xdr:row>
      <xdr:rowOff>57240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70480" y="162000"/>
          <a:ext cx="6572880" cy="1990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9</xdr:col>
      <xdr:colOff>447480</xdr:colOff>
      <xdr:row>52</xdr:row>
      <xdr:rowOff>106920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임 현지" id="{648F1D77-FDA2-480D-8205-3681E32C4F85}" userId="S::hyunji.im@gesi1125.onmicrosoft.com::c39742ae-225e-4348-a94c-cf07387b7cf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0" dT="2026-05-04T07:11:54.99" personId="{648F1D77-FDA2-480D-8205-3681E32C4F85}" id="{3788E499-6229-45B0-A3ED-4B24EF3FABB3}">
    <text>제11차 전기본 온실가스 배출목표(백만톤)/전력계통소비량(TWh)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0"/>
  <sheetViews>
    <sheetView tabSelected="1" topLeftCell="A45" zoomScaleNormal="100" workbookViewId="0">
      <selection activeCell="B60" sqref="B60"/>
    </sheetView>
  </sheetViews>
  <sheetFormatPr defaultColWidth="8.5" defaultRowHeight="16.5"/>
  <cols>
    <col min="2" max="2" width="47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7">
      <c r="B1" t="s">
        <v>0</v>
      </c>
    </row>
    <row r="2" spans="2:17">
      <c r="B2" s="2" t="s">
        <v>1</v>
      </c>
      <c r="C2" s="3" t="s">
        <v>2</v>
      </c>
    </row>
    <row r="3" spans="2:17">
      <c r="B3" s="4" t="s">
        <v>3</v>
      </c>
      <c r="C3" s="5">
        <v>32</v>
      </c>
      <c r="D3"/>
      <c r="E3"/>
      <c r="F3"/>
    </row>
    <row r="4" spans="2:17">
      <c r="B4" s="6" t="s">
        <v>4</v>
      </c>
      <c r="C4">
        <f>IF(C3&lt;20,6,IF(C3&lt;=28,10,IF(C3&lt;=35,12,16)))</f>
        <v>12</v>
      </c>
      <c r="D4"/>
      <c r="E4"/>
      <c r="F4"/>
    </row>
    <row r="5" spans="2:17">
      <c r="B5" s="6" t="s">
        <v>5</v>
      </c>
      <c r="C5" t="str">
        <f>IF(C3&lt;20,"소형 냉장고 크기",IF(C3&lt;=28,"워시타워 설치 공간",IF(C3&lt;=35,"워시타워 설치 공간","보일러실 공간")))</f>
        <v>워시타워 설치 공간</v>
      </c>
      <c r="D5"/>
      <c r="E5"/>
      <c r="F5"/>
    </row>
    <row r="7" spans="2:17">
      <c r="B7" s="2" t="s">
        <v>6</v>
      </c>
      <c r="C7" s="2" t="s">
        <v>7</v>
      </c>
    </row>
    <row r="8" spans="2:17">
      <c r="B8" s="7" t="s">
        <v>8</v>
      </c>
      <c r="C8" s="8" t="s">
        <v>470</v>
      </c>
      <c r="E8" t="s">
        <v>471</v>
      </c>
      <c r="F8" t="s">
        <v>467</v>
      </c>
      <c r="G8" t="s">
        <v>468</v>
      </c>
      <c r="H8" t="s">
        <v>469</v>
      </c>
      <c r="I8" t="s">
        <v>458</v>
      </c>
      <c r="J8" t="s">
        <v>460</v>
      </c>
      <c r="P8" s="1"/>
      <c r="Q8" s="1"/>
    </row>
    <row r="9" spans="2:17">
      <c r="B9" s="9" t="s">
        <v>9</v>
      </c>
      <c r="E9" s="10">
        <v>0.92</v>
      </c>
      <c r="F9" s="10">
        <v>0.83</v>
      </c>
      <c r="G9" s="10">
        <v>0.82</v>
      </c>
      <c r="H9" s="10">
        <v>0.9</v>
      </c>
      <c r="I9" s="10">
        <f>O51*100%</f>
        <v>3.5566006959193195</v>
      </c>
      <c r="J9" s="10">
        <f>O51*100%</f>
        <v>3.5566006959193195</v>
      </c>
      <c r="P9" s="1"/>
      <c r="Q9" s="1"/>
    </row>
    <row r="10" spans="2:17">
      <c r="B10" s="9" t="s">
        <v>10</v>
      </c>
      <c r="E10" s="11">
        <v>0.21847826086956501</v>
      </c>
      <c r="F10" s="11">
        <v>0.24216867469879499</v>
      </c>
      <c r="G10" s="11">
        <v>0.30634828188701202</v>
      </c>
      <c r="H10" s="11">
        <v>0.25555555555555598</v>
      </c>
      <c r="I10" s="11">
        <f>0.4173/I9</f>
        <v>0.11733113601388845</v>
      </c>
      <c r="J10" s="12">
        <f>(83.1/624.5)/J9</f>
        <v>3.7413942283485567E-2</v>
      </c>
      <c r="P10" s="1"/>
      <c r="Q10" s="1"/>
    </row>
    <row r="11" spans="2:17">
      <c r="C11" s="11"/>
      <c r="D11" s="11"/>
      <c r="E11" s="11"/>
      <c r="F11" s="11"/>
      <c r="G11" s="11"/>
    </row>
    <row r="12" spans="2:17">
      <c r="B12" s="2" t="s">
        <v>11</v>
      </c>
      <c r="C12" s="2" t="s">
        <v>12</v>
      </c>
      <c r="E12" s="11"/>
      <c r="F12" s="11"/>
      <c r="G12" s="11"/>
    </row>
    <row r="13" spans="2:17">
      <c r="B13" s="7" t="s">
        <v>13</v>
      </c>
      <c r="C13" s="13" t="s">
        <v>474</v>
      </c>
      <c r="D13"/>
      <c r="E13" s="11" t="s">
        <v>464</v>
      </c>
      <c r="F13" s="11" t="s">
        <v>465</v>
      </c>
      <c r="G13" s="11" t="s">
        <v>466</v>
      </c>
    </row>
    <row r="14" spans="2:17">
      <c r="B14" s="9" t="s">
        <v>14</v>
      </c>
      <c r="C14" s="123">
        <f>IF(OR(TRIM(C13)="도시가스",TRIM(C13)="LPG"),84.75%,100%)</f>
        <v>1</v>
      </c>
      <c r="D14" s="14"/>
    </row>
    <row r="15" spans="2:17">
      <c r="C15" s="15"/>
    </row>
    <row r="16" spans="2:17">
      <c r="B16" s="2" t="s">
        <v>15</v>
      </c>
      <c r="C16" s="2" t="s">
        <v>16</v>
      </c>
    </row>
    <row r="17" spans="1:15"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 s="9" t="s">
        <v>29</v>
      </c>
    </row>
    <row r="18" spans="1:15">
      <c r="B18" s="7" t="s">
        <v>30</v>
      </c>
      <c r="C18" s="16">
        <v>200000</v>
      </c>
      <c r="D18">
        <f t="shared" ref="D18:N18" si="0">$C$18/$C$20*D20</f>
        <v>233465.09873498938</v>
      </c>
      <c r="E18">
        <f t="shared" si="0"/>
        <v>97373.697212697662</v>
      </c>
      <c r="F18">
        <f t="shared" si="0"/>
        <v>66139.605060040369</v>
      </c>
      <c r="G18">
        <f t="shared" si="0"/>
        <v>61677.591895375153</v>
      </c>
      <c r="H18">
        <f t="shared" si="0"/>
        <v>61677.591895375153</v>
      </c>
      <c r="I18">
        <f t="shared" si="0"/>
        <v>32674.506325050541</v>
      </c>
      <c r="J18">
        <f t="shared" si="0"/>
        <v>30443.499742717879</v>
      </c>
      <c r="K18">
        <f t="shared" si="0"/>
        <v>39367.526072048531</v>
      </c>
      <c r="L18">
        <f t="shared" si="0"/>
        <v>32674.506325050541</v>
      </c>
      <c r="M18">
        <f t="shared" si="0"/>
        <v>108528.73012436085</v>
      </c>
      <c r="N18">
        <f t="shared" si="0"/>
        <v>193306.9802530024</v>
      </c>
      <c r="O18" s="17">
        <f>SUM(C18:N18)</f>
        <v>1157329.3336407086</v>
      </c>
    </row>
    <row r="19" spans="1:15">
      <c r="A19" s="9" t="s">
        <v>31</v>
      </c>
      <c r="B19" s="8" t="s">
        <v>123</v>
      </c>
      <c r="C19" s="8" t="s">
        <v>33</v>
      </c>
      <c r="D19" s="18" t="s">
        <v>34</v>
      </c>
    </row>
    <row r="20" spans="1:15">
      <c r="B20" s="9" t="s">
        <v>35</v>
      </c>
      <c r="C20" s="19">
        <f>_xlfn.XLOOKUP($B$19, Sheet3!$A$2:$A$19, Sheet3!C$2:C$19, "")</f>
        <v>0.17281165713725</v>
      </c>
      <c r="D20" s="19">
        <f>_xlfn.XLOOKUP($B$19, Sheet3!$A$2:$A$19, Sheet3!D$2:D$19, "")</f>
        <v>0.201727452980526</v>
      </c>
      <c r="E20" s="19">
        <f>_xlfn.XLOOKUP($B$19, Sheet3!$A$2:$A$19, Sheet3!E$2:E$19, "")</f>
        <v>8.4136549884535505E-2</v>
      </c>
      <c r="F20" s="19">
        <f>_xlfn.XLOOKUP($B$19, Sheet3!$A$2:$A$19, Sheet3!F$2:F$19, "")</f>
        <v>5.71484737641441E-2</v>
      </c>
      <c r="G20" s="19">
        <f>_xlfn.XLOOKUP($B$19, Sheet3!$A$2:$A$19, Sheet3!G$2:G$19, "")</f>
        <v>5.3293034318373997E-2</v>
      </c>
      <c r="H20" s="19">
        <f>_xlfn.XLOOKUP($B$19, Sheet3!$A$2:$A$19, Sheet3!H$2:H$19, "")</f>
        <v>5.3293034318373997E-2</v>
      </c>
      <c r="I20" s="19">
        <f>_xlfn.XLOOKUP($B$19, Sheet3!$A$2:$A$19, Sheet3!I$2:I$19, "")</f>
        <v>2.8232677920867699E-2</v>
      </c>
      <c r="J20" s="19">
        <f>_xlfn.XLOOKUP($B$19, Sheet3!$A$2:$A$19, Sheet3!J$2:J$19, "")</f>
        <v>2.6304958197982599E-2</v>
      </c>
      <c r="K20" s="19">
        <f>_xlfn.XLOOKUP($B$19, Sheet3!$A$2:$A$19, Sheet3!K$2:K$19, "")</f>
        <v>3.4015837089523E-2</v>
      </c>
      <c r="L20" s="19">
        <f>_xlfn.XLOOKUP($B$19, Sheet3!$A$2:$A$19, Sheet3!L$2:L$19, "")</f>
        <v>2.8232677920867699E-2</v>
      </c>
      <c r="M20" s="19">
        <f>_xlfn.XLOOKUP($B$19, Sheet3!$A$2:$A$19, Sheet3!M$2:M$19, "")</f>
        <v>9.3775148498960903E-2</v>
      </c>
      <c r="N20" s="19">
        <f>_xlfn.XLOOKUP($B$19, Sheet3!$A$2:$A$19, Sheet3!N$2:N$19, "")</f>
        <v>0.16702849796859501</v>
      </c>
      <c r="O20" s="14"/>
    </row>
    <row r="21" spans="1:15"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1:15">
      <c r="B22" s="2" t="s">
        <v>36</v>
      </c>
      <c r="C22" s="2" t="s">
        <v>37</v>
      </c>
    </row>
    <row r="23" spans="1:15"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t="s">
        <v>28</v>
      </c>
    </row>
    <row r="24" spans="1:15">
      <c r="B24" s="7" t="s">
        <v>38</v>
      </c>
      <c r="C24" s="16">
        <v>305.87254901960802</v>
      </c>
      <c r="D24" s="21">
        <f t="shared" ref="D24:N24" si="1">$C$24/$C$25*D25</f>
        <v>298.84099616858259</v>
      </c>
      <c r="E24" s="21">
        <f t="shared" si="1"/>
        <v>274.23056118999341</v>
      </c>
      <c r="F24" s="21">
        <f t="shared" si="1"/>
        <v>260.16745548794245</v>
      </c>
      <c r="G24" s="21">
        <f t="shared" si="1"/>
        <v>253.13590263691697</v>
      </c>
      <c r="H24" s="21">
        <f t="shared" si="1"/>
        <v>263.68323191345519</v>
      </c>
      <c r="I24" s="21">
        <f t="shared" si="1"/>
        <v>348.06186612576084</v>
      </c>
      <c r="J24" s="21">
        <f t="shared" si="1"/>
        <v>390.25118323191367</v>
      </c>
      <c r="K24" s="21">
        <f t="shared" si="1"/>
        <v>316.41987829614624</v>
      </c>
      <c r="L24" s="21">
        <f t="shared" si="1"/>
        <v>263.68323191345519</v>
      </c>
      <c r="M24" s="21">
        <f t="shared" si="1"/>
        <v>263.68323191345519</v>
      </c>
      <c r="N24" s="21">
        <f t="shared" si="1"/>
        <v>277.74633761550615</v>
      </c>
      <c r="O24" s="17">
        <f>SUM(C24:N24)</f>
        <v>3515.7764255127354</v>
      </c>
    </row>
    <row r="25" spans="1:15">
      <c r="B25" s="6" t="s">
        <v>39</v>
      </c>
      <c r="C25" s="22">
        <v>8.6999999999999994E-2</v>
      </c>
      <c r="D25" s="22">
        <v>8.5000000000000006E-2</v>
      </c>
      <c r="E25" s="22">
        <v>7.8E-2</v>
      </c>
      <c r="F25" s="22">
        <v>7.3999999999999996E-2</v>
      </c>
      <c r="G25" s="22">
        <v>7.1999999999999995E-2</v>
      </c>
      <c r="H25" s="22">
        <v>7.4999999999999997E-2</v>
      </c>
      <c r="I25" s="22">
        <v>9.9000000000000005E-2</v>
      </c>
      <c r="J25" s="22">
        <v>0.111</v>
      </c>
      <c r="K25" s="22">
        <v>0.09</v>
      </c>
      <c r="L25" s="22">
        <v>7.4999999999999997E-2</v>
      </c>
      <c r="M25" s="22">
        <v>7.4999999999999997E-2</v>
      </c>
      <c r="N25" s="22">
        <v>7.9000000000000001E-2</v>
      </c>
      <c r="O25" s="17"/>
    </row>
    <row r="26" spans="1:15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5">
      <c r="B27" s="2" t="s">
        <v>40</v>
      </c>
      <c r="C27" s="2" t="s">
        <v>41</v>
      </c>
      <c r="G27" s="23"/>
      <c r="H27" s="23"/>
      <c r="I27" s="23"/>
      <c r="J27" s="23"/>
      <c r="K27" s="23"/>
      <c r="L27" s="23"/>
      <c r="M27" s="23"/>
      <c r="N27" s="23"/>
    </row>
    <row r="28" spans="1:15">
      <c r="B28" s="7" t="s">
        <v>42</v>
      </c>
      <c r="C28" s="5" t="s">
        <v>43</v>
      </c>
    </row>
    <row r="29" spans="1:15">
      <c r="B29" s="130" t="s">
        <v>431</v>
      </c>
      <c r="C29" s="8">
        <v>3</v>
      </c>
    </row>
    <row r="32" spans="1:15">
      <c r="B32" t="s">
        <v>44</v>
      </c>
    </row>
    <row r="33" spans="2:14">
      <c r="B33" s="2" t="s">
        <v>45</v>
      </c>
      <c r="C33" s="24" t="s">
        <v>46</v>
      </c>
    </row>
    <row r="34" spans="2:14">
      <c r="B34" s="2"/>
      <c r="C34" s="9" t="s">
        <v>47</v>
      </c>
      <c r="D34" s="9" t="s">
        <v>48</v>
      </c>
      <c r="G34" s="9"/>
    </row>
    <row r="35" spans="2:14">
      <c r="B35" s="9" t="s">
        <v>49</v>
      </c>
      <c r="C35" s="25">
        <v>1000000</v>
      </c>
      <c r="D35" s="25">
        <v>14000000</v>
      </c>
      <c r="E35" s="25"/>
      <c r="F35" s="25"/>
      <c r="G35" s="25"/>
    </row>
    <row r="36" spans="2:14">
      <c r="B36" s="9" t="s">
        <v>50</v>
      </c>
      <c r="C36" s="26"/>
      <c r="D36" s="26">
        <v>0.7</v>
      </c>
      <c r="E36" s="25"/>
      <c r="F36" s="25"/>
      <c r="G36" s="26"/>
    </row>
    <row r="37" spans="2:14">
      <c r="B37" s="9" t="s">
        <v>51</v>
      </c>
      <c r="C37" s="25"/>
      <c r="D37" s="25">
        <f>D35*(1-D36)</f>
        <v>4200000.0000000009</v>
      </c>
      <c r="E37" s="25"/>
      <c r="F37" s="25"/>
      <c r="G37" s="25"/>
    </row>
    <row r="38" spans="2:14">
      <c r="B38" s="9"/>
      <c r="C38" s="2"/>
      <c r="G38" s="27"/>
    </row>
    <row r="39" spans="2:14">
      <c r="B39" s="9" t="s">
        <v>52</v>
      </c>
      <c r="C39" s="9" t="s">
        <v>47</v>
      </c>
      <c r="D39" s="9" t="s">
        <v>53</v>
      </c>
      <c r="E39" s="9" t="s">
        <v>54</v>
      </c>
      <c r="F39" t="s">
        <v>55</v>
      </c>
      <c r="G39" s="27"/>
    </row>
    <row r="40" spans="2:14">
      <c r="B40" s="9" t="s">
        <v>56</v>
      </c>
      <c r="C40" s="28">
        <f>1250*1.1</f>
        <v>1375</v>
      </c>
      <c r="D40" s="28">
        <f>1250*1.1</f>
        <v>1375</v>
      </c>
      <c r="E40">
        <v>0</v>
      </c>
      <c r="F40">
        <v>0</v>
      </c>
      <c r="G40" s="29"/>
    </row>
    <row r="41" spans="2:14">
      <c r="B41" s="30" t="s">
        <v>57</v>
      </c>
      <c r="C41" s="31">
        <f>22.3617*1.1</f>
        <v>24.59787</v>
      </c>
      <c r="D41" s="31">
        <f>22.3617*1.1</f>
        <v>24.59787</v>
      </c>
      <c r="E41">
        <v>1323.16</v>
      </c>
      <c r="F41">
        <v>2447.33</v>
      </c>
      <c r="G41" s="27"/>
    </row>
    <row r="42" spans="2:14" ht="17.25" customHeight="1" thickBot="1">
      <c r="B42" s="9" t="s">
        <v>58</v>
      </c>
      <c r="C42" s="31">
        <f>C41*3.6</f>
        <v>88.552332000000007</v>
      </c>
      <c r="D42" s="31">
        <f>D41*3.6</f>
        <v>88.552332000000007</v>
      </c>
      <c r="E42" s="31">
        <f>E41/(D89/3.6)</f>
        <v>130.14688524590164</v>
      </c>
      <c r="F42" s="31">
        <f>F41/(D90/3.6)</f>
        <v>175.50573705179283</v>
      </c>
      <c r="G42" s="27"/>
    </row>
    <row r="43" spans="2:14" ht="17.25" customHeight="1" thickBot="1">
      <c r="B43" s="174" t="s">
        <v>472</v>
      </c>
      <c r="C43" s="175">
        <f>((O18-C40*12)/C42)*C14</f>
        <v>12883.108867654761</v>
      </c>
      <c r="D43" s="175">
        <f>((O18-D40*12)/D42)*C14</f>
        <v>12883.108867654761</v>
      </c>
      <c r="E43" s="175">
        <f>($O$18/E42)</f>
        <v>8892.4858359386144</v>
      </c>
      <c r="F43" s="176">
        <f>($O$18/F42)</f>
        <v>6594.2535730280633</v>
      </c>
      <c r="G43" s="27"/>
    </row>
    <row r="44" spans="2:14" ht="17.25" customHeight="1">
      <c r="B44" s="173" t="s">
        <v>473</v>
      </c>
      <c r="C44" s="32">
        <f>(((O18-C40*12)/C42)*C14)*E9</f>
        <v>11852.46015824238</v>
      </c>
      <c r="D44" s="32">
        <f>(((O18-D40*12)/D42)*C14)*F9</f>
        <v>10692.980360153451</v>
      </c>
      <c r="E44" s="32">
        <f>($O$18/E42)*G9</f>
        <v>7291.8383854696631</v>
      </c>
      <c r="F44" s="33">
        <f>($O$18/F42)*H9</f>
        <v>5934.828215725257</v>
      </c>
      <c r="G44" s="27"/>
    </row>
    <row r="45" spans="2:14">
      <c r="B45" s="34"/>
      <c r="C45" s="35" t="s">
        <v>59</v>
      </c>
      <c r="D45" s="35" t="s">
        <v>60</v>
      </c>
      <c r="E45" s="35" t="s">
        <v>61</v>
      </c>
      <c r="F45" s="35" t="s">
        <v>62</v>
      </c>
      <c r="G45" s="35" t="s">
        <v>63</v>
      </c>
      <c r="H45" s="35" t="s">
        <v>64</v>
      </c>
      <c r="I45" s="35" t="s">
        <v>65</v>
      </c>
      <c r="J45" s="35" t="s">
        <v>66</v>
      </c>
      <c r="K45" s="35" t="s">
        <v>67</v>
      </c>
      <c r="L45" s="35" t="s">
        <v>68</v>
      </c>
      <c r="M45" s="35" t="s">
        <v>69</v>
      </c>
      <c r="N45" s="35" t="s">
        <v>70</v>
      </c>
    </row>
    <row r="46" spans="2:14">
      <c r="B46" s="34" t="s">
        <v>71</v>
      </c>
      <c r="C46" s="36">
        <f t="shared" ref="C46:N46" si="2">$C$44*C$20</f>
        <v>2048.2432810990981</v>
      </c>
      <c r="D46" s="36">
        <f t="shared" si="2"/>
        <v>2390.9665992753976</v>
      </c>
      <c r="E46" s="36">
        <f t="shared" si="2"/>
        <v>997.22510535842957</v>
      </c>
      <c r="F46" s="36">
        <f t="shared" si="2"/>
        <v>677.35000839387794</v>
      </c>
      <c r="G46" s="36">
        <f t="shared" si="2"/>
        <v>631.65356597037169</v>
      </c>
      <c r="H46" s="36">
        <f t="shared" si="2"/>
        <v>631.65356597037169</v>
      </c>
      <c r="I46" s="36">
        <f t="shared" si="2"/>
        <v>334.6266902175737</v>
      </c>
      <c r="J46" s="36">
        <f t="shared" si="2"/>
        <v>311.77846900582006</v>
      </c>
      <c r="K46" s="36">
        <f t="shared" si="2"/>
        <v>403.17135385283478</v>
      </c>
      <c r="L46" s="36">
        <f t="shared" si="2"/>
        <v>334.6266902175737</v>
      </c>
      <c r="M46" s="36">
        <f t="shared" si="2"/>
        <v>1111.4662114171967</v>
      </c>
      <c r="N46" s="36">
        <f t="shared" si="2"/>
        <v>1979.6986174638407</v>
      </c>
    </row>
    <row r="47" spans="2:14">
      <c r="B47" s="34" t="s">
        <v>53</v>
      </c>
      <c r="C47" s="36">
        <f t="shared" ref="C47:N47" si="3">$D$44*C$20</f>
        <v>1847.8716557741861</v>
      </c>
      <c r="D47" s="36">
        <f t="shared" si="3"/>
        <v>2157.0676928245434</v>
      </c>
      <c r="E47" s="36">
        <f t="shared" si="3"/>
        <v>899.67047548640926</v>
      </c>
      <c r="F47" s="36">
        <f t="shared" si="3"/>
        <v>611.08750757273765</v>
      </c>
      <c r="G47" s="36">
        <f t="shared" si="3"/>
        <v>569.86136929935697</v>
      </c>
      <c r="H47" s="36">
        <f t="shared" si="3"/>
        <v>569.86136929935697</v>
      </c>
      <c r="I47" s="36">
        <f t="shared" si="3"/>
        <v>301.89147052237627</v>
      </c>
      <c r="J47" s="36">
        <f t="shared" si="3"/>
        <v>281.27840138568547</v>
      </c>
      <c r="K47" s="36">
        <f t="shared" si="3"/>
        <v>363.73067793244877</v>
      </c>
      <c r="L47" s="36">
        <f t="shared" si="3"/>
        <v>301.89147052237627</v>
      </c>
      <c r="M47" s="36">
        <f t="shared" si="3"/>
        <v>1002.7358211698623</v>
      </c>
      <c r="N47" s="36">
        <f t="shared" si="3"/>
        <v>1786.032448364117</v>
      </c>
    </row>
    <row r="48" spans="2:14">
      <c r="B48" s="34" t="s">
        <v>54</v>
      </c>
      <c r="C48" s="36">
        <f t="shared" ref="C48:N48" si="4">$E$44*C$20</f>
        <v>1260.114674970022</v>
      </c>
      <c r="D48" s="36">
        <f t="shared" si="4"/>
        <v>1470.9639850464262</v>
      </c>
      <c r="E48" s="36">
        <f t="shared" si="4"/>
        <v>613.51012406903919</v>
      </c>
      <c r="F48" s="36">
        <f t="shared" si="4"/>
        <v>416.71743466439193</v>
      </c>
      <c r="G48" s="36">
        <f t="shared" si="4"/>
        <v>388.60419332087162</v>
      </c>
      <c r="H48" s="36">
        <f t="shared" si="4"/>
        <v>388.60419332087162</v>
      </c>
      <c r="I48" s="36">
        <f t="shared" si="4"/>
        <v>205.86812458798494</v>
      </c>
      <c r="J48" s="36">
        <f t="shared" si="4"/>
        <v>191.81150391622441</v>
      </c>
      <c r="K48" s="36">
        <f t="shared" si="4"/>
        <v>248.03798660326649</v>
      </c>
      <c r="L48" s="36">
        <f t="shared" si="4"/>
        <v>205.86812458798494</v>
      </c>
      <c r="M48" s="36">
        <f t="shared" si="4"/>
        <v>683.79322742784097</v>
      </c>
      <c r="N48" s="36">
        <f t="shared" si="4"/>
        <v>1217.9448129547427</v>
      </c>
    </row>
    <row r="49" spans="1:15">
      <c r="B49" s="35" t="s">
        <v>55</v>
      </c>
      <c r="C49" s="36">
        <f t="shared" ref="C49:N49" si="5">$F$44*C$20</f>
        <v>1025.6074987843904</v>
      </c>
      <c r="D49" s="36">
        <f t="shared" si="5"/>
        <v>1197.2177798352159</v>
      </c>
      <c r="E49" s="36">
        <f t="shared" si="5"/>
        <v>499.33597022851694</v>
      </c>
      <c r="F49" s="36">
        <f t="shared" si="5"/>
        <v>339.16637458107698</v>
      </c>
      <c r="G49" s="36">
        <f t="shared" si="5"/>
        <v>316.28500377430043</v>
      </c>
      <c r="H49" s="36">
        <f t="shared" si="5"/>
        <v>316.28500377430043</v>
      </c>
      <c r="I49" s="36">
        <f t="shared" si="5"/>
        <v>167.55609353024911</v>
      </c>
      <c r="J49" s="36">
        <f t="shared" si="5"/>
        <v>156.11540812686053</v>
      </c>
      <c r="K49" s="36">
        <f t="shared" si="5"/>
        <v>201.87814974041481</v>
      </c>
      <c r="L49" s="36">
        <f t="shared" si="5"/>
        <v>167.55609353024911</v>
      </c>
      <c r="M49" s="36">
        <f t="shared" si="5"/>
        <v>556.5393972454591</v>
      </c>
      <c r="N49" s="36">
        <f t="shared" si="5"/>
        <v>991.28544257422641</v>
      </c>
    </row>
    <row r="50" spans="1:15">
      <c r="A50" s="9" t="s">
        <v>72</v>
      </c>
      <c r="B50" s="1" t="str">
        <f>_xlfn.LET(
_xlpm.sido,$B$19,
_xlpm.sgg,$C$19,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제주</v>
      </c>
      <c r="C50"/>
      <c r="D50"/>
      <c r="E50"/>
      <c r="F50"/>
      <c r="G50"/>
      <c r="H50"/>
      <c r="I50"/>
      <c r="J50"/>
      <c r="K50"/>
      <c r="L50"/>
      <c r="M50"/>
      <c r="N50"/>
    </row>
    <row r="51" spans="1:15">
      <c r="B51" s="37" t="s">
        <v>73</v>
      </c>
      <c r="C51" s="38">
        <f>CHOOSE(MATCH($B$50,{"중부1","중부2","남부","제주"},0),COP_계산기!C14,COP_계산기!C18,COP_계산기!C22,COP_계산기!C26)</f>
        <v>3.3606557377049184</v>
      </c>
      <c r="D51" s="38">
        <f>CHOOSE(MATCH($B$50,{"중부1","중부2","남부","제주"},0),COP_계산기!D14,COP_계산기!D18,COP_계산기!D22,COP_계산기!D26)</f>
        <v>3.4166666666666665</v>
      </c>
      <c r="E51" s="38">
        <f>CHOOSE(MATCH($B$50,{"중부1","중부2","남부","제주"},0),COP_계산기!E14,COP_계산기!E18,COP_계산기!E22,COP_계산기!E26)</f>
        <v>3.6853932584269664</v>
      </c>
      <c r="F51" s="38">
        <f>CHOOSE(MATCH($B$50,{"중부1","중부2","남부","제주"},0),COP_계산기!F14,COP_계산기!F18,COP_계산기!F22,COP_계산기!F26)</f>
        <v>4.1206030150753774</v>
      </c>
      <c r="G51" s="38">
        <f>CHOOSE(MATCH($B$50,{"중부1","중부2","남부","제주"},0),COP_계산기!G14,COP_계산기!G18,COP_계산기!G22,COP_계산기!G26)</f>
        <v>4.619718309859155</v>
      </c>
      <c r="H51" s="38">
        <f>CHOOSE(MATCH($B$50,{"중부1","중부2","남부","제주"},0),COP_계산기!H14,COP_계산기!H18,COP_계산기!H22,COP_계산기!H26)</f>
        <v>5.125</v>
      </c>
      <c r="I51" s="38">
        <f>CHOOSE(MATCH($B$50,{"중부1","중부2","남부","제주"},0),COP_계산기!I14,COP_계산기!I18,COP_계산기!I22,COP_계산기!I26)</f>
        <v>5.8992805755395681</v>
      </c>
      <c r="J51" s="38">
        <f>CHOOSE(MATCH($B$50,{"중부1","중부2","남부","제주"},0),COP_계산기!J14,COP_계산기!J18,COP_계산기!J22,COP_계산기!J26)</f>
        <v>6.0740740740740744</v>
      </c>
      <c r="K51" s="38">
        <f>CHOOSE(MATCH($B$50,{"중부1","중부2","남부","제주"},0),COP_계산기!K14,COP_계산기!K18,COP_계산기!K22,COP_계산기!K26)</f>
        <v>5.290322580645161</v>
      </c>
      <c r="L51" s="38">
        <f>CHOOSE(MATCH($B$50,{"중부1","중부2","남부","제주"},0),COP_계산기!L14,COP_계산기!L18,COP_계산기!L22,COP_계산기!L26)</f>
        <v>4.5555555555555554</v>
      </c>
      <c r="M51" s="38">
        <f>CHOOSE(MATCH($B$50,{"중부1","중부2","남부","제주"},0),COP_계산기!M14,COP_계산기!M18,COP_계산기!M22,COP_계산기!M26)</f>
        <v>3.9518072289156625</v>
      </c>
      <c r="N51" s="38">
        <f>CHOOSE(MATCH($B$50,{"중부1","중부2","남부","제주"},0),COP_계산기!N14,COP_계산기!N18,COP_계산기!N22,COP_계산기!N26)</f>
        <v>3.5042735042735047</v>
      </c>
      <c r="O51" s="38">
        <f>CHOOSE(MATCH($B$50,{"중부1","중부2","남부","제주"},0),COP_계산기!P12,COP_계산기!P16,COP_계산기!P20,COP_계산기!P24)</f>
        <v>3.5566006959193195</v>
      </c>
    </row>
    <row r="52" spans="1:15">
      <c r="C52"/>
      <c r="D52"/>
      <c r="E52"/>
      <c r="F52"/>
      <c r="G52"/>
      <c r="H52"/>
      <c r="I52"/>
      <c r="J52"/>
      <c r="K52"/>
      <c r="L52"/>
      <c r="M52"/>
      <c r="N52"/>
    </row>
    <row r="53" spans="1:15">
      <c r="A53" s="6" t="s">
        <v>74</v>
      </c>
      <c r="B53" s="39" t="s">
        <v>75</v>
      </c>
      <c r="C53"/>
      <c r="D53"/>
      <c r="E53"/>
      <c r="F53"/>
      <c r="G53"/>
      <c r="H53"/>
      <c r="I53"/>
      <c r="J53"/>
      <c r="K53"/>
      <c r="L53"/>
      <c r="M53"/>
      <c r="N53"/>
    </row>
    <row r="54" spans="1:15">
      <c r="B54" s="40" t="s">
        <v>76</v>
      </c>
      <c r="C54" s="36">
        <f>C46/C$51</f>
        <v>609.47726900997543</v>
      </c>
      <c r="D54" s="36">
        <f t="shared" ref="C54:N54" si="6">D46/D$51</f>
        <v>699.79510222694569</v>
      </c>
      <c r="E54" s="36">
        <f t="shared" si="6"/>
        <v>270.58851944176899</v>
      </c>
      <c r="F54" s="36">
        <f t="shared" si="6"/>
        <v>164.38128252485572</v>
      </c>
      <c r="G54" s="36">
        <f t="shared" si="6"/>
        <v>136.72988775578168</v>
      </c>
      <c r="H54" s="36">
        <f t="shared" si="6"/>
        <v>123.2494762869018</v>
      </c>
      <c r="I54" s="36">
        <f t="shared" si="6"/>
        <v>56.723304805174081</v>
      </c>
      <c r="J54" s="36">
        <f t="shared" si="6"/>
        <v>51.329382092421589</v>
      </c>
      <c r="K54" s="36">
        <f t="shared" si="6"/>
        <v>76.209219325840721</v>
      </c>
      <c r="L54" s="36">
        <f t="shared" si="6"/>
        <v>73.454639316052763</v>
      </c>
      <c r="M54" s="36">
        <f t="shared" si="6"/>
        <v>281.25516935252233</v>
      </c>
      <c r="N54" s="36">
        <f t="shared" si="6"/>
        <v>564.93838595919351</v>
      </c>
    </row>
    <row r="55" spans="1:15">
      <c r="B55" s="40" t="s">
        <v>77</v>
      </c>
      <c r="C55" s="36">
        <f t="shared" ref="C55:N55" si="7">C47/C$51</f>
        <v>549.85449269378216</v>
      </c>
      <c r="D55" s="36">
        <f t="shared" si="7"/>
        <v>631.33688570474442</v>
      </c>
      <c r="E55" s="36">
        <f t="shared" si="7"/>
        <v>244.11790340942201</v>
      </c>
      <c r="F55" s="36">
        <f t="shared" si="7"/>
        <v>148.30050488655462</v>
      </c>
      <c r="G55" s="36">
        <f t="shared" si="7"/>
        <v>123.3541378666291</v>
      </c>
      <c r="H55" s="36">
        <f t="shared" si="7"/>
        <v>111.19246230231356</v>
      </c>
      <c r="I55" s="36">
        <f t="shared" si="7"/>
        <v>51.174285856841834</v>
      </c>
      <c r="J55" s="36">
        <f t="shared" si="7"/>
        <v>46.308029496423828</v>
      </c>
      <c r="K55" s="36">
        <f t="shared" si="7"/>
        <v>68.753969609182391</v>
      </c>
      <c r="L55" s="36">
        <f t="shared" si="7"/>
        <v>66.268859382960642</v>
      </c>
      <c r="M55" s="36">
        <f t="shared" si="7"/>
        <v>253.74107669847126</v>
      </c>
      <c r="N55" s="36">
        <f t="shared" si="7"/>
        <v>509.67267428927238</v>
      </c>
    </row>
    <row r="56" spans="1:15">
      <c r="B56" s="40" t="s">
        <v>78</v>
      </c>
      <c r="C56" s="36">
        <f t="shared" ref="C56:N56" si="8">C48/C$51</f>
        <v>374.96095206425036</v>
      </c>
      <c r="D56" s="36">
        <f t="shared" si="8"/>
        <v>430.52604440383209</v>
      </c>
      <c r="E56" s="36">
        <f t="shared" si="8"/>
        <v>166.47073488458685</v>
      </c>
      <c r="F56" s="36">
        <f t="shared" si="8"/>
        <v>101.130206705139</v>
      </c>
      <c r="G56" s="36">
        <f t="shared" si="8"/>
        <v>84.118590627383796</v>
      </c>
      <c r="H56" s="36">
        <f t="shared" si="8"/>
        <v>75.825208452853005</v>
      </c>
      <c r="I56" s="36">
        <f t="shared" si="8"/>
        <v>34.897157704548668</v>
      </c>
      <c r="J56" s="36">
        <f t="shared" si="8"/>
        <v>31.578723205719871</v>
      </c>
      <c r="K56" s="36">
        <f t="shared" si="8"/>
        <v>46.885229175007694</v>
      </c>
      <c r="L56" s="36">
        <f t="shared" si="8"/>
        <v>45.190563933947914</v>
      </c>
      <c r="M56" s="36">
        <f t="shared" si="8"/>
        <v>173.03304230643536</v>
      </c>
      <c r="N56" s="36">
        <f t="shared" si="8"/>
        <v>347.55986125781675</v>
      </c>
    </row>
    <row r="57" spans="1:15">
      <c r="B57" s="35" t="s">
        <v>79</v>
      </c>
      <c r="C57" s="36">
        <f t="shared" ref="C57:N57" si="9">C49/C$51</f>
        <v>305.18076793096492</v>
      </c>
      <c r="D57" s="36">
        <f t="shared" si="9"/>
        <v>350.40520385420956</v>
      </c>
      <c r="E57" s="36">
        <f t="shared" si="9"/>
        <v>135.49055289737197</v>
      </c>
      <c r="F57" s="36">
        <f t="shared" si="9"/>
        <v>82.309888465407695</v>
      </c>
      <c r="G57" s="36">
        <f t="shared" si="9"/>
        <v>68.464131914558934</v>
      </c>
      <c r="H57" s="36">
        <f t="shared" si="9"/>
        <v>61.71414707791228</v>
      </c>
      <c r="I57" s="36">
        <f t="shared" si="9"/>
        <v>28.402801220371497</v>
      </c>
      <c r="J57" s="36">
        <f t="shared" si="9"/>
        <v>25.701926947714842</v>
      </c>
      <c r="K57" s="36">
        <f t="shared" si="9"/>
        <v>38.159894158249145</v>
      </c>
      <c r="L57" s="36">
        <f t="shared" si="9"/>
        <v>36.780605896883955</v>
      </c>
      <c r="M57" s="36">
        <f t="shared" si="9"/>
        <v>140.83161576638142</v>
      </c>
      <c r="N57" s="36">
        <f t="shared" si="9"/>
        <v>282.87901653947432</v>
      </c>
    </row>
    <row r="58" spans="1:15">
      <c r="C58"/>
      <c r="D58"/>
      <c r="E58"/>
      <c r="F58"/>
      <c r="G58"/>
      <c r="H58"/>
      <c r="I58"/>
      <c r="J58"/>
      <c r="K58"/>
      <c r="L58"/>
      <c r="M58"/>
      <c r="N58"/>
    </row>
    <row r="59" spans="1:15">
      <c r="C59"/>
      <c r="D59"/>
      <c r="E59"/>
      <c r="F59"/>
      <c r="G59"/>
      <c r="H59"/>
      <c r="I59"/>
      <c r="J59"/>
      <c r="K59"/>
      <c r="L59"/>
      <c r="M59"/>
      <c r="N59"/>
    </row>
    <row r="60" spans="1:15">
      <c r="C60"/>
      <c r="D60"/>
      <c r="E60"/>
      <c r="F60"/>
      <c r="G60"/>
      <c r="H60"/>
      <c r="I60"/>
      <c r="J60"/>
      <c r="K60"/>
      <c r="L60"/>
      <c r="M60"/>
      <c r="N60"/>
    </row>
    <row r="61" spans="1:15">
      <c r="C61"/>
      <c r="D61"/>
      <c r="E61"/>
      <c r="F61"/>
      <c r="G61"/>
      <c r="H61"/>
      <c r="I61"/>
      <c r="J61"/>
      <c r="K61"/>
      <c r="L61"/>
      <c r="M61"/>
      <c r="N61"/>
    </row>
    <row r="62" spans="1:15">
      <c r="B62" s="41"/>
      <c r="C62" s="42"/>
      <c r="E62" s="43"/>
      <c r="F62" s="43"/>
      <c r="G62" s="27"/>
    </row>
    <row r="63" spans="1:15">
      <c r="B63" s="41"/>
      <c r="C63" s="161"/>
      <c r="D63" s="162"/>
      <c r="E63" s="163"/>
      <c r="F63" s="163"/>
      <c r="G63" s="27"/>
    </row>
    <row r="64" spans="1:15">
      <c r="B64" s="44" t="s">
        <v>80</v>
      </c>
      <c r="C64" s="169" t="s">
        <v>462</v>
      </c>
      <c r="D64" s="162"/>
      <c r="E64" s="163"/>
      <c r="F64" s="163"/>
      <c r="G64" s="27"/>
    </row>
    <row r="65" spans="1:8">
      <c r="B65" s="165" t="s">
        <v>463</v>
      </c>
      <c r="C65" s="164" t="s">
        <v>47</v>
      </c>
      <c r="D65" s="164" t="s">
        <v>53</v>
      </c>
      <c r="E65" s="164" t="s">
        <v>54</v>
      </c>
      <c r="F65" s="163" t="s">
        <v>55</v>
      </c>
      <c r="G65" s="165" t="s">
        <v>459</v>
      </c>
    </row>
    <row r="66" spans="1:8">
      <c r="A66">
        <v>2026</v>
      </c>
      <c r="B66" s="171">
        <v>1</v>
      </c>
      <c r="C66" s="45">
        <f>$C$43/1000*E10</f>
        <v>2.8146792199984829</v>
      </c>
      <c r="D66" s="134">
        <f>($D$43/1000)*F10</f>
        <v>3.1198854004802468</v>
      </c>
      <c r="E66" s="133">
        <f>(E43/1000)*G10</f>
        <v>2.7241977575443848</v>
      </c>
      <c r="F66" s="133">
        <f>(F43/1000)*H10</f>
        <v>1.6851981353293968</v>
      </c>
      <c r="G66" s="166" cm="1">
        <f t="array" ref="G66">_xlfn.IFS(
TRIM(C8)="가스 콘덴싱보일러",C44/1000*I10,
TRIM(C8)="가스 일반보일러",D44/1000*I10,
TRIM(C8)="등유 보일러",E44/1000*I10,
TRIM(C8)="LPG 보일러",F44/1000*I10
)</f>
        <v>1.3906626149259305</v>
      </c>
    </row>
    <row r="67" spans="1:8">
      <c r="A67">
        <v>2027</v>
      </c>
      <c r="B67" s="172">
        <v>2</v>
      </c>
      <c r="C67" s="45">
        <f>C66</f>
        <v>2.8146792199984829</v>
      </c>
      <c r="D67" s="45">
        <f t="shared" ref="D67:F67" si="10">D66</f>
        <v>3.1198854004802468</v>
      </c>
      <c r="E67" s="45">
        <f t="shared" si="10"/>
        <v>2.7241977575443848</v>
      </c>
      <c r="F67" s="45">
        <f t="shared" si="10"/>
        <v>1.6851981353293968</v>
      </c>
      <c r="G67" s="45">
        <f>$G$66+(B67-1)*($G$78-$G$66)/12</f>
        <v>1.3117280020385857</v>
      </c>
    </row>
    <row r="68" spans="1:8">
      <c r="A68">
        <v>2028</v>
      </c>
      <c r="B68" s="172">
        <v>3</v>
      </c>
      <c r="C68" s="45">
        <f t="shared" ref="C68:C83" si="11">C67</f>
        <v>2.8146792199984829</v>
      </c>
      <c r="D68" s="45">
        <f t="shared" ref="D68:D83" si="12">D67</f>
        <v>3.1198854004802468</v>
      </c>
      <c r="E68" s="45">
        <f t="shared" ref="E68:E83" si="13">E67</f>
        <v>2.7241977575443848</v>
      </c>
      <c r="F68" s="45">
        <f t="shared" ref="F68:F83" si="14">F67</f>
        <v>1.6851981353293968</v>
      </c>
      <c r="G68" s="45">
        <f t="shared" ref="G68:G77" si="15">$G$66+(B68-1)*($G$78-$G$66)/12</f>
        <v>1.2327933891512408</v>
      </c>
    </row>
    <row r="69" spans="1:8">
      <c r="A69">
        <v>2029</v>
      </c>
      <c r="B69" s="172">
        <v>4</v>
      </c>
      <c r="C69" s="45">
        <f t="shared" si="11"/>
        <v>2.8146792199984829</v>
      </c>
      <c r="D69" s="45">
        <f t="shared" si="12"/>
        <v>3.1198854004802468</v>
      </c>
      <c r="E69" s="45">
        <f t="shared" si="13"/>
        <v>2.7241977575443848</v>
      </c>
      <c r="F69" s="45">
        <f t="shared" si="14"/>
        <v>1.6851981353293968</v>
      </c>
      <c r="G69" s="45">
        <f t="shared" si="15"/>
        <v>1.1538587762638959</v>
      </c>
    </row>
    <row r="70" spans="1:8">
      <c r="A70">
        <v>2030</v>
      </c>
      <c r="B70" s="171">
        <v>5</v>
      </c>
      <c r="C70" s="45">
        <f t="shared" si="11"/>
        <v>2.8146792199984829</v>
      </c>
      <c r="D70" s="45">
        <f t="shared" si="12"/>
        <v>3.1198854004802468</v>
      </c>
      <c r="E70" s="45">
        <f t="shared" si="13"/>
        <v>2.7241977575443848</v>
      </c>
      <c r="F70" s="45">
        <f t="shared" si="14"/>
        <v>1.6851981353293968</v>
      </c>
      <c r="G70" s="45">
        <f t="shared" si="15"/>
        <v>1.0749241633765512</v>
      </c>
    </row>
    <row r="71" spans="1:8">
      <c r="A71">
        <v>2031</v>
      </c>
      <c r="B71" s="172">
        <v>6</v>
      </c>
      <c r="C71" s="45">
        <f t="shared" si="11"/>
        <v>2.8146792199984829</v>
      </c>
      <c r="D71" s="45">
        <f t="shared" si="12"/>
        <v>3.1198854004802468</v>
      </c>
      <c r="E71" s="45">
        <f t="shared" si="13"/>
        <v>2.7241977575443848</v>
      </c>
      <c r="F71" s="45">
        <f t="shared" si="14"/>
        <v>1.6851981353293968</v>
      </c>
      <c r="G71" s="45">
        <f t="shared" si="15"/>
        <v>0.99598955048920623</v>
      </c>
    </row>
    <row r="72" spans="1:8">
      <c r="A72">
        <v>2032</v>
      </c>
      <c r="B72" s="172">
        <v>7</v>
      </c>
      <c r="C72" s="45">
        <f t="shared" si="11"/>
        <v>2.8146792199984829</v>
      </c>
      <c r="D72" s="45">
        <f t="shared" si="12"/>
        <v>3.1198854004802468</v>
      </c>
      <c r="E72" s="45">
        <f t="shared" si="13"/>
        <v>2.7241977575443848</v>
      </c>
      <c r="F72" s="45">
        <f t="shared" si="14"/>
        <v>1.6851981353293968</v>
      </c>
      <c r="G72" s="45">
        <f t="shared" si="15"/>
        <v>0.91705493760186152</v>
      </c>
    </row>
    <row r="73" spans="1:8">
      <c r="A73">
        <v>2033</v>
      </c>
      <c r="B73" s="172">
        <v>8</v>
      </c>
      <c r="C73" s="45">
        <f t="shared" si="11"/>
        <v>2.8146792199984829</v>
      </c>
      <c r="D73" s="45">
        <f t="shared" si="12"/>
        <v>3.1198854004802468</v>
      </c>
      <c r="E73" s="45">
        <f t="shared" si="13"/>
        <v>2.7241977575443848</v>
      </c>
      <c r="F73" s="45">
        <f t="shared" si="14"/>
        <v>1.6851981353293968</v>
      </c>
      <c r="G73" s="45">
        <f t="shared" si="15"/>
        <v>0.8381203247145167</v>
      </c>
    </row>
    <row r="74" spans="1:8">
      <c r="A74">
        <v>2034</v>
      </c>
      <c r="B74" s="171">
        <v>9</v>
      </c>
      <c r="C74" s="45">
        <f t="shared" si="11"/>
        <v>2.8146792199984829</v>
      </c>
      <c r="D74" s="45">
        <f t="shared" si="12"/>
        <v>3.1198854004802468</v>
      </c>
      <c r="E74" s="45">
        <f t="shared" si="13"/>
        <v>2.7241977575443848</v>
      </c>
      <c r="F74" s="45">
        <f t="shared" si="14"/>
        <v>1.6851981353293968</v>
      </c>
      <c r="G74" s="45">
        <f t="shared" si="15"/>
        <v>0.75918571182717187</v>
      </c>
    </row>
    <row r="75" spans="1:8">
      <c r="A75">
        <v>2035</v>
      </c>
      <c r="B75" s="172">
        <v>10</v>
      </c>
      <c r="C75" s="45">
        <f t="shared" si="11"/>
        <v>2.8146792199984829</v>
      </c>
      <c r="D75" s="45">
        <f t="shared" si="12"/>
        <v>3.1198854004802468</v>
      </c>
      <c r="E75" s="45">
        <f t="shared" si="13"/>
        <v>2.7241977575443848</v>
      </c>
      <c r="F75" s="45">
        <f t="shared" si="14"/>
        <v>1.6851981353293968</v>
      </c>
      <c r="G75" s="45">
        <f t="shared" si="15"/>
        <v>0.68025109893982705</v>
      </c>
    </row>
    <row r="76" spans="1:8">
      <c r="A76">
        <v>2036</v>
      </c>
      <c r="B76" s="172">
        <v>11</v>
      </c>
      <c r="C76" s="45">
        <f t="shared" si="11"/>
        <v>2.8146792199984829</v>
      </c>
      <c r="D76" s="45">
        <f t="shared" si="12"/>
        <v>3.1198854004802468</v>
      </c>
      <c r="E76" s="45">
        <f t="shared" si="13"/>
        <v>2.7241977575443848</v>
      </c>
      <c r="F76" s="45">
        <f t="shared" si="14"/>
        <v>1.6851981353293968</v>
      </c>
      <c r="G76" s="45">
        <f t="shared" si="15"/>
        <v>0.60131648605248211</v>
      </c>
    </row>
    <row r="77" spans="1:8">
      <c r="A77">
        <v>2037</v>
      </c>
      <c r="B77" s="172">
        <v>12</v>
      </c>
      <c r="C77" s="45">
        <f t="shared" si="11"/>
        <v>2.8146792199984829</v>
      </c>
      <c r="D77" s="45">
        <f t="shared" si="12"/>
        <v>3.1198854004802468</v>
      </c>
      <c r="E77" s="45">
        <f t="shared" si="13"/>
        <v>2.7241977575443848</v>
      </c>
      <c r="F77" s="45">
        <f t="shared" si="14"/>
        <v>1.6851981353293968</v>
      </c>
      <c r="G77" s="45">
        <f t="shared" si="15"/>
        <v>0.5223818731651374</v>
      </c>
    </row>
    <row r="78" spans="1:8">
      <c r="A78">
        <v>2038</v>
      </c>
      <c r="B78" s="171">
        <v>13</v>
      </c>
      <c r="C78" s="45">
        <f t="shared" si="11"/>
        <v>2.8146792199984829</v>
      </c>
      <c r="D78" s="45">
        <f t="shared" si="12"/>
        <v>3.1198854004802468</v>
      </c>
      <c r="E78" s="45">
        <f t="shared" si="13"/>
        <v>2.7241977575443848</v>
      </c>
      <c r="F78" s="45">
        <f t="shared" si="14"/>
        <v>1.6851981353293968</v>
      </c>
      <c r="G78" s="166" cm="1">
        <f t="array" ref="G78">_xlfn.IFS(
TRIM(C8)="가스 콘덴싱보일러",C44/1000*J10,
TRIM(C8)="가스 일반보일러",D44/1000*J10,
TRIM(C8)="등유 보일러",E44/1000*J10,
TRIM(C8)="LPG 보일러",F44/1000*J10
)</f>
        <v>0.44344726027779263</v>
      </c>
      <c r="H78" s="167"/>
    </row>
    <row r="79" spans="1:8">
      <c r="A79">
        <v>2039</v>
      </c>
      <c r="B79" s="172">
        <v>14</v>
      </c>
      <c r="C79" s="45">
        <f t="shared" si="11"/>
        <v>2.8146792199984829</v>
      </c>
      <c r="D79" s="45">
        <f t="shared" si="12"/>
        <v>3.1198854004802468</v>
      </c>
      <c r="E79" s="45">
        <f t="shared" si="13"/>
        <v>2.7241977575443848</v>
      </c>
      <c r="F79" s="45">
        <f t="shared" si="14"/>
        <v>1.6851981353293968</v>
      </c>
      <c r="G79" s="45">
        <f>G78-$G$78/12</f>
        <v>0.40649332192130994</v>
      </c>
    </row>
    <row r="80" spans="1:8">
      <c r="A80">
        <v>2040</v>
      </c>
      <c r="B80" s="172">
        <v>15</v>
      </c>
      <c r="C80" s="45">
        <f t="shared" si="11"/>
        <v>2.8146792199984829</v>
      </c>
      <c r="D80" s="45">
        <f t="shared" si="12"/>
        <v>3.1198854004802468</v>
      </c>
      <c r="E80" s="45">
        <f t="shared" si="13"/>
        <v>2.7241977575443848</v>
      </c>
      <c r="F80" s="45">
        <f t="shared" si="14"/>
        <v>1.6851981353293968</v>
      </c>
      <c r="G80" s="45">
        <f t="shared" ref="G80:G83" si="16">G79-$G$78/12</f>
        <v>0.36953938356482724</v>
      </c>
    </row>
    <row r="81" spans="1:7">
      <c r="A81">
        <v>2041</v>
      </c>
      <c r="B81" s="171">
        <v>16</v>
      </c>
      <c r="C81" s="45">
        <f t="shared" si="11"/>
        <v>2.8146792199984829</v>
      </c>
      <c r="D81" s="45">
        <f t="shared" si="12"/>
        <v>3.1198854004802468</v>
      </c>
      <c r="E81" s="45">
        <f t="shared" si="13"/>
        <v>2.7241977575443848</v>
      </c>
      <c r="F81" s="45">
        <f t="shared" si="14"/>
        <v>1.6851981353293968</v>
      </c>
      <c r="G81" s="45">
        <f t="shared" si="16"/>
        <v>0.33258544520834454</v>
      </c>
    </row>
    <row r="82" spans="1:7">
      <c r="A82">
        <v>2042</v>
      </c>
      <c r="B82" s="172">
        <v>17</v>
      </c>
      <c r="C82" s="45">
        <f t="shared" si="11"/>
        <v>2.8146792199984829</v>
      </c>
      <c r="D82" s="45">
        <f t="shared" si="12"/>
        <v>3.1198854004802468</v>
      </c>
      <c r="E82" s="45">
        <f t="shared" si="13"/>
        <v>2.7241977575443848</v>
      </c>
      <c r="F82" s="45">
        <f t="shared" si="14"/>
        <v>1.6851981353293968</v>
      </c>
      <c r="G82" s="45">
        <f t="shared" si="16"/>
        <v>0.29563150685186185</v>
      </c>
    </row>
    <row r="83" spans="1:7">
      <c r="A83">
        <v>2043</v>
      </c>
      <c r="B83" s="172">
        <v>18</v>
      </c>
      <c r="C83" s="45">
        <f t="shared" si="11"/>
        <v>2.8146792199984829</v>
      </c>
      <c r="D83" s="45">
        <f t="shared" si="12"/>
        <v>3.1198854004802468</v>
      </c>
      <c r="E83" s="45">
        <f t="shared" si="13"/>
        <v>2.7241977575443848</v>
      </c>
      <c r="F83" s="45">
        <f t="shared" si="14"/>
        <v>1.6851981353293968</v>
      </c>
      <c r="G83" s="45">
        <f t="shared" si="16"/>
        <v>0.25867756849537915</v>
      </c>
    </row>
    <row r="84" spans="1:7">
      <c r="B84" s="170" t="s">
        <v>461</v>
      </c>
      <c r="C84" s="168">
        <f>SUM(C66:C83)</f>
        <v>50.664225959972676</v>
      </c>
      <c r="D84" s="168">
        <f t="shared" ref="D84:G84" si="17">SUM(D66:D83)</f>
        <v>56.157937208644462</v>
      </c>
      <c r="E84" s="168">
        <f t="shared" si="17"/>
        <v>49.035559635798947</v>
      </c>
      <c r="F84" s="168">
        <f t="shared" si="17"/>
        <v>30.333566435929146</v>
      </c>
      <c r="G84" s="168">
        <f t="shared" si="17"/>
        <v>13.584641414865924</v>
      </c>
    </row>
    <row r="87" spans="1:7">
      <c r="B87" s="46" t="s">
        <v>81</v>
      </c>
      <c r="C87" s="47" t="s">
        <v>82</v>
      </c>
      <c r="D87" s="47" t="s">
        <v>83</v>
      </c>
      <c r="E87" s="48" t="s">
        <v>84</v>
      </c>
    </row>
    <row r="88" spans="1:7">
      <c r="B88" s="49" t="s">
        <v>85</v>
      </c>
      <c r="C88" t="s">
        <v>86</v>
      </c>
      <c r="D88" s="28">
        <v>1</v>
      </c>
      <c r="E88" s="50">
        <f>10190/42.7</f>
        <v>238.64168618266979</v>
      </c>
    </row>
    <row r="89" spans="1:7">
      <c r="B89" s="49" t="s">
        <v>54</v>
      </c>
      <c r="C89" t="s">
        <v>87</v>
      </c>
      <c r="D89" s="51">
        <v>36.6</v>
      </c>
      <c r="E89" s="52">
        <v>8740</v>
      </c>
    </row>
    <row r="90" spans="1:7">
      <c r="B90" s="53" t="s">
        <v>88</v>
      </c>
      <c r="C90" s="54" t="s">
        <v>89</v>
      </c>
      <c r="D90" s="55">
        <v>50.2</v>
      </c>
      <c r="E90" s="56">
        <v>12000</v>
      </c>
    </row>
  </sheetData>
  <phoneticPr fontId="52" type="noConversion"/>
  <dataValidations count="2">
    <dataValidation type="list" allowBlank="1" showInputMessage="1" showErrorMessage="1" sqref="C8" xr:uid="{958DBC3A-1CEA-43DD-A80B-8E8D48A05006}">
      <formula1>E8:H8</formula1>
    </dataValidation>
    <dataValidation type="list" allowBlank="1" showInputMessage="1" showErrorMessage="1" sqref="C13" xr:uid="{01773ED9-6C02-4385-ACDB-BA2D6E922BB4}">
      <formula1>$E$13:$G$13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C19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zoomScaleNormal="100" workbookViewId="0">
      <selection activeCell="A21" sqref="A21"/>
    </sheetView>
  </sheetViews>
  <sheetFormatPr defaultColWidth="8.5" defaultRowHeight="16.5"/>
  <cols>
    <col min="1" max="1" width="14.25" style="1" customWidth="1"/>
    <col min="2" max="2" width="20.625" style="1" customWidth="1"/>
  </cols>
  <sheetData>
    <row r="1" spans="1:14">
      <c r="A1" s="9" t="s">
        <v>31</v>
      </c>
      <c r="B1" s="9" t="s">
        <v>90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</row>
    <row r="2" spans="1:14">
      <c r="A2" s="9" t="s">
        <v>91</v>
      </c>
      <c r="B2" s="9" t="s">
        <v>92</v>
      </c>
      <c r="C2" s="57">
        <v>0.205290240813082</v>
      </c>
      <c r="D2" s="57">
        <v>0.19690433532207599</v>
      </c>
      <c r="E2" s="57">
        <v>0.15276304325912199</v>
      </c>
      <c r="F2" s="57">
        <v>9.0096651719840395E-2</v>
      </c>
      <c r="G2" s="57">
        <v>4.8884172748526397E-2</v>
      </c>
      <c r="H2" s="57">
        <v>3.0832674692708398E-2</v>
      </c>
      <c r="I2" s="57">
        <v>1.9948258788286599E-2</v>
      </c>
      <c r="J2" s="57">
        <v>1.6926410373854801E-2</v>
      </c>
      <c r="K2" s="57">
        <v>2.3031186025169501E-2</v>
      </c>
      <c r="L2" s="57">
        <v>3.4657980388655502E-2</v>
      </c>
      <c r="M2" s="57">
        <v>6.7692398078732993E-2</v>
      </c>
      <c r="N2" s="57">
        <v>0.11297264778994601</v>
      </c>
    </row>
    <row r="3" spans="1:14">
      <c r="A3" s="9" t="s">
        <v>93</v>
      </c>
      <c r="B3" s="9" t="s">
        <v>92</v>
      </c>
      <c r="C3" s="58">
        <v>0.19641921152213601</v>
      </c>
      <c r="D3" s="58">
        <v>0.19735821301093201</v>
      </c>
      <c r="E3" s="58">
        <v>0.155331375543662</v>
      </c>
      <c r="F3" s="58">
        <v>9.8205926523249498E-2</v>
      </c>
      <c r="G3" s="58">
        <v>4.9145957185706399E-2</v>
      </c>
      <c r="H3" s="58">
        <v>2.9024122390419599E-2</v>
      </c>
      <c r="I3" s="58">
        <v>1.7598115499647099E-2</v>
      </c>
      <c r="J3" s="58">
        <v>1.5418843589292601E-2</v>
      </c>
      <c r="K3" s="58">
        <v>2.0336869841967298E-2</v>
      </c>
      <c r="L3" s="58">
        <v>3.4673003935675899E-2</v>
      </c>
      <c r="M3" s="58">
        <v>6.9518548121628804E-2</v>
      </c>
      <c r="N3" s="58">
        <v>0.116969812835683</v>
      </c>
    </row>
    <row r="4" spans="1:14">
      <c r="A4" s="9" t="s">
        <v>94</v>
      </c>
      <c r="B4" s="9" t="s">
        <v>95</v>
      </c>
      <c r="C4" s="58">
        <v>0.202965578813149</v>
      </c>
      <c r="D4" s="58">
        <v>0.191130908471075</v>
      </c>
      <c r="E4" s="58">
        <v>0.14071140299568499</v>
      </c>
      <c r="F4" s="58">
        <v>8.6687505207674098E-2</v>
      </c>
      <c r="G4" s="58">
        <v>5.1980963514948297E-2</v>
      </c>
      <c r="H4" s="58">
        <v>3.3865165454297901E-2</v>
      </c>
      <c r="I4" s="58">
        <v>2.4416421913175598E-2</v>
      </c>
      <c r="J4" s="58">
        <v>2.2288615928295501E-2</v>
      </c>
      <c r="K4" s="58">
        <v>2.91744677421652E-2</v>
      </c>
      <c r="L4" s="58">
        <v>4.0317695207713201E-2</v>
      </c>
      <c r="M4" s="58">
        <v>6.9694973617410894E-2</v>
      </c>
      <c r="N4" s="58">
        <v>0.10676630113441</v>
      </c>
    </row>
    <row r="5" spans="1:14">
      <c r="A5" s="9" t="s">
        <v>96</v>
      </c>
      <c r="B5" s="9" t="s">
        <v>97</v>
      </c>
      <c r="C5" s="58">
        <v>0.2271183528531</v>
      </c>
      <c r="D5" s="58">
        <v>0.21775169060989499</v>
      </c>
      <c r="E5" s="58">
        <v>0.160648433160756</v>
      </c>
      <c r="F5" s="58">
        <v>9.9598217407877401E-2</v>
      </c>
      <c r="G5" s="58">
        <v>5.4080558959767697E-2</v>
      </c>
      <c r="H5" s="58">
        <v>3.2880614627286198E-2</v>
      </c>
      <c r="I5" s="58">
        <v>1.85935419428085E-2</v>
      </c>
      <c r="J5" s="58">
        <v>1.21464506478631E-2</v>
      </c>
      <c r="K5" s="58">
        <v>1.4277153578266999E-2</v>
      </c>
      <c r="L5" s="58">
        <v>2.0752133957666601E-2</v>
      </c>
      <c r="M5" s="58">
        <v>4.5812526707679699E-2</v>
      </c>
      <c r="N5" s="58">
        <v>9.6340325547033395E-2</v>
      </c>
    </row>
    <row r="6" spans="1:14">
      <c r="A6" s="9" t="s">
        <v>98</v>
      </c>
      <c r="B6" s="9" t="s">
        <v>99</v>
      </c>
      <c r="C6" s="58">
        <v>0.20927893408395001</v>
      </c>
      <c r="D6" s="58">
        <v>0.220339792409805</v>
      </c>
      <c r="E6" s="58">
        <v>0.16379592183021899</v>
      </c>
      <c r="F6" s="58">
        <v>9.3855063364575594E-2</v>
      </c>
      <c r="G6" s="58">
        <v>4.7895289976109402E-2</v>
      </c>
      <c r="H6" s="58">
        <v>2.7918998430707598E-2</v>
      </c>
      <c r="I6" s="58">
        <v>1.2901022686551101E-2</v>
      </c>
      <c r="J6" s="58">
        <v>1.04218647859284E-2</v>
      </c>
      <c r="K6" s="58">
        <v>1.1187487078767801E-2</v>
      </c>
      <c r="L6" s="58">
        <v>2.49021599170225E-2</v>
      </c>
      <c r="M6" s="58">
        <v>5.9573289104149302E-2</v>
      </c>
      <c r="N6" s="58">
        <v>0.117930176332214</v>
      </c>
    </row>
    <row r="7" spans="1:14">
      <c r="A7" s="9" t="s">
        <v>100</v>
      </c>
      <c r="B7" s="9" t="s">
        <v>101</v>
      </c>
      <c r="C7" s="58">
        <v>0.24781327365563499</v>
      </c>
      <c r="D7" s="58">
        <v>0.19161389581782701</v>
      </c>
      <c r="E7" s="58">
        <v>0.144604591206524</v>
      </c>
      <c r="F7" s="58">
        <v>8.1635570950837497E-2</v>
      </c>
      <c r="G7" s="58">
        <v>4.1774101071261699E-2</v>
      </c>
      <c r="H7" s="58">
        <v>3.7878720238627601E-2</v>
      </c>
      <c r="I7" s="58">
        <v>2.3204858461326399E-2</v>
      </c>
      <c r="J7" s="58">
        <v>2.3242677692711201E-2</v>
      </c>
      <c r="K7" s="58">
        <v>2.71694556230987E-2</v>
      </c>
      <c r="L7" s="58">
        <v>2.9061844333145501E-2</v>
      </c>
      <c r="M7" s="58">
        <v>5.6223188171464503E-2</v>
      </c>
      <c r="N7" s="58">
        <v>9.57778227775411E-2</v>
      </c>
    </row>
    <row r="8" spans="1:14">
      <c r="A8" s="9" t="s">
        <v>102</v>
      </c>
      <c r="B8" s="9" t="s">
        <v>103</v>
      </c>
      <c r="C8" s="58">
        <v>0.20506540950215699</v>
      </c>
      <c r="D8" s="58">
        <v>0.201021714238417</v>
      </c>
      <c r="E8" s="58">
        <v>0.17234340177584401</v>
      </c>
      <c r="F8" s="58">
        <v>9.4209632107404503E-2</v>
      </c>
      <c r="G8" s="58">
        <v>4.99684135310971E-2</v>
      </c>
      <c r="H8" s="58">
        <v>2.5493415882147701E-2</v>
      </c>
      <c r="I8" s="58">
        <v>1.1766134592084801E-2</v>
      </c>
      <c r="J8" s="58">
        <v>9.5314608937024509E-3</v>
      </c>
      <c r="K8" s="58">
        <v>1.9906731636191902E-2</v>
      </c>
      <c r="L8" s="58">
        <v>2.6903388572793702E-2</v>
      </c>
      <c r="M8" s="58">
        <v>6.1567434156034002E-2</v>
      </c>
      <c r="N8" s="58">
        <v>0.122222863112126</v>
      </c>
    </row>
    <row r="9" spans="1:14">
      <c r="A9" s="9" t="s">
        <v>104</v>
      </c>
      <c r="B9" s="9" t="s">
        <v>105</v>
      </c>
      <c r="C9" s="58">
        <v>0.20974002744717599</v>
      </c>
      <c r="D9" s="58">
        <v>0.21558494708860401</v>
      </c>
      <c r="E9" s="58">
        <v>0.16585522095906999</v>
      </c>
      <c r="F9" s="58">
        <v>9.4119212682297795E-2</v>
      </c>
      <c r="G9" s="58">
        <v>5.48017477719209E-2</v>
      </c>
      <c r="H9" s="58">
        <v>3.4743772171826101E-2</v>
      </c>
      <c r="I9" s="58">
        <v>1.5642269077456899E-2</v>
      </c>
      <c r="J9" s="58">
        <v>9.4328974794634698E-3</v>
      </c>
      <c r="K9" s="58">
        <v>1.58722020190675E-2</v>
      </c>
      <c r="L9" s="58">
        <v>2.3724661372410898E-2</v>
      </c>
      <c r="M9" s="58">
        <v>5.4514292707588299E-2</v>
      </c>
      <c r="N9" s="58">
        <v>0.105968749223118</v>
      </c>
    </row>
    <row r="10" spans="1:14">
      <c r="A10" s="6" t="s">
        <v>106</v>
      </c>
      <c r="B10" s="9" t="s">
        <v>107</v>
      </c>
      <c r="C10" s="58">
        <v>0.18966287139541299</v>
      </c>
      <c r="D10" s="58">
        <v>0.17164657062555899</v>
      </c>
      <c r="E10" s="58">
        <v>0.118598573914324</v>
      </c>
      <c r="F10" s="58">
        <v>8.1765247895957197E-2</v>
      </c>
      <c r="G10" s="58">
        <v>5.2738985544526801E-2</v>
      </c>
      <c r="H10" s="58">
        <v>3.1319605740367698E-2</v>
      </c>
      <c r="I10" s="58">
        <v>1.5905659526159799E-2</v>
      </c>
      <c r="J10" s="58">
        <v>1.37036672098444E-2</v>
      </c>
      <c r="K10" s="58">
        <v>3.5923771492663598E-2</v>
      </c>
      <c r="L10" s="58">
        <v>6.2748041527778603E-2</v>
      </c>
      <c r="M10" s="58">
        <v>9.3575933956194401E-2</v>
      </c>
      <c r="N10" s="58">
        <v>0.13241107117121201</v>
      </c>
    </row>
    <row r="11" spans="1:14">
      <c r="A11" s="9" t="s">
        <v>108</v>
      </c>
      <c r="B11" s="9" t="s">
        <v>109</v>
      </c>
      <c r="C11" s="58">
        <v>0.202652811113675</v>
      </c>
      <c r="D11" s="58">
        <v>0.19655864031919201</v>
      </c>
      <c r="E11" s="58">
        <v>0.15868242912239899</v>
      </c>
      <c r="F11" s="58">
        <v>7.9792199252748594E-2</v>
      </c>
      <c r="G11" s="58">
        <v>4.3627505979542201E-2</v>
      </c>
      <c r="H11" s="58">
        <v>2.8448588250069799E-2</v>
      </c>
      <c r="I11" s="58">
        <v>2.23628335539321E-2</v>
      </c>
      <c r="J11" s="58">
        <v>1.8622825498283899E-2</v>
      </c>
      <c r="K11" s="58">
        <v>2.21123626886763E-2</v>
      </c>
      <c r="L11" s="58">
        <v>3.4560079174174203E-2</v>
      </c>
      <c r="M11" s="58">
        <v>7.7122924743395105E-2</v>
      </c>
      <c r="N11" s="58">
        <v>0.115456800303912</v>
      </c>
    </row>
    <row r="12" spans="1:14">
      <c r="A12" s="9" t="s">
        <v>110</v>
      </c>
      <c r="B12" s="9" t="s">
        <v>111</v>
      </c>
      <c r="C12" s="58">
        <v>0.20253037914500499</v>
      </c>
      <c r="D12" s="58">
        <v>0.240619939313232</v>
      </c>
      <c r="E12" s="58">
        <v>0.14477451913932099</v>
      </c>
      <c r="F12" s="58">
        <v>0.1244614345179</v>
      </c>
      <c r="G12" s="58">
        <v>4.5634538972084901E-2</v>
      </c>
      <c r="H12" s="58">
        <v>9.0103505800293807E-3</v>
      </c>
      <c r="I12" s="58">
        <v>2.4260323064469701E-2</v>
      </c>
      <c r="J12" s="58">
        <v>1.59430749831613E-2</v>
      </c>
      <c r="K12" s="58">
        <v>1.53165022236946E-2</v>
      </c>
      <c r="L12" s="58">
        <v>2.5281030301665501E-2</v>
      </c>
      <c r="M12" s="58">
        <v>5.6852212568989299E-2</v>
      </c>
      <c r="N12" s="58">
        <v>9.5315695190447206E-2</v>
      </c>
    </row>
    <row r="13" spans="1:14">
      <c r="A13" s="6" t="s">
        <v>112</v>
      </c>
      <c r="B13" s="9" t="s">
        <v>113</v>
      </c>
      <c r="C13" s="58">
        <v>0.20021253334828401</v>
      </c>
      <c r="D13" s="58">
        <v>0.172862160429675</v>
      </c>
      <c r="E13" s="58">
        <v>0.112982301422762</v>
      </c>
      <c r="F13" s="58">
        <v>6.7184974854792703E-2</v>
      </c>
      <c r="G13" s="58">
        <v>3.9718217370572302E-2</v>
      </c>
      <c r="H13" s="58">
        <v>2.7905183961045299E-2</v>
      </c>
      <c r="I13" s="58">
        <v>1.94673029542402E-2</v>
      </c>
      <c r="J13" s="58">
        <v>1.7488765338851499E-2</v>
      </c>
      <c r="K13" s="58">
        <v>4.6934060438460698E-2</v>
      </c>
      <c r="L13" s="58">
        <v>6.7766897682848298E-2</v>
      </c>
      <c r="M13" s="58">
        <v>9.9539884094679495E-2</v>
      </c>
      <c r="N13" s="58">
        <v>0.12793771810378901</v>
      </c>
    </row>
    <row r="14" spans="1:14">
      <c r="A14" s="6" t="s">
        <v>114</v>
      </c>
      <c r="B14" s="9" t="s">
        <v>115</v>
      </c>
      <c r="C14" s="58">
        <v>0.20197157222700399</v>
      </c>
      <c r="D14" s="58">
        <v>0.185171068266855</v>
      </c>
      <c r="E14" s="58">
        <v>0.118503613915902</v>
      </c>
      <c r="F14" s="58">
        <v>8.3757117089230504E-2</v>
      </c>
      <c r="G14" s="58">
        <v>4.9239718043834098E-2</v>
      </c>
      <c r="H14" s="58">
        <v>2.3580766541061601E-2</v>
      </c>
      <c r="I14" s="58">
        <v>1.6096905686086301E-2</v>
      </c>
      <c r="J14" s="58">
        <v>1.15913159876828E-2</v>
      </c>
      <c r="K14" s="58">
        <v>2.7534824543803599E-2</v>
      </c>
      <c r="L14" s="58">
        <v>4.40072378542255E-2</v>
      </c>
      <c r="M14" s="58">
        <v>8.2320306312840597E-2</v>
      </c>
      <c r="N14" s="58">
        <v>0.15622555353147499</v>
      </c>
    </row>
    <row r="15" spans="1:14">
      <c r="A15" s="6" t="s">
        <v>116</v>
      </c>
      <c r="B15" s="9" t="s">
        <v>117</v>
      </c>
      <c r="C15" s="58">
        <v>0.18512214934004201</v>
      </c>
      <c r="D15" s="58">
        <v>0.17016871166543099</v>
      </c>
      <c r="E15" s="58">
        <v>0.14631513172757299</v>
      </c>
      <c r="F15" s="58">
        <v>6.87310633116026E-2</v>
      </c>
      <c r="G15" s="58">
        <v>4.5326985508252697E-2</v>
      </c>
      <c r="H15" s="58">
        <v>3.5348038122189299E-2</v>
      </c>
      <c r="I15" s="58">
        <v>2.5548891589928801E-2</v>
      </c>
      <c r="J15" s="58">
        <v>2.6028360533403301E-2</v>
      </c>
      <c r="K15" s="58">
        <v>4.0981798208014897E-2</v>
      </c>
      <c r="L15" s="58">
        <v>5.5251653391281297E-2</v>
      </c>
      <c r="M15" s="58">
        <v>7.7684919666393307E-2</v>
      </c>
      <c r="N15" s="58">
        <v>0.12349229693588799</v>
      </c>
    </row>
    <row r="16" spans="1:14">
      <c r="A16" s="6" t="s">
        <v>118</v>
      </c>
      <c r="B16" s="9" t="s">
        <v>119</v>
      </c>
      <c r="C16" s="58">
        <v>0.25461522802861197</v>
      </c>
      <c r="D16" s="58">
        <v>0.165774747645482</v>
      </c>
      <c r="E16" s="58">
        <v>0.13369120110932001</v>
      </c>
      <c r="F16" s="58">
        <v>9.7617568836426E-2</v>
      </c>
      <c r="G16" s="58">
        <v>4.1267786595247102E-2</v>
      </c>
      <c r="H16" s="58">
        <v>3.4264778975678603E-2</v>
      </c>
      <c r="I16" s="58">
        <v>3.0030402275474401E-2</v>
      </c>
      <c r="J16" s="58">
        <v>2.9460390027370002E-2</v>
      </c>
      <c r="K16" s="58">
        <v>2.2375952086643801E-2</v>
      </c>
      <c r="L16" s="58">
        <v>3.4183348654520801E-2</v>
      </c>
      <c r="M16" s="58">
        <v>6.2358239775110298E-2</v>
      </c>
      <c r="N16" s="58">
        <v>9.4360355990115094E-2</v>
      </c>
    </row>
    <row r="17" spans="1:14">
      <c r="A17" s="6" t="s">
        <v>120</v>
      </c>
      <c r="B17" s="9" t="s">
        <v>121</v>
      </c>
      <c r="C17" s="58">
        <v>0.20700978630783101</v>
      </c>
      <c r="D17" s="58">
        <v>0.206128221938679</v>
      </c>
      <c r="E17" s="58">
        <v>0.14580887529559</v>
      </c>
      <c r="F17" s="58">
        <v>9.6034394760426106E-2</v>
      </c>
      <c r="G17" s="58">
        <v>5.6770874011298697E-2</v>
      </c>
      <c r="H17" s="58">
        <v>3.4867390070075603E-2</v>
      </c>
      <c r="I17" s="58">
        <v>2.02537653352967E-2</v>
      </c>
      <c r="J17" s="58">
        <v>1.49643791203883E-2</v>
      </c>
      <c r="K17" s="58">
        <v>1.8126850018377699E-2</v>
      </c>
      <c r="L17" s="58">
        <v>3.4428020648911997E-2</v>
      </c>
      <c r="M17" s="58">
        <v>5.4945583682863397E-2</v>
      </c>
      <c r="N17" s="58">
        <v>0.110661858810262</v>
      </c>
    </row>
    <row r="18" spans="1:14">
      <c r="A18" s="6" t="s">
        <v>32</v>
      </c>
      <c r="B18" s="9" t="s">
        <v>122</v>
      </c>
      <c r="C18" s="58">
        <v>0.19463922550399301</v>
      </c>
      <c r="D18" s="58">
        <v>0.18326947687731199</v>
      </c>
      <c r="E18" s="58">
        <v>0.149160230997268</v>
      </c>
      <c r="F18" s="58">
        <v>9.8048516987415804E-2</v>
      </c>
      <c r="G18" s="58">
        <v>5.7498152045925899E-2</v>
      </c>
      <c r="H18" s="58">
        <v>3.7895124140150803E-2</v>
      </c>
      <c r="I18" s="58">
        <v>2.4094507837401899E-2</v>
      </c>
      <c r="J18" s="58">
        <v>2.2064249573124101E-2</v>
      </c>
      <c r="K18" s="58">
        <v>2.9183003233946202E-2</v>
      </c>
      <c r="L18" s="58">
        <v>3.5633570630575498E-2</v>
      </c>
      <c r="M18" s="58">
        <v>6.7321019236328605E-2</v>
      </c>
      <c r="N18" s="58">
        <v>0.101192922936558</v>
      </c>
    </row>
    <row r="19" spans="1:14">
      <c r="A19" s="6" t="s">
        <v>123</v>
      </c>
      <c r="B19" s="9" t="s">
        <v>124</v>
      </c>
      <c r="C19" s="58">
        <v>0.17281165713725</v>
      </c>
      <c r="D19" s="58">
        <v>0.201727452980526</v>
      </c>
      <c r="E19" s="58">
        <v>8.4136549884535505E-2</v>
      </c>
      <c r="F19" s="58">
        <v>5.71484737641441E-2</v>
      </c>
      <c r="G19" s="58">
        <v>5.3293034318373997E-2</v>
      </c>
      <c r="H19" s="58">
        <v>5.3293034318373997E-2</v>
      </c>
      <c r="I19" s="58">
        <v>2.8232677920867699E-2</v>
      </c>
      <c r="J19" s="58">
        <v>2.6304958197982599E-2</v>
      </c>
      <c r="K19" s="58">
        <v>3.4015837089523E-2</v>
      </c>
      <c r="L19" s="58">
        <v>2.8232677920867699E-2</v>
      </c>
      <c r="M19" s="58">
        <v>9.3775148498960903E-2</v>
      </c>
      <c r="N19" s="58">
        <v>0.16702849796859501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zoomScaleNormal="100" workbookViewId="0">
      <selection activeCell="E7" sqref="E7"/>
    </sheetView>
  </sheetViews>
  <sheetFormatPr defaultColWidth="8.5" defaultRowHeight="16.5"/>
  <sheetData>
    <row r="1" spans="1:5">
      <c r="A1" s="6" t="s">
        <v>125</v>
      </c>
      <c r="B1" s="6" t="s">
        <v>126</v>
      </c>
    </row>
    <row r="2" spans="1:5">
      <c r="A2" s="6" t="s">
        <v>93</v>
      </c>
      <c r="B2" s="6" t="s">
        <v>127</v>
      </c>
      <c r="D2" t="str">
        <f t="array" ref="D2:D18">_xlfn._xlws.SORT(_xlfn.UNIQUE(A2:A229))</f>
        <v>강원도</v>
      </c>
      <c r="E2" t="str">
        <f t="array" ref="E2:E19">_xlfn._xlws.SORT(_xlfn._xlws.FILTER($B$2:$B$229,$A$2:$A$229=Sheet2!$B$19,""))</f>
        <v>서귀포시</v>
      </c>
    </row>
    <row r="3" spans="1:5">
      <c r="A3" s="6" t="s">
        <v>93</v>
      </c>
      <c r="B3" s="6" t="s">
        <v>128</v>
      </c>
      <c r="D3" t="str">
        <v>경기도</v>
      </c>
      <c r="E3" t="str">
        <v>제주시</v>
      </c>
    </row>
    <row r="4" spans="1:5">
      <c r="A4" s="6" t="s">
        <v>93</v>
      </c>
      <c r="B4" s="6" t="s">
        <v>129</v>
      </c>
      <c r="D4" t="str">
        <v>경상남도</v>
      </c>
      <c r="E4" t="e">
        <v>#N/A</v>
      </c>
    </row>
    <row r="5" spans="1:5">
      <c r="A5" s="6" t="s">
        <v>93</v>
      </c>
      <c r="B5" s="6" t="s">
        <v>130</v>
      </c>
      <c r="D5" t="str">
        <v>경상북도</v>
      </c>
      <c r="E5" t="e">
        <v>#N/A</v>
      </c>
    </row>
    <row r="6" spans="1:5">
      <c r="A6" s="6" t="s">
        <v>93</v>
      </c>
      <c r="B6" s="6" t="s">
        <v>131</v>
      </c>
      <c r="D6" t="str">
        <v>광주광역시</v>
      </c>
      <c r="E6" t="e">
        <v>#N/A</v>
      </c>
    </row>
    <row r="7" spans="1:5">
      <c r="A7" s="6" t="s">
        <v>93</v>
      </c>
      <c r="B7" s="6" t="s">
        <v>132</v>
      </c>
      <c r="D7" t="str">
        <v>대구광역시</v>
      </c>
      <c r="E7" t="e">
        <v>#N/A</v>
      </c>
    </row>
    <row r="8" spans="1:5">
      <c r="A8" s="6" t="s">
        <v>93</v>
      </c>
      <c r="B8" s="6" t="s">
        <v>133</v>
      </c>
      <c r="D8" t="str">
        <v>대전광역시</v>
      </c>
      <c r="E8" t="e">
        <v>#N/A</v>
      </c>
    </row>
    <row r="9" spans="1:5">
      <c r="A9" s="6" t="s">
        <v>93</v>
      </c>
      <c r="B9" s="6" t="s">
        <v>134</v>
      </c>
      <c r="D9" t="str">
        <v>부산광역시</v>
      </c>
      <c r="E9" t="e">
        <v>#N/A</v>
      </c>
    </row>
    <row r="10" spans="1:5">
      <c r="A10" s="6" t="s">
        <v>93</v>
      </c>
      <c r="B10" s="6" t="s">
        <v>135</v>
      </c>
      <c r="D10" t="str">
        <v>서울특별시</v>
      </c>
      <c r="E10" t="e">
        <v>#N/A</v>
      </c>
    </row>
    <row r="11" spans="1:5">
      <c r="A11" s="6" t="s">
        <v>93</v>
      </c>
      <c r="B11" s="6" t="s">
        <v>136</v>
      </c>
      <c r="D11" t="str">
        <v>세종특별자치시</v>
      </c>
      <c r="E11" t="e">
        <v>#N/A</v>
      </c>
    </row>
    <row r="12" spans="1:5">
      <c r="A12" s="6" t="s">
        <v>93</v>
      </c>
      <c r="B12" s="6" t="s">
        <v>137</v>
      </c>
      <c r="D12" t="str">
        <v>울산광역시</v>
      </c>
      <c r="E12" t="e">
        <v>#N/A</v>
      </c>
    </row>
    <row r="13" spans="1:5">
      <c r="A13" s="6" t="s">
        <v>93</v>
      </c>
      <c r="B13" s="6" t="s">
        <v>138</v>
      </c>
      <c r="D13" t="str">
        <v>인천광역시</v>
      </c>
      <c r="E13" t="e">
        <v>#N/A</v>
      </c>
    </row>
    <row r="14" spans="1:5">
      <c r="A14" s="6" t="s">
        <v>93</v>
      </c>
      <c r="B14" s="6" t="s">
        <v>139</v>
      </c>
      <c r="D14" t="str">
        <v>전라남도</v>
      </c>
      <c r="E14" t="e">
        <v>#N/A</v>
      </c>
    </row>
    <row r="15" spans="1:5">
      <c r="A15" s="6" t="s">
        <v>93</v>
      </c>
      <c r="B15" s="6" t="s">
        <v>140</v>
      </c>
      <c r="D15" t="str">
        <v>전라북도</v>
      </c>
      <c r="E15" t="e">
        <v>#N/A</v>
      </c>
    </row>
    <row r="16" spans="1:5">
      <c r="A16" s="6" t="s">
        <v>93</v>
      </c>
      <c r="B16" s="6" t="s">
        <v>141</v>
      </c>
      <c r="D16" t="str">
        <v>제주특별자치도</v>
      </c>
      <c r="E16" t="e">
        <v>#N/A</v>
      </c>
    </row>
    <row r="17" spans="1:5">
      <c r="A17" s="6" t="s">
        <v>93</v>
      </c>
      <c r="B17" s="6" t="s">
        <v>142</v>
      </c>
      <c r="D17" t="str">
        <v>충청남도</v>
      </c>
      <c r="E17" t="e">
        <v>#N/A</v>
      </c>
    </row>
    <row r="18" spans="1:5">
      <c r="A18" s="6" t="s">
        <v>93</v>
      </c>
      <c r="B18" s="6" t="s">
        <v>143</v>
      </c>
      <c r="D18" t="str">
        <v>충청북도</v>
      </c>
      <c r="E18" t="e">
        <v>#N/A</v>
      </c>
    </row>
    <row r="19" spans="1:5">
      <c r="A19" s="6" t="s">
        <v>93</v>
      </c>
      <c r="B19" s="6" t="s">
        <v>144</v>
      </c>
      <c r="E19" t="e">
        <v>#N/A</v>
      </c>
    </row>
    <row r="20" spans="1:5">
      <c r="A20" s="6" t="s">
        <v>93</v>
      </c>
      <c r="B20" s="6" t="s">
        <v>145</v>
      </c>
    </row>
    <row r="21" spans="1:5">
      <c r="A21" s="6" t="s">
        <v>93</v>
      </c>
      <c r="B21" s="6" t="s">
        <v>146</v>
      </c>
    </row>
    <row r="22" spans="1:5">
      <c r="A22" s="6" t="s">
        <v>93</v>
      </c>
      <c r="B22" s="6" t="s">
        <v>147</v>
      </c>
    </row>
    <row r="23" spans="1:5">
      <c r="A23" s="6" t="s">
        <v>93</v>
      </c>
      <c r="B23" s="6" t="s">
        <v>148</v>
      </c>
    </row>
    <row r="24" spans="1:5">
      <c r="A24" s="6" t="s">
        <v>93</v>
      </c>
      <c r="B24" s="6" t="s">
        <v>149</v>
      </c>
    </row>
    <row r="25" spans="1:5">
      <c r="A25" s="6" t="s">
        <v>93</v>
      </c>
      <c r="B25" s="6" t="s">
        <v>150</v>
      </c>
    </row>
    <row r="26" spans="1:5">
      <c r="A26" s="6" t="s">
        <v>93</v>
      </c>
      <c r="B26" s="6" t="s">
        <v>151</v>
      </c>
    </row>
    <row r="27" spans="1:5">
      <c r="A27" s="6" t="s">
        <v>152</v>
      </c>
      <c r="B27" s="6" t="s">
        <v>153</v>
      </c>
    </row>
    <row r="28" spans="1:5">
      <c r="A28" s="6" t="s">
        <v>152</v>
      </c>
      <c r="B28" s="6" t="s">
        <v>154</v>
      </c>
    </row>
    <row r="29" spans="1:5">
      <c r="A29" s="6" t="s">
        <v>152</v>
      </c>
      <c r="B29" s="6" t="s">
        <v>155</v>
      </c>
    </row>
    <row r="30" spans="1:5">
      <c r="A30" s="6" t="s">
        <v>152</v>
      </c>
      <c r="B30" s="6" t="s">
        <v>156</v>
      </c>
    </row>
    <row r="31" spans="1:5">
      <c r="A31" s="6" t="s">
        <v>152</v>
      </c>
      <c r="B31" s="6" t="s">
        <v>157</v>
      </c>
    </row>
    <row r="32" spans="1:5">
      <c r="A32" s="6" t="s">
        <v>152</v>
      </c>
      <c r="B32" s="6" t="s">
        <v>158</v>
      </c>
    </row>
    <row r="33" spans="1:2">
      <c r="A33" s="6" t="s">
        <v>152</v>
      </c>
      <c r="B33" s="6" t="s">
        <v>159</v>
      </c>
    </row>
    <row r="34" spans="1:2">
      <c r="A34" s="6" t="s">
        <v>152</v>
      </c>
      <c r="B34" s="6" t="s">
        <v>160</v>
      </c>
    </row>
    <row r="35" spans="1:2">
      <c r="A35" s="6" t="s">
        <v>152</v>
      </c>
      <c r="B35" s="6" t="s">
        <v>161</v>
      </c>
    </row>
    <row r="36" spans="1:2">
      <c r="A36" s="6" t="s">
        <v>152</v>
      </c>
      <c r="B36" s="6" t="s">
        <v>162</v>
      </c>
    </row>
    <row r="37" spans="1:2">
      <c r="A37" s="6" t="s">
        <v>152</v>
      </c>
      <c r="B37" s="6" t="s">
        <v>163</v>
      </c>
    </row>
    <row r="38" spans="1:2">
      <c r="A38" s="6" t="s">
        <v>152</v>
      </c>
      <c r="B38" s="6" t="s">
        <v>164</v>
      </c>
    </row>
    <row r="39" spans="1:2">
      <c r="A39" s="6" t="s">
        <v>152</v>
      </c>
      <c r="B39" s="6" t="s">
        <v>165</v>
      </c>
    </row>
    <row r="40" spans="1:2">
      <c r="A40" s="6" t="s">
        <v>152</v>
      </c>
      <c r="B40" s="6" t="s">
        <v>166</v>
      </c>
    </row>
    <row r="41" spans="1:2">
      <c r="A41" s="6" t="s">
        <v>152</v>
      </c>
      <c r="B41" s="6" t="s">
        <v>167</v>
      </c>
    </row>
    <row r="42" spans="1:2">
      <c r="A42" s="6" t="s">
        <v>152</v>
      </c>
      <c r="B42" s="6" t="s">
        <v>168</v>
      </c>
    </row>
    <row r="43" spans="1:2">
      <c r="A43" s="6" t="s">
        <v>152</v>
      </c>
      <c r="B43" s="6" t="s">
        <v>169</v>
      </c>
    </row>
    <row r="44" spans="1:2">
      <c r="A44" s="6" t="s">
        <v>152</v>
      </c>
      <c r="B44" s="6" t="s">
        <v>170</v>
      </c>
    </row>
    <row r="45" spans="1:2">
      <c r="A45" s="6" t="s">
        <v>108</v>
      </c>
      <c r="B45" s="6" t="s">
        <v>171</v>
      </c>
    </row>
    <row r="46" spans="1:2">
      <c r="A46" s="6" t="s">
        <v>108</v>
      </c>
      <c r="B46" s="6" t="s">
        <v>172</v>
      </c>
    </row>
    <row r="47" spans="1:2">
      <c r="A47" s="6" t="s">
        <v>108</v>
      </c>
      <c r="B47" s="6" t="s">
        <v>173</v>
      </c>
    </row>
    <row r="48" spans="1:2">
      <c r="A48" s="6" t="s">
        <v>108</v>
      </c>
      <c r="B48" s="6" t="s">
        <v>174</v>
      </c>
    </row>
    <row r="49" spans="1:2">
      <c r="A49" s="6" t="s">
        <v>108</v>
      </c>
      <c r="B49" s="6" t="s">
        <v>175</v>
      </c>
    </row>
    <row r="50" spans="1:2">
      <c r="A50" s="6" t="s">
        <v>108</v>
      </c>
      <c r="B50" s="6" t="s">
        <v>176</v>
      </c>
    </row>
    <row r="51" spans="1:2">
      <c r="A51" s="6" t="s">
        <v>108</v>
      </c>
      <c r="B51" s="6" t="s">
        <v>177</v>
      </c>
    </row>
    <row r="52" spans="1:2">
      <c r="A52" s="6" t="s">
        <v>108</v>
      </c>
      <c r="B52" s="6" t="s">
        <v>178</v>
      </c>
    </row>
    <row r="53" spans="1:2">
      <c r="A53" s="6" t="s">
        <v>108</v>
      </c>
      <c r="B53" s="6" t="s">
        <v>179</v>
      </c>
    </row>
    <row r="54" spans="1:2">
      <c r="A54" s="6" t="s">
        <v>108</v>
      </c>
      <c r="B54" s="6" t="s">
        <v>180</v>
      </c>
    </row>
    <row r="55" spans="1:2">
      <c r="A55" s="6" t="s">
        <v>108</v>
      </c>
      <c r="B55" s="6" t="s">
        <v>181</v>
      </c>
    </row>
    <row r="56" spans="1:2">
      <c r="A56" s="6" t="s">
        <v>108</v>
      </c>
      <c r="B56" s="6" t="s">
        <v>182</v>
      </c>
    </row>
    <row r="57" spans="1:2">
      <c r="A57" s="6" t="s">
        <v>108</v>
      </c>
      <c r="B57" s="6" t="s">
        <v>183</v>
      </c>
    </row>
    <row r="58" spans="1:2">
      <c r="A58" s="6" t="s">
        <v>108</v>
      </c>
      <c r="B58" s="6" t="s">
        <v>184</v>
      </c>
    </row>
    <row r="59" spans="1:2">
      <c r="A59" s="6" t="s">
        <v>108</v>
      </c>
      <c r="B59" s="6" t="s">
        <v>185</v>
      </c>
    </row>
    <row r="60" spans="1:2">
      <c r="A60" s="6" t="s">
        <v>108</v>
      </c>
      <c r="B60" s="6" t="s">
        <v>186</v>
      </c>
    </row>
    <row r="61" spans="1:2">
      <c r="A61" s="6" t="s">
        <v>108</v>
      </c>
      <c r="B61" s="6" t="s">
        <v>187</v>
      </c>
    </row>
    <row r="62" spans="1:2">
      <c r="A62" s="6" t="s">
        <v>108</v>
      </c>
      <c r="B62" s="6" t="s">
        <v>188</v>
      </c>
    </row>
    <row r="63" spans="1:2">
      <c r="A63" s="6" t="s">
        <v>108</v>
      </c>
      <c r="B63" s="6" t="s">
        <v>189</v>
      </c>
    </row>
    <row r="64" spans="1:2">
      <c r="A64" s="6" t="s">
        <v>108</v>
      </c>
      <c r="B64" s="6" t="s">
        <v>190</v>
      </c>
    </row>
    <row r="65" spans="1:2">
      <c r="A65" s="6" t="s">
        <v>108</v>
      </c>
      <c r="B65" s="6" t="s">
        <v>191</v>
      </c>
    </row>
    <row r="66" spans="1:2">
      <c r="A66" s="6" t="s">
        <v>108</v>
      </c>
      <c r="B66" s="6" t="s">
        <v>192</v>
      </c>
    </row>
    <row r="67" spans="1:2">
      <c r="A67" s="6" t="s">
        <v>108</v>
      </c>
      <c r="B67" s="6" t="s">
        <v>193</v>
      </c>
    </row>
    <row r="68" spans="1:2">
      <c r="A68" s="6" t="s">
        <v>108</v>
      </c>
      <c r="B68" s="6" t="s">
        <v>194</v>
      </c>
    </row>
    <row r="69" spans="1:2">
      <c r="A69" s="6" t="s">
        <v>108</v>
      </c>
      <c r="B69" s="6" t="s">
        <v>195</v>
      </c>
    </row>
    <row r="70" spans="1:2">
      <c r="A70" s="6" t="s">
        <v>108</v>
      </c>
      <c r="B70" s="6" t="s">
        <v>196</v>
      </c>
    </row>
    <row r="71" spans="1:2">
      <c r="A71" s="6" t="s">
        <v>108</v>
      </c>
      <c r="B71" s="6" t="s">
        <v>197</v>
      </c>
    </row>
    <row r="72" spans="1:2">
      <c r="A72" s="6" t="s">
        <v>108</v>
      </c>
      <c r="B72" s="6" t="s">
        <v>198</v>
      </c>
    </row>
    <row r="73" spans="1:2">
      <c r="A73" s="6" t="s">
        <v>108</v>
      </c>
      <c r="B73" s="6" t="s">
        <v>199</v>
      </c>
    </row>
    <row r="74" spans="1:2">
      <c r="A74" s="6" t="s">
        <v>108</v>
      </c>
      <c r="B74" s="6" t="s">
        <v>200</v>
      </c>
    </row>
    <row r="75" spans="1:2">
      <c r="A75" s="6" t="s">
        <v>108</v>
      </c>
      <c r="B75" s="6" t="s">
        <v>201</v>
      </c>
    </row>
    <row r="76" spans="1:2">
      <c r="A76" s="6" t="s">
        <v>123</v>
      </c>
      <c r="B76" s="6" t="s">
        <v>202</v>
      </c>
    </row>
    <row r="77" spans="1:2">
      <c r="A77" s="6" t="s">
        <v>123</v>
      </c>
      <c r="B77" s="6" t="s">
        <v>203</v>
      </c>
    </row>
    <row r="78" spans="1:2">
      <c r="A78" s="6" t="s">
        <v>98</v>
      </c>
      <c r="B78" s="6" t="s">
        <v>128</v>
      </c>
    </row>
    <row r="79" spans="1:2">
      <c r="A79" s="6" t="s">
        <v>98</v>
      </c>
      <c r="B79" s="6" t="s">
        <v>204</v>
      </c>
    </row>
    <row r="80" spans="1:2">
      <c r="A80" s="6" t="s">
        <v>98</v>
      </c>
      <c r="B80" s="6" t="s">
        <v>205</v>
      </c>
    </row>
    <row r="81" spans="1:2">
      <c r="A81" s="6" t="s">
        <v>98</v>
      </c>
      <c r="B81" s="6" t="s">
        <v>206</v>
      </c>
    </row>
    <row r="82" spans="1:2">
      <c r="A82" s="6" t="s">
        <v>98</v>
      </c>
      <c r="B82" s="6" t="s">
        <v>207</v>
      </c>
    </row>
    <row r="83" spans="1:2">
      <c r="A83" s="6" t="s">
        <v>98</v>
      </c>
      <c r="B83" s="6" t="s">
        <v>208</v>
      </c>
    </row>
    <row r="84" spans="1:2">
      <c r="A84" s="6" t="s">
        <v>98</v>
      </c>
      <c r="B84" s="6" t="s">
        <v>209</v>
      </c>
    </row>
    <row r="85" spans="1:2">
      <c r="A85" s="6" t="s">
        <v>98</v>
      </c>
      <c r="B85" s="6" t="s">
        <v>210</v>
      </c>
    </row>
    <row r="86" spans="1:2">
      <c r="A86" s="6" t="s">
        <v>98</v>
      </c>
      <c r="B86" s="6" t="s">
        <v>211</v>
      </c>
    </row>
    <row r="87" spans="1:2">
      <c r="A87" s="6" t="s">
        <v>98</v>
      </c>
      <c r="B87" s="6" t="s">
        <v>212</v>
      </c>
    </row>
    <row r="88" spans="1:2">
      <c r="A88" s="6" t="s">
        <v>94</v>
      </c>
      <c r="B88" s="6" t="s">
        <v>128</v>
      </c>
    </row>
    <row r="89" spans="1:2">
      <c r="A89" s="6" t="s">
        <v>94</v>
      </c>
      <c r="B89" s="6" t="s">
        <v>210</v>
      </c>
    </row>
    <row r="90" spans="1:2">
      <c r="A90" s="6" t="s">
        <v>94</v>
      </c>
      <c r="B90" s="6" t="s">
        <v>204</v>
      </c>
    </row>
    <row r="91" spans="1:2">
      <c r="A91" s="6" t="s">
        <v>94</v>
      </c>
      <c r="B91" s="6" t="s">
        <v>213</v>
      </c>
    </row>
    <row r="92" spans="1:2">
      <c r="A92" s="6" t="s">
        <v>94</v>
      </c>
      <c r="B92" s="6" t="s">
        <v>214</v>
      </c>
    </row>
    <row r="93" spans="1:2">
      <c r="A93" s="6" t="s">
        <v>94</v>
      </c>
      <c r="B93" s="6" t="s">
        <v>215</v>
      </c>
    </row>
    <row r="94" spans="1:2">
      <c r="A94" s="6" t="s">
        <v>94</v>
      </c>
      <c r="B94" s="6" t="s">
        <v>216</v>
      </c>
    </row>
    <row r="95" spans="1:2">
      <c r="A95" s="6" t="s">
        <v>94</v>
      </c>
      <c r="B95" s="6" t="s">
        <v>217</v>
      </c>
    </row>
    <row r="96" spans="1:2">
      <c r="A96" s="6" t="s">
        <v>94</v>
      </c>
      <c r="B96" s="6" t="s">
        <v>218</v>
      </c>
    </row>
    <row r="97" spans="1:2">
      <c r="A97" s="6" t="s">
        <v>94</v>
      </c>
      <c r="B97" s="6" t="s">
        <v>219</v>
      </c>
    </row>
    <row r="98" spans="1:2">
      <c r="A98" s="6" t="s">
        <v>94</v>
      </c>
      <c r="B98" s="6" t="s">
        <v>220</v>
      </c>
    </row>
    <row r="99" spans="1:2">
      <c r="A99" s="6" t="s">
        <v>94</v>
      </c>
      <c r="B99" s="6" t="s">
        <v>142</v>
      </c>
    </row>
    <row r="100" spans="1:2">
      <c r="A100" s="6" t="s">
        <v>94</v>
      </c>
      <c r="B100" s="6" t="s">
        <v>221</v>
      </c>
    </row>
    <row r="101" spans="1:2">
      <c r="A101" s="6" t="s">
        <v>94</v>
      </c>
      <c r="B101" s="6" t="s">
        <v>222</v>
      </c>
    </row>
    <row r="102" spans="1:2">
      <c r="A102" s="6" t="s">
        <v>94</v>
      </c>
      <c r="B102" s="6" t="s">
        <v>223</v>
      </c>
    </row>
    <row r="103" spans="1:2">
      <c r="A103" s="6" t="s">
        <v>94</v>
      </c>
      <c r="B103" s="6" t="s">
        <v>224</v>
      </c>
    </row>
    <row r="104" spans="1:2">
      <c r="A104" s="6" t="s">
        <v>96</v>
      </c>
      <c r="B104" s="6" t="s">
        <v>128</v>
      </c>
    </row>
    <row r="105" spans="1:2">
      <c r="A105" s="6" t="s">
        <v>96</v>
      </c>
      <c r="B105" s="6" t="s">
        <v>204</v>
      </c>
    </row>
    <row r="106" spans="1:2">
      <c r="A106" s="6" t="s">
        <v>96</v>
      </c>
      <c r="B106" s="6" t="s">
        <v>210</v>
      </c>
    </row>
    <row r="107" spans="1:2">
      <c r="A107" s="6" t="s">
        <v>96</v>
      </c>
      <c r="B107" s="6" t="s">
        <v>216</v>
      </c>
    </row>
    <row r="108" spans="1:2">
      <c r="A108" s="6" t="s">
        <v>96</v>
      </c>
      <c r="B108" s="6" t="s">
        <v>217</v>
      </c>
    </row>
    <row r="109" spans="1:2">
      <c r="A109" s="6" t="s">
        <v>96</v>
      </c>
      <c r="B109" s="6" t="s">
        <v>225</v>
      </c>
    </row>
    <row r="110" spans="1:2">
      <c r="A110" s="6" t="s">
        <v>96</v>
      </c>
      <c r="B110" s="6" t="s">
        <v>226</v>
      </c>
    </row>
    <row r="111" spans="1:2">
      <c r="A111" s="6" t="s">
        <v>96</v>
      </c>
      <c r="B111" s="6" t="s">
        <v>227</v>
      </c>
    </row>
    <row r="112" spans="1:2">
      <c r="A112" s="6" t="s">
        <v>106</v>
      </c>
      <c r="B112" s="6" t="s">
        <v>106</v>
      </c>
    </row>
    <row r="113" spans="1:2">
      <c r="A113" s="6" t="s">
        <v>102</v>
      </c>
      <c r="B113" s="6" t="s">
        <v>204</v>
      </c>
    </row>
    <row r="114" spans="1:2">
      <c r="A114" s="6" t="s">
        <v>102</v>
      </c>
      <c r="B114" s="6" t="s">
        <v>128</v>
      </c>
    </row>
    <row r="115" spans="1:2">
      <c r="A115" s="6" t="s">
        <v>102</v>
      </c>
      <c r="B115" s="6" t="s">
        <v>210</v>
      </c>
    </row>
    <row r="116" spans="1:2">
      <c r="A116" s="6" t="s">
        <v>102</v>
      </c>
      <c r="B116" s="6" t="s">
        <v>228</v>
      </c>
    </row>
    <row r="117" spans="1:2">
      <c r="A117" s="6" t="s">
        <v>102</v>
      </c>
      <c r="B117" s="6" t="s">
        <v>229</v>
      </c>
    </row>
    <row r="118" spans="1:2">
      <c r="A118" s="6" t="s">
        <v>104</v>
      </c>
      <c r="B118" s="6" t="s">
        <v>128</v>
      </c>
    </row>
    <row r="119" spans="1:2">
      <c r="A119" s="6" t="s">
        <v>104</v>
      </c>
      <c r="B119" s="6" t="s">
        <v>216</v>
      </c>
    </row>
    <row r="120" spans="1:2">
      <c r="A120" s="6" t="s">
        <v>104</v>
      </c>
      <c r="B120" s="6" t="s">
        <v>204</v>
      </c>
    </row>
    <row r="121" spans="1:2">
      <c r="A121" s="6" t="s">
        <v>104</v>
      </c>
      <c r="B121" s="6" t="s">
        <v>217</v>
      </c>
    </row>
    <row r="122" spans="1:2">
      <c r="A122" s="6" t="s">
        <v>104</v>
      </c>
      <c r="B122" s="6" t="s">
        <v>230</v>
      </c>
    </row>
    <row r="123" spans="1:2">
      <c r="A123" s="6" t="s">
        <v>100</v>
      </c>
      <c r="B123" s="6" t="s">
        <v>204</v>
      </c>
    </row>
    <row r="124" spans="1:2">
      <c r="A124" s="6" t="s">
        <v>100</v>
      </c>
      <c r="B124" s="6" t="s">
        <v>210</v>
      </c>
    </row>
    <row r="125" spans="1:2">
      <c r="A125" s="6" t="s">
        <v>100</v>
      </c>
      <c r="B125" s="6" t="s">
        <v>216</v>
      </c>
    </row>
    <row r="126" spans="1:2">
      <c r="A126" s="6" t="s">
        <v>100</v>
      </c>
      <c r="B126" s="6" t="s">
        <v>217</v>
      </c>
    </row>
    <row r="127" spans="1:2">
      <c r="A127" s="6" t="s">
        <v>100</v>
      </c>
      <c r="B127" s="6" t="s">
        <v>231</v>
      </c>
    </row>
    <row r="128" spans="1:2">
      <c r="A128" s="6" t="s">
        <v>112</v>
      </c>
      <c r="B128" s="6" t="s">
        <v>232</v>
      </c>
    </row>
    <row r="129" spans="1:2">
      <c r="A129" s="6" t="s">
        <v>112</v>
      </c>
      <c r="B129" s="6" t="s">
        <v>233</v>
      </c>
    </row>
    <row r="130" spans="1:2">
      <c r="A130" s="6" t="s">
        <v>112</v>
      </c>
      <c r="B130" s="6" t="s">
        <v>234</v>
      </c>
    </row>
    <row r="131" spans="1:2">
      <c r="A131" s="6" t="s">
        <v>112</v>
      </c>
      <c r="B131" s="6" t="s">
        <v>235</v>
      </c>
    </row>
    <row r="132" spans="1:2">
      <c r="A132" s="6" t="s">
        <v>112</v>
      </c>
      <c r="B132" s="6" t="s">
        <v>236</v>
      </c>
    </row>
    <row r="133" spans="1:2">
      <c r="A133" s="6" t="s">
        <v>112</v>
      </c>
      <c r="B133" s="6" t="s">
        <v>237</v>
      </c>
    </row>
    <row r="134" spans="1:2">
      <c r="A134" s="6" t="s">
        <v>112</v>
      </c>
      <c r="B134" s="6" t="s">
        <v>238</v>
      </c>
    </row>
    <row r="135" spans="1:2">
      <c r="A135" s="6" t="s">
        <v>112</v>
      </c>
      <c r="B135" s="6" t="s">
        <v>239</v>
      </c>
    </row>
    <row r="136" spans="1:2">
      <c r="A136" s="6" t="s">
        <v>112</v>
      </c>
      <c r="B136" s="6" t="s">
        <v>240</v>
      </c>
    </row>
    <row r="137" spans="1:2">
      <c r="A137" s="6" t="s">
        <v>112</v>
      </c>
      <c r="B137" s="6" t="s">
        <v>241</v>
      </c>
    </row>
    <row r="138" spans="1:2">
      <c r="A138" s="6" t="s">
        <v>112</v>
      </c>
      <c r="B138" s="6" t="s">
        <v>242</v>
      </c>
    </row>
    <row r="139" spans="1:2">
      <c r="A139" s="6" t="s">
        <v>114</v>
      </c>
      <c r="B139" s="6" t="s">
        <v>243</v>
      </c>
    </row>
    <row r="140" spans="1:2">
      <c r="A140" s="6" t="s">
        <v>114</v>
      </c>
      <c r="B140" s="6" t="s">
        <v>244</v>
      </c>
    </row>
    <row r="141" spans="1:2">
      <c r="A141" s="6" t="s">
        <v>114</v>
      </c>
      <c r="B141" s="6" t="s">
        <v>245</v>
      </c>
    </row>
    <row r="142" spans="1:2">
      <c r="A142" s="6" t="s">
        <v>114</v>
      </c>
      <c r="B142" s="6" t="s">
        <v>246</v>
      </c>
    </row>
    <row r="143" spans="1:2">
      <c r="A143" s="6" t="s">
        <v>114</v>
      </c>
      <c r="B143" s="6" t="s">
        <v>247</v>
      </c>
    </row>
    <row r="144" spans="1:2">
      <c r="A144" s="6" t="s">
        <v>114</v>
      </c>
      <c r="B144" s="6" t="s">
        <v>248</v>
      </c>
    </row>
    <row r="145" spans="1:2">
      <c r="A145" s="6" t="s">
        <v>114</v>
      </c>
      <c r="B145" s="6" t="s">
        <v>249</v>
      </c>
    </row>
    <row r="146" spans="1:2">
      <c r="A146" s="6" t="s">
        <v>114</v>
      </c>
      <c r="B146" s="6" t="s">
        <v>250</v>
      </c>
    </row>
    <row r="147" spans="1:2">
      <c r="A147" s="6" t="s">
        <v>114</v>
      </c>
      <c r="B147" s="6" t="s">
        <v>251</v>
      </c>
    </row>
    <row r="148" spans="1:2">
      <c r="A148" s="6" t="s">
        <v>114</v>
      </c>
      <c r="B148" s="6" t="s">
        <v>252</v>
      </c>
    </row>
    <row r="149" spans="1:2">
      <c r="A149" s="6" t="s">
        <v>114</v>
      </c>
      <c r="B149" s="6" t="s">
        <v>253</v>
      </c>
    </row>
    <row r="150" spans="1:2">
      <c r="A150" s="6" t="s">
        <v>114</v>
      </c>
      <c r="B150" s="6" t="s">
        <v>254</v>
      </c>
    </row>
    <row r="151" spans="1:2">
      <c r="A151" s="6" t="s">
        <v>114</v>
      </c>
      <c r="B151" s="6" t="s">
        <v>255</v>
      </c>
    </row>
    <row r="152" spans="1:2">
      <c r="A152" s="6" t="s">
        <v>114</v>
      </c>
      <c r="B152" s="6" t="s">
        <v>256</v>
      </c>
    </row>
    <row r="153" spans="1:2">
      <c r="A153" s="6" t="s">
        <v>114</v>
      </c>
      <c r="B153" s="6" t="s">
        <v>257</v>
      </c>
    </row>
    <row r="154" spans="1:2">
      <c r="A154" s="6" t="s">
        <v>258</v>
      </c>
      <c r="B154" s="6" t="s">
        <v>259</v>
      </c>
    </row>
    <row r="155" spans="1:2">
      <c r="A155" s="6" t="s">
        <v>258</v>
      </c>
      <c r="B155" s="6" t="s">
        <v>260</v>
      </c>
    </row>
    <row r="156" spans="1:2">
      <c r="A156" s="6" t="s">
        <v>258</v>
      </c>
      <c r="B156" s="6" t="s">
        <v>261</v>
      </c>
    </row>
    <row r="157" spans="1:2">
      <c r="A157" s="6" t="s">
        <v>258</v>
      </c>
      <c r="B157" s="6" t="s">
        <v>262</v>
      </c>
    </row>
    <row r="158" spans="1:2">
      <c r="A158" s="6" t="s">
        <v>258</v>
      </c>
      <c r="B158" s="6" t="s">
        <v>263</v>
      </c>
    </row>
    <row r="159" spans="1:2">
      <c r="A159" s="6" t="s">
        <v>258</v>
      </c>
      <c r="B159" s="6" t="s">
        <v>264</v>
      </c>
    </row>
    <row r="160" spans="1:2">
      <c r="A160" s="6" t="s">
        <v>258</v>
      </c>
      <c r="B160" s="6" t="s">
        <v>265</v>
      </c>
    </row>
    <row r="161" spans="1:2">
      <c r="A161" s="6" t="s">
        <v>258</v>
      </c>
      <c r="B161" s="6" t="s">
        <v>266</v>
      </c>
    </row>
    <row r="162" spans="1:2">
      <c r="A162" s="6" t="s">
        <v>258</v>
      </c>
      <c r="B162" s="6" t="s">
        <v>267</v>
      </c>
    </row>
    <row r="163" spans="1:2">
      <c r="A163" s="6" t="s">
        <v>258</v>
      </c>
      <c r="B163" s="6" t="s">
        <v>268</v>
      </c>
    </row>
    <row r="164" spans="1:2">
      <c r="A164" s="6" t="s">
        <v>258</v>
      </c>
      <c r="B164" s="6" t="s">
        <v>269</v>
      </c>
    </row>
    <row r="165" spans="1:2">
      <c r="A165" s="6" t="s">
        <v>258</v>
      </c>
      <c r="B165" s="6" t="s">
        <v>270</v>
      </c>
    </row>
    <row r="166" spans="1:2">
      <c r="A166" s="6" t="s">
        <v>258</v>
      </c>
      <c r="B166" s="6" t="s">
        <v>271</v>
      </c>
    </row>
    <row r="167" spans="1:2">
      <c r="A167" s="6" t="s">
        <v>258</v>
      </c>
      <c r="B167" s="6" t="s">
        <v>272</v>
      </c>
    </row>
    <row r="168" spans="1:2">
      <c r="A168" s="6" t="s">
        <v>118</v>
      </c>
      <c r="B168" s="6" t="s">
        <v>273</v>
      </c>
    </row>
    <row r="169" spans="1:2">
      <c r="A169" s="6" t="s">
        <v>118</v>
      </c>
      <c r="B169" s="6" t="s">
        <v>274</v>
      </c>
    </row>
    <row r="170" spans="1:2">
      <c r="A170" s="6" t="s">
        <v>118</v>
      </c>
      <c r="B170" s="6" t="s">
        <v>275</v>
      </c>
    </row>
    <row r="171" spans="1:2">
      <c r="A171" s="6" t="s">
        <v>118</v>
      </c>
      <c r="B171" s="6" t="s">
        <v>276</v>
      </c>
    </row>
    <row r="172" spans="1:2">
      <c r="A172" s="6" t="s">
        <v>118</v>
      </c>
      <c r="B172" s="6" t="s">
        <v>277</v>
      </c>
    </row>
    <row r="173" spans="1:2">
      <c r="A173" s="6" t="s">
        <v>118</v>
      </c>
      <c r="B173" s="6" t="s">
        <v>278</v>
      </c>
    </row>
    <row r="174" spans="1:2">
      <c r="A174" s="6" t="s">
        <v>118</v>
      </c>
      <c r="B174" s="6" t="s">
        <v>279</v>
      </c>
    </row>
    <row r="175" spans="1:2">
      <c r="A175" s="6" t="s">
        <v>118</v>
      </c>
      <c r="B175" s="6" t="s">
        <v>280</v>
      </c>
    </row>
    <row r="176" spans="1:2">
      <c r="A176" s="6" t="s">
        <v>118</v>
      </c>
      <c r="B176" s="6" t="s">
        <v>281</v>
      </c>
    </row>
    <row r="177" spans="1:2">
      <c r="A177" s="6" t="s">
        <v>118</v>
      </c>
      <c r="B177" s="6" t="s">
        <v>282</v>
      </c>
    </row>
    <row r="178" spans="1:2">
      <c r="A178" s="6" t="s">
        <v>118</v>
      </c>
      <c r="B178" s="6" t="s">
        <v>283</v>
      </c>
    </row>
    <row r="179" spans="1:2">
      <c r="A179" s="6" t="s">
        <v>118</v>
      </c>
      <c r="B179" s="6" t="s">
        <v>284</v>
      </c>
    </row>
    <row r="180" spans="1:2">
      <c r="A180" s="6" t="s">
        <v>118</v>
      </c>
      <c r="B180" s="6" t="s">
        <v>285</v>
      </c>
    </row>
    <row r="181" spans="1:2">
      <c r="A181" s="6" t="s">
        <v>118</v>
      </c>
      <c r="B181" s="6" t="s">
        <v>286</v>
      </c>
    </row>
    <row r="182" spans="1:2">
      <c r="A182" s="6" t="s">
        <v>118</v>
      </c>
      <c r="B182" s="6" t="s">
        <v>287</v>
      </c>
    </row>
    <row r="183" spans="1:2">
      <c r="A183" s="6" t="s">
        <v>118</v>
      </c>
      <c r="B183" s="6" t="s">
        <v>288</v>
      </c>
    </row>
    <row r="184" spans="1:2">
      <c r="A184" s="6" t="s">
        <v>118</v>
      </c>
      <c r="B184" s="6" t="s">
        <v>289</v>
      </c>
    </row>
    <row r="185" spans="1:2">
      <c r="A185" s="6" t="s">
        <v>118</v>
      </c>
      <c r="B185" s="6" t="s">
        <v>290</v>
      </c>
    </row>
    <row r="186" spans="1:2">
      <c r="A186" s="6" t="s">
        <v>118</v>
      </c>
      <c r="B186" s="6" t="s">
        <v>291</v>
      </c>
    </row>
    <row r="187" spans="1:2">
      <c r="A187" s="6" t="s">
        <v>118</v>
      </c>
      <c r="B187" s="6" t="s">
        <v>292</v>
      </c>
    </row>
    <row r="188" spans="1:2">
      <c r="A188" s="6" t="s">
        <v>118</v>
      </c>
      <c r="B188" s="6" t="s">
        <v>293</v>
      </c>
    </row>
    <row r="189" spans="1:2">
      <c r="A189" s="6" t="s">
        <v>118</v>
      </c>
      <c r="B189" s="6" t="s">
        <v>294</v>
      </c>
    </row>
    <row r="190" spans="1:2">
      <c r="A190" s="6" t="s">
        <v>120</v>
      </c>
      <c r="B190" s="6" t="s">
        <v>295</v>
      </c>
    </row>
    <row r="191" spans="1:2">
      <c r="A191" s="6" t="s">
        <v>120</v>
      </c>
      <c r="B191" s="6" t="s">
        <v>296</v>
      </c>
    </row>
    <row r="192" spans="1:2">
      <c r="A192" s="6" t="s">
        <v>120</v>
      </c>
      <c r="B192" s="6" t="s">
        <v>297</v>
      </c>
    </row>
    <row r="193" spans="1:2">
      <c r="A193" s="6" t="s">
        <v>120</v>
      </c>
      <c r="B193" s="6" t="s">
        <v>298</v>
      </c>
    </row>
    <row r="194" spans="1:2">
      <c r="A194" s="6" t="s">
        <v>120</v>
      </c>
      <c r="B194" s="6" t="s">
        <v>299</v>
      </c>
    </row>
    <row r="195" spans="1:2">
      <c r="A195" s="6" t="s">
        <v>120</v>
      </c>
      <c r="B195" s="6" t="s">
        <v>300</v>
      </c>
    </row>
    <row r="196" spans="1:2">
      <c r="A196" s="6" t="s">
        <v>120</v>
      </c>
      <c r="B196" s="6" t="s">
        <v>301</v>
      </c>
    </row>
    <row r="197" spans="1:2">
      <c r="A197" s="6" t="s">
        <v>120</v>
      </c>
      <c r="B197" s="6" t="s">
        <v>302</v>
      </c>
    </row>
    <row r="198" spans="1:2">
      <c r="A198" s="6" t="s">
        <v>120</v>
      </c>
      <c r="B198" s="6" t="s">
        <v>303</v>
      </c>
    </row>
    <row r="199" spans="1:2">
      <c r="A199" s="6" t="s">
        <v>120</v>
      </c>
      <c r="B199" s="6" t="s">
        <v>304</v>
      </c>
    </row>
    <row r="200" spans="1:2">
      <c r="A200" s="6" t="s">
        <v>120</v>
      </c>
      <c r="B200" s="6" t="s">
        <v>305</v>
      </c>
    </row>
    <row r="201" spans="1:2">
      <c r="A201" s="6" t="s">
        <v>120</v>
      </c>
      <c r="B201" s="6" t="s">
        <v>306</v>
      </c>
    </row>
    <row r="202" spans="1:2">
      <c r="A202" s="6" t="s">
        <v>120</v>
      </c>
      <c r="B202" s="6" t="s">
        <v>307</v>
      </c>
    </row>
    <row r="203" spans="1:2">
      <c r="A203" s="6" t="s">
        <v>120</v>
      </c>
      <c r="B203" s="6" t="s">
        <v>308</v>
      </c>
    </row>
    <row r="204" spans="1:2">
      <c r="A204" s="6" t="s">
        <v>120</v>
      </c>
      <c r="B204" s="6" t="s">
        <v>309</v>
      </c>
    </row>
    <row r="205" spans="1:2">
      <c r="A205" s="6" t="s">
        <v>120</v>
      </c>
      <c r="B205" s="6" t="s">
        <v>310</v>
      </c>
    </row>
    <row r="206" spans="1:2">
      <c r="A206" s="6" t="s">
        <v>120</v>
      </c>
      <c r="B206" s="6" t="s">
        <v>311</v>
      </c>
    </row>
    <row r="207" spans="1:2">
      <c r="A207" s="6" t="s">
        <v>120</v>
      </c>
      <c r="B207" s="6" t="s">
        <v>312</v>
      </c>
    </row>
    <row r="208" spans="1:2">
      <c r="A208" s="6" t="s">
        <v>120</v>
      </c>
      <c r="B208" s="6" t="s">
        <v>313</v>
      </c>
    </row>
    <row r="209" spans="1:2">
      <c r="A209" s="6" t="s">
        <v>120</v>
      </c>
      <c r="B209" s="6" t="s">
        <v>314</v>
      </c>
    </row>
    <row r="210" spans="1:2">
      <c r="A210" s="6" t="s">
        <v>120</v>
      </c>
      <c r="B210" s="6" t="s">
        <v>315</v>
      </c>
    </row>
    <row r="211" spans="1:2">
      <c r="A211" s="6" t="s">
        <v>120</v>
      </c>
      <c r="B211" s="6" t="s">
        <v>316</v>
      </c>
    </row>
    <row r="212" spans="1:2">
      <c r="A212" s="6" t="s">
        <v>32</v>
      </c>
      <c r="B212" s="6" t="s">
        <v>317</v>
      </c>
    </row>
    <row r="213" spans="1:2">
      <c r="A213" s="6" t="s">
        <v>32</v>
      </c>
      <c r="B213" s="6" t="s">
        <v>318</v>
      </c>
    </row>
    <row r="214" spans="1:2">
      <c r="A214" s="6" t="s">
        <v>32</v>
      </c>
      <c r="B214" s="6" t="s">
        <v>319</v>
      </c>
    </row>
    <row r="215" spans="1:2">
      <c r="A215" s="6" t="s">
        <v>32</v>
      </c>
      <c r="B215" s="6" t="s">
        <v>320</v>
      </c>
    </row>
    <row r="216" spans="1:2">
      <c r="A216" s="6" t="s">
        <v>32</v>
      </c>
      <c r="B216" s="6" t="s">
        <v>321</v>
      </c>
    </row>
    <row r="217" spans="1:2">
      <c r="A217" s="6" t="s">
        <v>32</v>
      </c>
      <c r="B217" s="6" t="s">
        <v>322</v>
      </c>
    </row>
    <row r="218" spans="1:2">
      <c r="A218" s="6" t="s">
        <v>32</v>
      </c>
      <c r="B218" s="6" t="s">
        <v>323</v>
      </c>
    </row>
    <row r="219" spans="1:2">
      <c r="A219" s="6" t="s">
        <v>32</v>
      </c>
      <c r="B219" s="6" t="s">
        <v>324</v>
      </c>
    </row>
    <row r="220" spans="1:2">
      <c r="A220" s="6" t="s">
        <v>32</v>
      </c>
      <c r="B220" s="6" t="s">
        <v>325</v>
      </c>
    </row>
    <row r="221" spans="1:2">
      <c r="A221" s="6" t="s">
        <v>32</v>
      </c>
      <c r="B221" s="6" t="s">
        <v>326</v>
      </c>
    </row>
    <row r="222" spans="1:2">
      <c r="A222" s="6" t="s">
        <v>32</v>
      </c>
      <c r="B222" s="6" t="s">
        <v>327</v>
      </c>
    </row>
    <row r="223" spans="1:2">
      <c r="A223" s="6" t="s">
        <v>32</v>
      </c>
      <c r="B223" s="6" t="s">
        <v>169</v>
      </c>
    </row>
    <row r="224" spans="1:2">
      <c r="A224" s="6" t="s">
        <v>32</v>
      </c>
      <c r="B224" s="6" t="s">
        <v>328</v>
      </c>
    </row>
    <row r="225" spans="1:2">
      <c r="A225" s="6" t="s">
        <v>32</v>
      </c>
      <c r="B225" s="6" t="s">
        <v>329</v>
      </c>
    </row>
    <row r="226" spans="1:2">
      <c r="A226" s="6" t="s">
        <v>32</v>
      </c>
      <c r="B226" s="6" t="s">
        <v>330</v>
      </c>
    </row>
    <row r="227" spans="1:2">
      <c r="A227" s="6" t="s">
        <v>32</v>
      </c>
      <c r="B227" s="6" t="s">
        <v>331</v>
      </c>
    </row>
    <row r="228" spans="1:2">
      <c r="A228" s="6" t="s">
        <v>32</v>
      </c>
      <c r="B228" s="6" t="s">
        <v>33</v>
      </c>
    </row>
    <row r="229" spans="1:2">
      <c r="A229" s="6" t="s">
        <v>32</v>
      </c>
      <c r="B229" s="6" t="s">
        <v>332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zoomScaleNormal="100" workbookViewId="0">
      <selection activeCell="R95" sqref="R95"/>
    </sheetView>
  </sheetViews>
  <sheetFormatPr defaultColWidth="7.625" defaultRowHeight="15"/>
  <cols>
    <col min="1" max="1" width="8.75" style="59" customWidth="1"/>
    <col min="2" max="14" width="7" style="59" customWidth="1"/>
    <col min="15" max="16384" width="7.625" style="59"/>
  </cols>
  <sheetData>
    <row r="1" spans="1:26" ht="25.5" customHeight="1">
      <c r="A1" s="177" t="s">
        <v>333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3" spans="1:26" ht="21.75" customHeight="1">
      <c r="A3" s="178" t="s">
        <v>334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</row>
    <row r="4" spans="1:26" ht="21.75" customHeight="1">
      <c r="A4" s="60" t="s">
        <v>335</v>
      </c>
      <c r="B4" s="61" t="s">
        <v>336</v>
      </c>
      <c r="C4" s="61" t="s">
        <v>337</v>
      </c>
      <c r="D4" s="61" t="s">
        <v>338</v>
      </c>
      <c r="E4" s="61" t="s">
        <v>339</v>
      </c>
      <c r="F4" s="61" t="s">
        <v>340</v>
      </c>
      <c r="G4" s="61" t="s">
        <v>341</v>
      </c>
      <c r="H4" s="61" t="s">
        <v>342</v>
      </c>
      <c r="I4" s="61" t="s">
        <v>343</v>
      </c>
      <c r="J4" s="61" t="s">
        <v>344</v>
      </c>
      <c r="K4" s="61" t="s">
        <v>345</v>
      </c>
      <c r="L4" s="61" t="s">
        <v>346</v>
      </c>
      <c r="M4" s="61" t="s">
        <v>347</v>
      </c>
      <c r="N4" s="60" t="s">
        <v>348</v>
      </c>
    </row>
    <row r="5" spans="1:26" ht="19.5" customHeight="1">
      <c r="A5" s="62" t="s">
        <v>349</v>
      </c>
      <c r="B5" s="63">
        <v>-9.1999999999999993</v>
      </c>
      <c r="C5" s="63">
        <v>-6.3</v>
      </c>
      <c r="D5" s="63">
        <v>0.3</v>
      </c>
      <c r="E5" s="63">
        <v>8.4</v>
      </c>
      <c r="F5" s="63">
        <v>15</v>
      </c>
      <c r="G5" s="63">
        <v>19.600000000000001</v>
      </c>
      <c r="H5" s="63">
        <v>24.1</v>
      </c>
      <c r="I5" s="63">
        <v>24.3</v>
      </c>
      <c r="J5" s="63">
        <v>17.8</v>
      </c>
      <c r="K5" s="63">
        <v>9.8000000000000007</v>
      </c>
      <c r="L5" s="63">
        <v>1.5</v>
      </c>
      <c r="M5" s="63">
        <v>-6.8</v>
      </c>
      <c r="N5" s="64">
        <f t="shared" ref="N5:N29" si="0">AVERAGE(B5,C5,D5,E5,F5,G5,H5,I5,J5,K5,L5,M5)</f>
        <v>8.2083333333333339</v>
      </c>
    </row>
    <row r="6" spans="1:26" ht="18" customHeight="1">
      <c r="A6" s="62" t="s">
        <v>350</v>
      </c>
      <c r="B6" s="63">
        <v>9.8000000000000007</v>
      </c>
      <c r="C6" s="63">
        <v>10.199999999999999</v>
      </c>
      <c r="D6" s="63">
        <v>11</v>
      </c>
      <c r="E6" s="63">
        <v>12.1</v>
      </c>
      <c r="F6" s="63">
        <v>11.5</v>
      </c>
      <c r="G6" s="63">
        <v>10</v>
      </c>
      <c r="H6" s="63">
        <v>8.8000000000000007</v>
      </c>
      <c r="I6" s="63">
        <v>9.1999999999999993</v>
      </c>
      <c r="J6" s="63">
        <v>10.5</v>
      </c>
      <c r="K6" s="63">
        <v>11.8</v>
      </c>
      <c r="L6" s="63">
        <v>10.3</v>
      </c>
      <c r="M6" s="63">
        <v>9.5</v>
      </c>
      <c r="N6" s="64">
        <f t="shared" si="0"/>
        <v>10.391666666666666</v>
      </c>
    </row>
    <row r="7" spans="1:26" ht="16.5" customHeight="1">
      <c r="A7" s="65">
        <v>0</v>
      </c>
      <c r="B7" s="63">
        <f t="shared" ref="B7:M7" si="1">B5+(B6/2)*-0.866025</f>
        <v>-13.4435225</v>
      </c>
      <c r="C7" s="63">
        <f t="shared" si="1"/>
        <v>-10.716727500000001</v>
      </c>
      <c r="D7" s="63">
        <f t="shared" si="1"/>
        <v>-4.4631375000000002</v>
      </c>
      <c r="E7" s="63">
        <f t="shared" si="1"/>
        <v>3.1605487500000002</v>
      </c>
      <c r="F7" s="63">
        <f t="shared" si="1"/>
        <v>10.020356249999999</v>
      </c>
      <c r="G7" s="63">
        <f t="shared" si="1"/>
        <v>15.269875000000001</v>
      </c>
      <c r="H7" s="63">
        <f t="shared" si="1"/>
        <v>20.289490000000001</v>
      </c>
      <c r="I7" s="63">
        <f t="shared" si="1"/>
        <v>20.316285000000001</v>
      </c>
      <c r="J7" s="63">
        <f t="shared" si="1"/>
        <v>13.25336875</v>
      </c>
      <c r="K7" s="63">
        <f t="shared" si="1"/>
        <v>4.6904525000000001</v>
      </c>
      <c r="L7" s="63">
        <f t="shared" si="1"/>
        <v>-2.9600287500000002</v>
      </c>
      <c r="M7" s="63">
        <f t="shared" si="1"/>
        <v>-10.913618750000001</v>
      </c>
      <c r="N7" s="66">
        <f t="shared" si="0"/>
        <v>3.7086117708333339</v>
      </c>
    </row>
    <row r="8" spans="1:26" ht="16.5" customHeight="1">
      <c r="A8" s="65">
        <v>1</v>
      </c>
      <c r="B8" s="63">
        <f t="shared" ref="B8:M8" si="2">B5+(B6/2)*-0.965926</f>
        <v>-13.9330374</v>
      </c>
      <c r="C8" s="63">
        <f t="shared" si="2"/>
        <v>-11.2262226</v>
      </c>
      <c r="D8" s="63">
        <f t="shared" si="2"/>
        <v>-5.0125929999999999</v>
      </c>
      <c r="E8" s="63">
        <f t="shared" si="2"/>
        <v>2.5561477000000012</v>
      </c>
      <c r="F8" s="63">
        <f t="shared" si="2"/>
        <v>9.4459255000000013</v>
      </c>
      <c r="G8" s="63">
        <f t="shared" si="2"/>
        <v>14.770370000000002</v>
      </c>
      <c r="H8" s="63">
        <f t="shared" si="2"/>
        <v>19.849925600000002</v>
      </c>
      <c r="I8" s="63">
        <f t="shared" si="2"/>
        <v>19.8567404</v>
      </c>
      <c r="J8" s="63">
        <f t="shared" si="2"/>
        <v>12.7288885</v>
      </c>
      <c r="K8" s="63">
        <f t="shared" si="2"/>
        <v>4.1010366000000005</v>
      </c>
      <c r="L8" s="63">
        <f t="shared" si="2"/>
        <v>-3.4745189000000005</v>
      </c>
      <c r="M8" s="63">
        <f t="shared" si="2"/>
        <v>-11.3881485</v>
      </c>
      <c r="N8" s="66">
        <f t="shared" si="0"/>
        <v>3.1895428250000006</v>
      </c>
    </row>
    <row r="9" spans="1:26" ht="16.5" customHeight="1">
      <c r="A9" s="65">
        <v>2</v>
      </c>
      <c r="B9" s="63">
        <f t="shared" ref="B9:M9" si="3">B5+(B6/2)*-1</f>
        <v>-14.1</v>
      </c>
      <c r="C9" s="63">
        <f t="shared" si="3"/>
        <v>-11.399999999999999</v>
      </c>
      <c r="D9" s="63">
        <f t="shared" si="3"/>
        <v>-5.2</v>
      </c>
      <c r="E9" s="63">
        <f t="shared" si="3"/>
        <v>2.3500000000000005</v>
      </c>
      <c r="F9" s="63">
        <f t="shared" si="3"/>
        <v>9.25</v>
      </c>
      <c r="G9" s="63">
        <f t="shared" si="3"/>
        <v>14.600000000000001</v>
      </c>
      <c r="H9" s="63">
        <f t="shared" si="3"/>
        <v>19.700000000000003</v>
      </c>
      <c r="I9" s="63">
        <f t="shared" si="3"/>
        <v>19.700000000000003</v>
      </c>
      <c r="J9" s="63">
        <f t="shared" si="3"/>
        <v>12.55</v>
      </c>
      <c r="K9" s="63">
        <f t="shared" si="3"/>
        <v>3.9000000000000004</v>
      </c>
      <c r="L9" s="63">
        <f t="shared" si="3"/>
        <v>-3.6500000000000004</v>
      </c>
      <c r="M9" s="63">
        <f t="shared" si="3"/>
        <v>-11.55</v>
      </c>
      <c r="N9" s="66">
        <f t="shared" si="0"/>
        <v>3.0125000000000006</v>
      </c>
    </row>
    <row r="10" spans="1:26" ht="16.5" customHeight="1">
      <c r="A10" s="65">
        <v>3</v>
      </c>
      <c r="B10" s="63">
        <f t="shared" ref="B10:M10" si="4">B5+(B6/2)*-0.965926</f>
        <v>-13.9330374</v>
      </c>
      <c r="C10" s="63">
        <f t="shared" si="4"/>
        <v>-11.2262226</v>
      </c>
      <c r="D10" s="63">
        <f t="shared" si="4"/>
        <v>-5.0125929999999999</v>
      </c>
      <c r="E10" s="63">
        <f t="shared" si="4"/>
        <v>2.5561477000000012</v>
      </c>
      <c r="F10" s="63">
        <f t="shared" si="4"/>
        <v>9.4459255000000013</v>
      </c>
      <c r="G10" s="63">
        <f t="shared" si="4"/>
        <v>14.770370000000002</v>
      </c>
      <c r="H10" s="63">
        <f t="shared" si="4"/>
        <v>19.849925600000002</v>
      </c>
      <c r="I10" s="63">
        <f t="shared" si="4"/>
        <v>19.8567404</v>
      </c>
      <c r="J10" s="63">
        <f t="shared" si="4"/>
        <v>12.7288885</v>
      </c>
      <c r="K10" s="63">
        <f t="shared" si="4"/>
        <v>4.1010366000000005</v>
      </c>
      <c r="L10" s="63">
        <f t="shared" si="4"/>
        <v>-3.4745189000000005</v>
      </c>
      <c r="M10" s="63">
        <f t="shared" si="4"/>
        <v>-11.3881485</v>
      </c>
      <c r="N10" s="66">
        <f t="shared" si="0"/>
        <v>3.1895428250000006</v>
      </c>
    </row>
    <row r="11" spans="1:26" ht="16.5" customHeight="1">
      <c r="A11" s="65">
        <v>4</v>
      </c>
      <c r="B11" s="63">
        <f t="shared" ref="B11:M11" si="5">B5+(B6/2)*-0.866025</f>
        <v>-13.4435225</v>
      </c>
      <c r="C11" s="63">
        <f t="shared" si="5"/>
        <v>-10.716727500000001</v>
      </c>
      <c r="D11" s="63">
        <f t="shared" si="5"/>
        <v>-4.4631375000000002</v>
      </c>
      <c r="E11" s="63">
        <f t="shared" si="5"/>
        <v>3.1605487500000002</v>
      </c>
      <c r="F11" s="63">
        <f t="shared" si="5"/>
        <v>10.020356249999999</v>
      </c>
      <c r="G11" s="63">
        <f t="shared" si="5"/>
        <v>15.269875000000001</v>
      </c>
      <c r="H11" s="63">
        <f t="shared" si="5"/>
        <v>20.289490000000001</v>
      </c>
      <c r="I11" s="63">
        <f t="shared" si="5"/>
        <v>20.316285000000001</v>
      </c>
      <c r="J11" s="63">
        <f t="shared" si="5"/>
        <v>13.25336875</v>
      </c>
      <c r="K11" s="63">
        <f t="shared" si="5"/>
        <v>4.6904525000000001</v>
      </c>
      <c r="L11" s="63">
        <f t="shared" si="5"/>
        <v>-2.9600287500000002</v>
      </c>
      <c r="M11" s="63">
        <f t="shared" si="5"/>
        <v>-10.913618750000001</v>
      </c>
      <c r="N11" s="66">
        <f t="shared" si="0"/>
        <v>3.7086117708333339</v>
      </c>
    </row>
    <row r="12" spans="1:26" ht="16.5" customHeight="1">
      <c r="A12" s="65">
        <v>5</v>
      </c>
      <c r="B12" s="63">
        <f t="shared" ref="B12:M12" si="6">B5+(B6/2)*-0.707107</f>
        <v>-12.664824299999999</v>
      </c>
      <c r="C12" s="63">
        <f t="shared" si="6"/>
        <v>-9.9062456999999995</v>
      </c>
      <c r="D12" s="63">
        <f t="shared" si="6"/>
        <v>-3.5890885000000003</v>
      </c>
      <c r="E12" s="63">
        <f t="shared" si="6"/>
        <v>4.1220026500000007</v>
      </c>
      <c r="F12" s="63">
        <f t="shared" si="6"/>
        <v>10.93413475</v>
      </c>
      <c r="G12" s="63">
        <f t="shared" si="6"/>
        <v>16.064465000000002</v>
      </c>
      <c r="H12" s="63">
        <f t="shared" si="6"/>
        <v>20.988729200000002</v>
      </c>
      <c r="I12" s="63">
        <f t="shared" si="6"/>
        <v>21.047307800000002</v>
      </c>
      <c r="J12" s="63">
        <f t="shared" si="6"/>
        <v>14.087688250000001</v>
      </c>
      <c r="K12" s="63">
        <f t="shared" si="6"/>
        <v>5.6280687</v>
      </c>
      <c r="L12" s="63">
        <f t="shared" si="6"/>
        <v>-2.1416010500000007</v>
      </c>
      <c r="M12" s="63">
        <f t="shared" si="6"/>
        <v>-10.15875825</v>
      </c>
      <c r="N12" s="66">
        <f t="shared" si="0"/>
        <v>4.5343232125000004</v>
      </c>
    </row>
    <row r="13" spans="1:26" ht="16.5" customHeight="1">
      <c r="A13" s="65">
        <v>6</v>
      </c>
      <c r="B13" s="63">
        <f t="shared" ref="B13:M13" si="7">B5+(B6/2)*-0.5</f>
        <v>-11.649999999999999</v>
      </c>
      <c r="C13" s="63">
        <f t="shared" si="7"/>
        <v>-8.85</v>
      </c>
      <c r="D13" s="63">
        <f t="shared" si="7"/>
        <v>-2.4500000000000002</v>
      </c>
      <c r="E13" s="63">
        <f t="shared" si="7"/>
        <v>5.375</v>
      </c>
      <c r="F13" s="63">
        <f t="shared" si="7"/>
        <v>12.125</v>
      </c>
      <c r="G13" s="63">
        <f t="shared" si="7"/>
        <v>17.100000000000001</v>
      </c>
      <c r="H13" s="63">
        <f t="shared" si="7"/>
        <v>21.900000000000002</v>
      </c>
      <c r="I13" s="63">
        <f t="shared" si="7"/>
        <v>22</v>
      </c>
      <c r="J13" s="63">
        <f t="shared" si="7"/>
        <v>15.175000000000001</v>
      </c>
      <c r="K13" s="63">
        <f t="shared" si="7"/>
        <v>6.8500000000000005</v>
      </c>
      <c r="L13" s="63">
        <f t="shared" si="7"/>
        <v>-1.0750000000000002</v>
      </c>
      <c r="M13" s="63">
        <f t="shared" si="7"/>
        <v>-9.1750000000000007</v>
      </c>
      <c r="N13" s="66">
        <f t="shared" si="0"/>
        <v>5.6104166666666666</v>
      </c>
    </row>
    <row r="14" spans="1:26" ht="16.5" customHeight="1">
      <c r="A14" s="65">
        <v>7</v>
      </c>
      <c r="B14" s="63">
        <f t="shared" ref="B14:M14" si="8">B5+(B6/2)*-0.258819</f>
        <v>-10.4682131</v>
      </c>
      <c r="C14" s="63">
        <f t="shared" si="8"/>
        <v>-7.6199769000000002</v>
      </c>
      <c r="D14" s="63">
        <f t="shared" si="8"/>
        <v>-1.1235045000000001</v>
      </c>
      <c r="E14" s="63">
        <f t="shared" si="8"/>
        <v>6.8341450500000001</v>
      </c>
      <c r="F14" s="63">
        <f t="shared" si="8"/>
        <v>13.511790749999999</v>
      </c>
      <c r="G14" s="63">
        <f t="shared" si="8"/>
        <v>18.305905000000003</v>
      </c>
      <c r="H14" s="63">
        <f t="shared" si="8"/>
        <v>22.961196400000002</v>
      </c>
      <c r="I14" s="63">
        <f t="shared" si="8"/>
        <v>23.109432600000002</v>
      </c>
      <c r="J14" s="63">
        <f t="shared" si="8"/>
        <v>16.441200250000001</v>
      </c>
      <c r="K14" s="63">
        <f t="shared" si="8"/>
        <v>8.2729679000000012</v>
      </c>
      <c r="L14" s="63">
        <f t="shared" si="8"/>
        <v>0.16708214999999971</v>
      </c>
      <c r="M14" s="63">
        <f t="shared" si="8"/>
        <v>-8.0293902500000005</v>
      </c>
      <c r="N14" s="66">
        <f t="shared" si="0"/>
        <v>6.8635529458333338</v>
      </c>
    </row>
    <row r="15" spans="1:26" ht="16.5" customHeight="1">
      <c r="A15" s="65">
        <v>8</v>
      </c>
      <c r="B15" s="63">
        <f t="shared" ref="B15:M15" si="9">B5+(B6/2)*0</f>
        <v>-9.1999999999999993</v>
      </c>
      <c r="C15" s="63">
        <f t="shared" si="9"/>
        <v>-6.3</v>
      </c>
      <c r="D15" s="63">
        <f t="shared" si="9"/>
        <v>0.3</v>
      </c>
      <c r="E15" s="63">
        <f t="shared" si="9"/>
        <v>8.4</v>
      </c>
      <c r="F15" s="63">
        <f t="shared" si="9"/>
        <v>15</v>
      </c>
      <c r="G15" s="63">
        <f t="shared" si="9"/>
        <v>19.600000000000001</v>
      </c>
      <c r="H15" s="63">
        <f t="shared" si="9"/>
        <v>24.1</v>
      </c>
      <c r="I15" s="63">
        <f t="shared" si="9"/>
        <v>24.3</v>
      </c>
      <c r="J15" s="63">
        <f t="shared" si="9"/>
        <v>17.8</v>
      </c>
      <c r="K15" s="63">
        <f t="shared" si="9"/>
        <v>9.8000000000000007</v>
      </c>
      <c r="L15" s="63">
        <f t="shared" si="9"/>
        <v>1.5</v>
      </c>
      <c r="M15" s="63">
        <f t="shared" si="9"/>
        <v>-6.8</v>
      </c>
      <c r="N15" s="66">
        <f t="shared" si="0"/>
        <v>8.2083333333333339</v>
      </c>
    </row>
    <row r="16" spans="1:26" ht="16.5" customHeight="1">
      <c r="A16" s="65">
        <v>9</v>
      </c>
      <c r="B16" s="63">
        <f t="shared" ref="B16:M16" si="10">B5+(B6/2)*0.258819</f>
        <v>-7.9317868999999988</v>
      </c>
      <c r="C16" s="63">
        <f t="shared" si="10"/>
        <v>-4.9800230999999995</v>
      </c>
      <c r="D16" s="63">
        <f t="shared" si="10"/>
        <v>1.7235045000000002</v>
      </c>
      <c r="E16" s="63">
        <f t="shared" si="10"/>
        <v>9.9658549500000007</v>
      </c>
      <c r="F16" s="63">
        <f t="shared" si="10"/>
        <v>16.488209250000001</v>
      </c>
      <c r="G16" s="63">
        <f t="shared" si="10"/>
        <v>20.894095</v>
      </c>
      <c r="H16" s="63">
        <f t="shared" si="10"/>
        <v>25.238803600000001</v>
      </c>
      <c r="I16" s="63">
        <f t="shared" si="10"/>
        <v>25.4905674</v>
      </c>
      <c r="J16" s="63">
        <f t="shared" si="10"/>
        <v>19.15879975</v>
      </c>
      <c r="K16" s="63">
        <f t="shared" si="10"/>
        <v>11.3270321</v>
      </c>
      <c r="L16" s="63">
        <f t="shared" si="10"/>
        <v>2.8329178500000003</v>
      </c>
      <c r="M16" s="63">
        <f t="shared" si="10"/>
        <v>-5.57060975</v>
      </c>
      <c r="N16" s="66">
        <f t="shared" si="0"/>
        <v>9.5531137208333323</v>
      </c>
    </row>
    <row r="17" spans="1:14" ht="16.5" customHeight="1">
      <c r="A17" s="65">
        <v>10</v>
      </c>
      <c r="B17" s="63">
        <f t="shared" ref="B17:M17" si="11">B5+(B6/2)*0.5</f>
        <v>-6.7499999999999991</v>
      </c>
      <c r="C17" s="63">
        <f t="shared" si="11"/>
        <v>-3.75</v>
      </c>
      <c r="D17" s="63">
        <f t="shared" si="11"/>
        <v>3.05</v>
      </c>
      <c r="E17" s="63">
        <f t="shared" si="11"/>
        <v>11.425000000000001</v>
      </c>
      <c r="F17" s="63">
        <f t="shared" si="11"/>
        <v>17.875</v>
      </c>
      <c r="G17" s="63">
        <f t="shared" si="11"/>
        <v>22.1</v>
      </c>
      <c r="H17" s="63">
        <f t="shared" si="11"/>
        <v>26.3</v>
      </c>
      <c r="I17" s="63">
        <f t="shared" si="11"/>
        <v>26.6</v>
      </c>
      <c r="J17" s="63">
        <f t="shared" si="11"/>
        <v>20.425000000000001</v>
      </c>
      <c r="K17" s="63">
        <f t="shared" si="11"/>
        <v>12.75</v>
      </c>
      <c r="L17" s="63">
        <f t="shared" si="11"/>
        <v>4.0750000000000002</v>
      </c>
      <c r="M17" s="63">
        <f t="shared" si="11"/>
        <v>-4.4249999999999998</v>
      </c>
      <c r="N17" s="66">
        <f t="shared" si="0"/>
        <v>10.806249999999997</v>
      </c>
    </row>
    <row r="18" spans="1:14" ht="16.5" customHeight="1">
      <c r="A18" s="65">
        <v>11</v>
      </c>
      <c r="B18" s="63">
        <f t="shared" ref="B18:M18" si="12">B5+(B6/2)*0.707107</f>
        <v>-5.7351756999999992</v>
      </c>
      <c r="C18" s="63">
        <f t="shared" si="12"/>
        <v>-2.6937542999999997</v>
      </c>
      <c r="D18" s="63">
        <f t="shared" si="12"/>
        <v>4.1890885000000004</v>
      </c>
      <c r="E18" s="63">
        <f t="shared" si="12"/>
        <v>12.67799735</v>
      </c>
      <c r="F18" s="63">
        <f t="shared" si="12"/>
        <v>19.065865250000002</v>
      </c>
      <c r="G18" s="63">
        <f t="shared" si="12"/>
        <v>23.135535000000001</v>
      </c>
      <c r="H18" s="63">
        <f t="shared" si="12"/>
        <v>27.211270800000001</v>
      </c>
      <c r="I18" s="63">
        <f t="shared" si="12"/>
        <v>27.552692199999999</v>
      </c>
      <c r="J18" s="63">
        <f t="shared" si="12"/>
        <v>21.512311750000002</v>
      </c>
      <c r="K18" s="63">
        <f t="shared" si="12"/>
        <v>13.971931300000001</v>
      </c>
      <c r="L18" s="63">
        <f t="shared" si="12"/>
        <v>5.1416010500000002</v>
      </c>
      <c r="M18" s="63">
        <f t="shared" si="12"/>
        <v>-3.4412417499999997</v>
      </c>
      <c r="N18" s="66">
        <f t="shared" si="0"/>
        <v>11.882343454166667</v>
      </c>
    </row>
    <row r="19" spans="1:14" ht="16.5" customHeight="1">
      <c r="A19" s="65">
        <v>12</v>
      </c>
      <c r="B19" s="63">
        <f t="shared" ref="B19:M19" si="13">B5+(B6/2)*0.866025</f>
        <v>-4.9564774999999992</v>
      </c>
      <c r="C19" s="63">
        <f t="shared" si="13"/>
        <v>-1.8832724999999995</v>
      </c>
      <c r="D19" s="63">
        <f t="shared" si="13"/>
        <v>5.0631374999999998</v>
      </c>
      <c r="E19" s="63">
        <f t="shared" si="13"/>
        <v>13.63945125</v>
      </c>
      <c r="F19" s="63">
        <f t="shared" si="13"/>
        <v>19.979643750000001</v>
      </c>
      <c r="G19" s="63">
        <f t="shared" si="13"/>
        <v>23.930125000000004</v>
      </c>
      <c r="H19" s="63">
        <f t="shared" si="13"/>
        <v>27.910510000000002</v>
      </c>
      <c r="I19" s="63">
        <f t="shared" si="13"/>
        <v>28.283715000000001</v>
      </c>
      <c r="J19" s="63">
        <f t="shared" si="13"/>
        <v>22.346631250000002</v>
      </c>
      <c r="K19" s="63">
        <f t="shared" si="13"/>
        <v>14.909547500000002</v>
      </c>
      <c r="L19" s="63">
        <f t="shared" si="13"/>
        <v>5.9600287500000002</v>
      </c>
      <c r="M19" s="63">
        <f t="shared" si="13"/>
        <v>-2.6863812499999993</v>
      </c>
      <c r="N19" s="66">
        <f t="shared" si="0"/>
        <v>12.708054895833333</v>
      </c>
    </row>
    <row r="20" spans="1:14" ht="16.5" customHeight="1">
      <c r="A20" s="65">
        <v>13</v>
      </c>
      <c r="B20" s="63">
        <f t="shared" ref="B20:M20" si="14">B5+(B6/2)*0.965926</f>
        <v>-4.4669625999999996</v>
      </c>
      <c r="C20" s="63">
        <f t="shared" si="14"/>
        <v>-1.3737774000000007</v>
      </c>
      <c r="D20" s="63">
        <f t="shared" si="14"/>
        <v>5.6125929999999995</v>
      </c>
      <c r="E20" s="63">
        <f t="shared" si="14"/>
        <v>14.2438523</v>
      </c>
      <c r="F20" s="63">
        <f t="shared" si="14"/>
        <v>20.554074499999999</v>
      </c>
      <c r="G20" s="63">
        <f t="shared" si="14"/>
        <v>24.429630000000003</v>
      </c>
      <c r="H20" s="63">
        <f t="shared" si="14"/>
        <v>28.3500744</v>
      </c>
      <c r="I20" s="63">
        <f t="shared" si="14"/>
        <v>28.743259600000002</v>
      </c>
      <c r="J20" s="63">
        <f t="shared" si="14"/>
        <v>22.871111500000001</v>
      </c>
      <c r="K20" s="63">
        <f t="shared" si="14"/>
        <v>15.498963400000001</v>
      </c>
      <c r="L20" s="63">
        <f t="shared" si="14"/>
        <v>6.4745189000000005</v>
      </c>
      <c r="M20" s="63">
        <f t="shared" si="14"/>
        <v>-2.2118514999999999</v>
      </c>
      <c r="N20" s="66">
        <f t="shared" si="0"/>
        <v>13.227123841666668</v>
      </c>
    </row>
    <row r="21" spans="1:14" ht="16.5" customHeight="1">
      <c r="A21" s="65">
        <v>14</v>
      </c>
      <c r="B21" s="63">
        <f t="shared" ref="B21:M21" si="15">B5+(B6/2)*1</f>
        <v>-4.2999999999999989</v>
      </c>
      <c r="C21" s="63">
        <f t="shared" si="15"/>
        <v>-1.2000000000000002</v>
      </c>
      <c r="D21" s="63">
        <f t="shared" si="15"/>
        <v>5.8</v>
      </c>
      <c r="E21" s="63">
        <f t="shared" si="15"/>
        <v>14.45</v>
      </c>
      <c r="F21" s="63">
        <f t="shared" si="15"/>
        <v>20.75</v>
      </c>
      <c r="G21" s="63">
        <f t="shared" si="15"/>
        <v>24.6</v>
      </c>
      <c r="H21" s="63">
        <f t="shared" si="15"/>
        <v>28.5</v>
      </c>
      <c r="I21" s="63">
        <f t="shared" si="15"/>
        <v>28.9</v>
      </c>
      <c r="J21" s="63">
        <f t="shared" si="15"/>
        <v>23.05</v>
      </c>
      <c r="K21" s="63">
        <f t="shared" si="15"/>
        <v>15.700000000000001</v>
      </c>
      <c r="L21" s="63">
        <f t="shared" si="15"/>
        <v>6.65</v>
      </c>
      <c r="M21" s="63">
        <f t="shared" si="15"/>
        <v>-2.0499999999999998</v>
      </c>
      <c r="N21" s="66">
        <f t="shared" si="0"/>
        <v>13.404166666666667</v>
      </c>
    </row>
    <row r="22" spans="1:14" ht="16.5" customHeight="1">
      <c r="A22" s="65">
        <v>15</v>
      </c>
      <c r="B22" s="63">
        <f t="shared" ref="B22:M22" si="16">B5+(B6/2)*0.965926</f>
        <v>-4.4669625999999996</v>
      </c>
      <c r="C22" s="63">
        <f t="shared" si="16"/>
        <v>-1.3737774000000007</v>
      </c>
      <c r="D22" s="63">
        <f t="shared" si="16"/>
        <v>5.6125929999999995</v>
      </c>
      <c r="E22" s="63">
        <f t="shared" si="16"/>
        <v>14.2438523</v>
      </c>
      <c r="F22" s="63">
        <f t="shared" si="16"/>
        <v>20.554074499999999</v>
      </c>
      <c r="G22" s="63">
        <f t="shared" si="16"/>
        <v>24.429630000000003</v>
      </c>
      <c r="H22" s="63">
        <f t="shared" si="16"/>
        <v>28.3500744</v>
      </c>
      <c r="I22" s="63">
        <f t="shared" si="16"/>
        <v>28.743259600000002</v>
      </c>
      <c r="J22" s="63">
        <f t="shared" si="16"/>
        <v>22.871111500000001</v>
      </c>
      <c r="K22" s="63">
        <f t="shared" si="16"/>
        <v>15.498963400000001</v>
      </c>
      <c r="L22" s="63">
        <f t="shared" si="16"/>
        <v>6.4745189000000005</v>
      </c>
      <c r="M22" s="63">
        <f t="shared" si="16"/>
        <v>-2.2118514999999999</v>
      </c>
      <c r="N22" s="66">
        <f t="shared" si="0"/>
        <v>13.227123841666668</v>
      </c>
    </row>
    <row r="23" spans="1:14" ht="16.5" customHeight="1">
      <c r="A23" s="65">
        <v>16</v>
      </c>
      <c r="B23" s="63">
        <f t="shared" ref="B23:M23" si="17">B5+(B6/2)*0.866025</f>
        <v>-4.9564774999999992</v>
      </c>
      <c r="C23" s="63">
        <f t="shared" si="17"/>
        <v>-1.8832724999999995</v>
      </c>
      <c r="D23" s="63">
        <f t="shared" si="17"/>
        <v>5.0631374999999998</v>
      </c>
      <c r="E23" s="63">
        <f t="shared" si="17"/>
        <v>13.63945125</v>
      </c>
      <c r="F23" s="63">
        <f t="shared" si="17"/>
        <v>19.979643750000001</v>
      </c>
      <c r="G23" s="63">
        <f t="shared" si="17"/>
        <v>23.930125000000004</v>
      </c>
      <c r="H23" s="63">
        <f t="shared" si="17"/>
        <v>27.910510000000002</v>
      </c>
      <c r="I23" s="63">
        <f t="shared" si="17"/>
        <v>28.283715000000001</v>
      </c>
      <c r="J23" s="63">
        <f t="shared" si="17"/>
        <v>22.346631250000002</v>
      </c>
      <c r="K23" s="63">
        <f t="shared" si="17"/>
        <v>14.909547500000002</v>
      </c>
      <c r="L23" s="63">
        <f t="shared" si="17"/>
        <v>5.9600287500000002</v>
      </c>
      <c r="M23" s="63">
        <f t="shared" si="17"/>
        <v>-2.6863812499999993</v>
      </c>
      <c r="N23" s="66">
        <f t="shared" si="0"/>
        <v>12.708054895833333</v>
      </c>
    </row>
    <row r="24" spans="1:14" ht="16.5" customHeight="1">
      <c r="A24" s="65">
        <v>17</v>
      </c>
      <c r="B24" s="63">
        <f t="shared" ref="B24:M24" si="18">B5+(B6/2)*0.707107</f>
        <v>-5.7351756999999992</v>
      </c>
      <c r="C24" s="63">
        <f t="shared" si="18"/>
        <v>-2.6937542999999997</v>
      </c>
      <c r="D24" s="63">
        <f t="shared" si="18"/>
        <v>4.1890885000000004</v>
      </c>
      <c r="E24" s="63">
        <f t="shared" si="18"/>
        <v>12.67799735</v>
      </c>
      <c r="F24" s="63">
        <f t="shared" si="18"/>
        <v>19.065865250000002</v>
      </c>
      <c r="G24" s="63">
        <f t="shared" si="18"/>
        <v>23.135535000000001</v>
      </c>
      <c r="H24" s="63">
        <f t="shared" si="18"/>
        <v>27.211270800000001</v>
      </c>
      <c r="I24" s="63">
        <f t="shared" si="18"/>
        <v>27.552692199999999</v>
      </c>
      <c r="J24" s="63">
        <f t="shared" si="18"/>
        <v>21.512311750000002</v>
      </c>
      <c r="K24" s="63">
        <f t="shared" si="18"/>
        <v>13.971931300000001</v>
      </c>
      <c r="L24" s="63">
        <f t="shared" si="18"/>
        <v>5.1416010500000002</v>
      </c>
      <c r="M24" s="63">
        <f t="shared" si="18"/>
        <v>-3.4412417499999997</v>
      </c>
      <c r="N24" s="66">
        <f t="shared" si="0"/>
        <v>11.882343454166667</v>
      </c>
    </row>
    <row r="25" spans="1:14" ht="16.5" customHeight="1">
      <c r="A25" s="65">
        <v>18</v>
      </c>
      <c r="B25" s="63">
        <f t="shared" ref="B25:M25" si="19">B5+(B6/2)*0.5</f>
        <v>-6.7499999999999991</v>
      </c>
      <c r="C25" s="63">
        <f t="shared" si="19"/>
        <v>-3.75</v>
      </c>
      <c r="D25" s="63">
        <f t="shared" si="19"/>
        <v>3.05</v>
      </c>
      <c r="E25" s="63">
        <f t="shared" si="19"/>
        <v>11.425000000000001</v>
      </c>
      <c r="F25" s="63">
        <f t="shared" si="19"/>
        <v>17.875</v>
      </c>
      <c r="G25" s="63">
        <f t="shared" si="19"/>
        <v>22.1</v>
      </c>
      <c r="H25" s="63">
        <f t="shared" si="19"/>
        <v>26.3</v>
      </c>
      <c r="I25" s="63">
        <f t="shared" si="19"/>
        <v>26.6</v>
      </c>
      <c r="J25" s="63">
        <f t="shared" si="19"/>
        <v>20.425000000000001</v>
      </c>
      <c r="K25" s="63">
        <f t="shared" si="19"/>
        <v>12.75</v>
      </c>
      <c r="L25" s="63">
        <f t="shared" si="19"/>
        <v>4.0750000000000002</v>
      </c>
      <c r="M25" s="63">
        <f t="shared" si="19"/>
        <v>-4.4249999999999998</v>
      </c>
      <c r="N25" s="66">
        <f t="shared" si="0"/>
        <v>10.806249999999997</v>
      </c>
    </row>
    <row r="26" spans="1:14" ht="16.5" customHeight="1">
      <c r="A26" s="65">
        <v>19</v>
      </c>
      <c r="B26" s="63">
        <f t="shared" ref="B26:M26" si="20">B5+(B6/2)*0.258819</f>
        <v>-7.9317868999999988</v>
      </c>
      <c r="C26" s="63">
        <f t="shared" si="20"/>
        <v>-4.9800230999999995</v>
      </c>
      <c r="D26" s="63">
        <f t="shared" si="20"/>
        <v>1.7235045000000002</v>
      </c>
      <c r="E26" s="63">
        <f t="shared" si="20"/>
        <v>9.9658549500000007</v>
      </c>
      <c r="F26" s="63">
        <f t="shared" si="20"/>
        <v>16.488209250000001</v>
      </c>
      <c r="G26" s="63">
        <f t="shared" si="20"/>
        <v>20.894095</v>
      </c>
      <c r="H26" s="63">
        <f t="shared" si="20"/>
        <v>25.238803600000001</v>
      </c>
      <c r="I26" s="63">
        <f t="shared" si="20"/>
        <v>25.4905674</v>
      </c>
      <c r="J26" s="63">
        <f t="shared" si="20"/>
        <v>19.15879975</v>
      </c>
      <c r="K26" s="63">
        <f t="shared" si="20"/>
        <v>11.3270321</v>
      </c>
      <c r="L26" s="63">
        <f t="shared" si="20"/>
        <v>2.8329178500000003</v>
      </c>
      <c r="M26" s="63">
        <f t="shared" si="20"/>
        <v>-5.57060975</v>
      </c>
      <c r="N26" s="66">
        <f t="shared" si="0"/>
        <v>9.5531137208333323</v>
      </c>
    </row>
    <row r="27" spans="1:14" ht="16.5" customHeight="1">
      <c r="A27" s="65">
        <v>20</v>
      </c>
      <c r="B27" s="63">
        <f t="shared" ref="B27:M27" si="21">B5+(B6/2)*0</f>
        <v>-9.1999999999999993</v>
      </c>
      <c r="C27" s="63">
        <f t="shared" si="21"/>
        <v>-6.3</v>
      </c>
      <c r="D27" s="63">
        <f t="shared" si="21"/>
        <v>0.3</v>
      </c>
      <c r="E27" s="63">
        <f t="shared" si="21"/>
        <v>8.4</v>
      </c>
      <c r="F27" s="63">
        <f t="shared" si="21"/>
        <v>15</v>
      </c>
      <c r="G27" s="63">
        <f t="shared" si="21"/>
        <v>19.600000000000001</v>
      </c>
      <c r="H27" s="63">
        <f t="shared" si="21"/>
        <v>24.1</v>
      </c>
      <c r="I27" s="63">
        <f t="shared" si="21"/>
        <v>24.3</v>
      </c>
      <c r="J27" s="63">
        <f t="shared" si="21"/>
        <v>17.8</v>
      </c>
      <c r="K27" s="63">
        <f t="shared" si="21"/>
        <v>9.8000000000000007</v>
      </c>
      <c r="L27" s="63">
        <f t="shared" si="21"/>
        <v>1.5</v>
      </c>
      <c r="M27" s="63">
        <f t="shared" si="21"/>
        <v>-6.8</v>
      </c>
      <c r="N27" s="66">
        <f t="shared" si="0"/>
        <v>8.2083333333333339</v>
      </c>
    </row>
    <row r="28" spans="1:14" ht="16.5" customHeight="1">
      <c r="A28" s="65">
        <v>21</v>
      </c>
      <c r="B28" s="63">
        <f t="shared" ref="B28:M28" si="22">B5+(B6/2)*-0.258819</f>
        <v>-10.4682131</v>
      </c>
      <c r="C28" s="63">
        <f t="shared" si="22"/>
        <v>-7.6199769000000002</v>
      </c>
      <c r="D28" s="63">
        <f t="shared" si="22"/>
        <v>-1.1235045000000001</v>
      </c>
      <c r="E28" s="63">
        <f t="shared" si="22"/>
        <v>6.8341450500000001</v>
      </c>
      <c r="F28" s="63">
        <f t="shared" si="22"/>
        <v>13.511790749999999</v>
      </c>
      <c r="G28" s="63">
        <f t="shared" si="22"/>
        <v>18.305905000000003</v>
      </c>
      <c r="H28" s="63">
        <f t="shared" si="22"/>
        <v>22.961196400000002</v>
      </c>
      <c r="I28" s="63">
        <f t="shared" si="22"/>
        <v>23.109432600000002</v>
      </c>
      <c r="J28" s="63">
        <f t="shared" si="22"/>
        <v>16.441200250000001</v>
      </c>
      <c r="K28" s="63">
        <f t="shared" si="22"/>
        <v>8.2729679000000012</v>
      </c>
      <c r="L28" s="63">
        <f t="shared" si="22"/>
        <v>0.16708214999999971</v>
      </c>
      <c r="M28" s="63">
        <f t="shared" si="22"/>
        <v>-8.0293902500000005</v>
      </c>
      <c r="N28" s="66">
        <f t="shared" si="0"/>
        <v>6.8635529458333338</v>
      </c>
    </row>
    <row r="29" spans="1:14" ht="16.5" customHeight="1">
      <c r="A29" s="65">
        <v>22</v>
      </c>
      <c r="B29" s="63">
        <f t="shared" ref="B29:M29" si="23">B5+(B6/2)*-0.5</f>
        <v>-11.649999999999999</v>
      </c>
      <c r="C29" s="63">
        <f t="shared" si="23"/>
        <v>-8.85</v>
      </c>
      <c r="D29" s="63">
        <f t="shared" si="23"/>
        <v>-2.4500000000000002</v>
      </c>
      <c r="E29" s="63">
        <f t="shared" si="23"/>
        <v>5.375</v>
      </c>
      <c r="F29" s="63">
        <f t="shared" si="23"/>
        <v>12.125</v>
      </c>
      <c r="G29" s="63">
        <f t="shared" si="23"/>
        <v>17.100000000000001</v>
      </c>
      <c r="H29" s="63">
        <f t="shared" si="23"/>
        <v>21.900000000000002</v>
      </c>
      <c r="I29" s="63">
        <f t="shared" si="23"/>
        <v>22</v>
      </c>
      <c r="J29" s="63">
        <f t="shared" si="23"/>
        <v>15.175000000000001</v>
      </c>
      <c r="K29" s="63">
        <f t="shared" si="23"/>
        <v>6.8500000000000005</v>
      </c>
      <c r="L29" s="63">
        <f t="shared" si="23"/>
        <v>-1.0750000000000002</v>
      </c>
      <c r="M29" s="63">
        <f t="shared" si="23"/>
        <v>-9.1750000000000007</v>
      </c>
      <c r="N29" s="66">
        <f t="shared" si="0"/>
        <v>5.6104166666666666</v>
      </c>
    </row>
    <row r="30" spans="1:14" ht="21.75" customHeight="1">
      <c r="A30" s="179" t="s">
        <v>351</v>
      </c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</row>
    <row r="31" spans="1:14" ht="21.75" customHeight="1">
      <c r="A31" s="67" t="s">
        <v>335</v>
      </c>
      <c r="B31" s="68" t="s">
        <v>336</v>
      </c>
      <c r="C31" s="68" t="s">
        <v>337</v>
      </c>
      <c r="D31" s="68" t="s">
        <v>338</v>
      </c>
      <c r="E31" s="68" t="s">
        <v>339</v>
      </c>
      <c r="F31" s="68" t="s">
        <v>340</v>
      </c>
      <c r="G31" s="68" t="s">
        <v>341</v>
      </c>
      <c r="H31" s="68" t="s">
        <v>342</v>
      </c>
      <c r="I31" s="68" t="s">
        <v>343</v>
      </c>
      <c r="J31" s="68" t="s">
        <v>344</v>
      </c>
      <c r="K31" s="68" t="s">
        <v>345</v>
      </c>
      <c r="L31" s="68" t="s">
        <v>346</v>
      </c>
      <c r="M31" s="68" t="s">
        <v>347</v>
      </c>
      <c r="N31" s="67" t="s">
        <v>348</v>
      </c>
    </row>
    <row r="32" spans="1:14" ht="19.5" customHeight="1">
      <c r="A32" s="69" t="s">
        <v>349</v>
      </c>
      <c r="B32" s="70">
        <v>-1.8</v>
      </c>
      <c r="C32" s="70">
        <v>0.8</v>
      </c>
      <c r="D32" s="70">
        <v>6.5</v>
      </c>
      <c r="E32" s="70">
        <v>13.2</v>
      </c>
      <c r="F32" s="70">
        <v>18.5</v>
      </c>
      <c r="G32" s="70">
        <v>23</v>
      </c>
      <c r="H32" s="70">
        <v>26.4</v>
      </c>
      <c r="I32" s="70">
        <v>27.1</v>
      </c>
      <c r="J32" s="70">
        <v>22</v>
      </c>
      <c r="K32" s="70">
        <v>15.2</v>
      </c>
      <c r="L32" s="70">
        <v>7.5</v>
      </c>
      <c r="M32" s="70">
        <v>0.5</v>
      </c>
      <c r="N32" s="71">
        <f t="shared" ref="N32:N56" si="24">AVERAGE(B32,C32,D32,E32,F32,G32,H32,I32,J32,K32,L32,M32)</f>
        <v>13.241666666666665</v>
      </c>
    </row>
    <row r="33" spans="1:14" ht="18" customHeight="1">
      <c r="A33" s="69" t="s">
        <v>350</v>
      </c>
      <c r="B33" s="70">
        <v>7.2</v>
      </c>
      <c r="C33" s="70">
        <v>8</v>
      </c>
      <c r="D33" s="70">
        <v>9.5</v>
      </c>
      <c r="E33" s="70">
        <v>10.8</v>
      </c>
      <c r="F33" s="70">
        <v>9.8000000000000007</v>
      </c>
      <c r="G33" s="70">
        <v>8.5</v>
      </c>
      <c r="H33" s="70">
        <v>7.5</v>
      </c>
      <c r="I33" s="70">
        <v>7.8</v>
      </c>
      <c r="J33" s="70">
        <v>8.8000000000000007</v>
      </c>
      <c r="K33" s="70">
        <v>10.199999999999999</v>
      </c>
      <c r="L33" s="70">
        <v>9</v>
      </c>
      <c r="M33" s="70">
        <v>7.5</v>
      </c>
      <c r="N33" s="71">
        <f t="shared" si="24"/>
        <v>8.7166666666666668</v>
      </c>
    </row>
    <row r="34" spans="1:14" ht="16.5" customHeight="1">
      <c r="A34" s="65">
        <v>0</v>
      </c>
      <c r="B34" s="70">
        <f t="shared" ref="B34:M34" si="25">B32+(B33/2)*-0.866025</f>
        <v>-4.9176900000000003</v>
      </c>
      <c r="C34" s="70">
        <f t="shared" si="25"/>
        <v>-2.6641000000000004</v>
      </c>
      <c r="D34" s="70">
        <f t="shared" si="25"/>
        <v>2.3863812499999995</v>
      </c>
      <c r="E34" s="70">
        <f t="shared" si="25"/>
        <v>8.5234649999999981</v>
      </c>
      <c r="F34" s="70">
        <f t="shared" si="25"/>
        <v>14.256477499999999</v>
      </c>
      <c r="G34" s="70">
        <f t="shared" si="25"/>
        <v>19.31939375</v>
      </c>
      <c r="H34" s="70">
        <f t="shared" si="25"/>
        <v>23.152406249999999</v>
      </c>
      <c r="I34" s="70">
        <f t="shared" si="25"/>
        <v>23.722502500000001</v>
      </c>
      <c r="J34" s="70">
        <f t="shared" si="25"/>
        <v>18.189489999999999</v>
      </c>
      <c r="K34" s="70">
        <f t="shared" si="25"/>
        <v>10.783272499999999</v>
      </c>
      <c r="L34" s="70">
        <f t="shared" si="25"/>
        <v>3.6028874999999996</v>
      </c>
      <c r="M34" s="70">
        <f t="shared" si="25"/>
        <v>-2.7475937500000001</v>
      </c>
      <c r="N34" s="66">
        <f t="shared" si="24"/>
        <v>9.4672410416666661</v>
      </c>
    </row>
    <row r="35" spans="1:14" ht="16.5" customHeight="1">
      <c r="A35" s="65">
        <v>1</v>
      </c>
      <c r="B35" s="70">
        <f t="shared" ref="B35:M35" si="26">B32+(B33/2)*-0.965926</f>
        <v>-5.2773335999999995</v>
      </c>
      <c r="C35" s="70">
        <f t="shared" si="26"/>
        <v>-3.0637039999999995</v>
      </c>
      <c r="D35" s="70">
        <f t="shared" si="26"/>
        <v>1.9118515</v>
      </c>
      <c r="E35" s="70">
        <f t="shared" si="26"/>
        <v>7.9839995999999989</v>
      </c>
      <c r="F35" s="70">
        <f t="shared" si="26"/>
        <v>13.766962599999999</v>
      </c>
      <c r="G35" s="70">
        <f t="shared" si="26"/>
        <v>18.894814499999999</v>
      </c>
      <c r="H35" s="70">
        <f t="shared" si="26"/>
        <v>22.777777499999999</v>
      </c>
      <c r="I35" s="70">
        <f t="shared" si="26"/>
        <v>23.3328886</v>
      </c>
      <c r="J35" s="70">
        <f t="shared" si="26"/>
        <v>17.749925600000001</v>
      </c>
      <c r="K35" s="70">
        <f t="shared" si="26"/>
        <v>10.2737774</v>
      </c>
      <c r="L35" s="70">
        <f t="shared" si="26"/>
        <v>3.1533329999999999</v>
      </c>
      <c r="M35" s="70">
        <f t="shared" si="26"/>
        <v>-3.1222224999999999</v>
      </c>
      <c r="N35" s="66">
        <f t="shared" si="24"/>
        <v>9.0318391833333322</v>
      </c>
    </row>
    <row r="36" spans="1:14" ht="16.5" customHeight="1">
      <c r="A36" s="65">
        <v>2</v>
      </c>
      <c r="B36" s="70">
        <f t="shared" ref="B36:M36" si="27">B32+(B33/2)*-1</f>
        <v>-5.4</v>
      </c>
      <c r="C36" s="70">
        <f t="shared" si="27"/>
        <v>-3.2</v>
      </c>
      <c r="D36" s="70">
        <f t="shared" si="27"/>
        <v>1.75</v>
      </c>
      <c r="E36" s="70">
        <f t="shared" si="27"/>
        <v>7.7999999999999989</v>
      </c>
      <c r="F36" s="70">
        <f t="shared" si="27"/>
        <v>13.6</v>
      </c>
      <c r="G36" s="70">
        <f t="shared" si="27"/>
        <v>18.75</v>
      </c>
      <c r="H36" s="70">
        <f t="shared" si="27"/>
        <v>22.65</v>
      </c>
      <c r="I36" s="70">
        <f t="shared" si="27"/>
        <v>23.200000000000003</v>
      </c>
      <c r="J36" s="70">
        <f t="shared" si="27"/>
        <v>17.600000000000001</v>
      </c>
      <c r="K36" s="70">
        <f t="shared" si="27"/>
        <v>10.1</v>
      </c>
      <c r="L36" s="70">
        <f t="shared" si="27"/>
        <v>3</v>
      </c>
      <c r="M36" s="70">
        <f t="shared" si="27"/>
        <v>-3.25</v>
      </c>
      <c r="N36" s="66">
        <f t="shared" si="24"/>
        <v>8.8833333333333329</v>
      </c>
    </row>
    <row r="37" spans="1:14" ht="16.5" customHeight="1">
      <c r="A37" s="65">
        <v>3</v>
      </c>
      <c r="B37" s="70">
        <f t="shared" ref="B37:M37" si="28">B32+(B33/2)*-0.965926</f>
        <v>-5.2773335999999995</v>
      </c>
      <c r="C37" s="70">
        <f t="shared" si="28"/>
        <v>-3.0637039999999995</v>
      </c>
      <c r="D37" s="70">
        <f t="shared" si="28"/>
        <v>1.9118515</v>
      </c>
      <c r="E37" s="70">
        <f t="shared" si="28"/>
        <v>7.9839995999999989</v>
      </c>
      <c r="F37" s="70">
        <f t="shared" si="28"/>
        <v>13.766962599999999</v>
      </c>
      <c r="G37" s="70">
        <f t="shared" si="28"/>
        <v>18.894814499999999</v>
      </c>
      <c r="H37" s="70">
        <f t="shared" si="28"/>
        <v>22.777777499999999</v>
      </c>
      <c r="I37" s="70">
        <f t="shared" si="28"/>
        <v>23.3328886</v>
      </c>
      <c r="J37" s="70">
        <f t="shared" si="28"/>
        <v>17.749925600000001</v>
      </c>
      <c r="K37" s="70">
        <f t="shared" si="28"/>
        <v>10.2737774</v>
      </c>
      <c r="L37" s="70">
        <f t="shared" si="28"/>
        <v>3.1533329999999999</v>
      </c>
      <c r="M37" s="70">
        <f t="shared" si="28"/>
        <v>-3.1222224999999999</v>
      </c>
      <c r="N37" s="66">
        <f t="shared" si="24"/>
        <v>9.0318391833333322</v>
      </c>
    </row>
    <row r="38" spans="1:14" ht="16.5" customHeight="1">
      <c r="A38" s="65">
        <v>4</v>
      </c>
      <c r="B38" s="70">
        <f t="shared" ref="B38:M38" si="29">B32+(B33/2)*-0.866025</f>
        <v>-4.9176900000000003</v>
      </c>
      <c r="C38" s="70">
        <f t="shared" si="29"/>
        <v>-2.6641000000000004</v>
      </c>
      <c r="D38" s="70">
        <f t="shared" si="29"/>
        <v>2.3863812499999995</v>
      </c>
      <c r="E38" s="70">
        <f t="shared" si="29"/>
        <v>8.5234649999999981</v>
      </c>
      <c r="F38" s="70">
        <f t="shared" si="29"/>
        <v>14.256477499999999</v>
      </c>
      <c r="G38" s="70">
        <f t="shared" si="29"/>
        <v>19.31939375</v>
      </c>
      <c r="H38" s="70">
        <f t="shared" si="29"/>
        <v>23.152406249999999</v>
      </c>
      <c r="I38" s="70">
        <f t="shared" si="29"/>
        <v>23.722502500000001</v>
      </c>
      <c r="J38" s="70">
        <f t="shared" si="29"/>
        <v>18.189489999999999</v>
      </c>
      <c r="K38" s="70">
        <f t="shared" si="29"/>
        <v>10.783272499999999</v>
      </c>
      <c r="L38" s="70">
        <f t="shared" si="29"/>
        <v>3.6028874999999996</v>
      </c>
      <c r="M38" s="70">
        <f t="shared" si="29"/>
        <v>-2.7475937500000001</v>
      </c>
      <c r="N38" s="66">
        <f t="shared" si="24"/>
        <v>9.4672410416666661</v>
      </c>
    </row>
    <row r="39" spans="1:14" ht="16.5" customHeight="1">
      <c r="A39" s="65">
        <v>5</v>
      </c>
      <c r="B39" s="70">
        <f t="shared" ref="B39:M39" si="30">B32+(B33/2)*-0.707107</f>
        <v>-4.3455852000000004</v>
      </c>
      <c r="C39" s="70">
        <f t="shared" si="30"/>
        <v>-2.0284279999999999</v>
      </c>
      <c r="D39" s="70">
        <f t="shared" si="30"/>
        <v>3.1412417499999998</v>
      </c>
      <c r="E39" s="70">
        <f t="shared" si="30"/>
        <v>9.3816221999999989</v>
      </c>
      <c r="F39" s="70">
        <f t="shared" si="30"/>
        <v>15.0351757</v>
      </c>
      <c r="G39" s="70">
        <f t="shared" si="30"/>
        <v>19.994795249999999</v>
      </c>
      <c r="H39" s="70">
        <f t="shared" si="30"/>
        <v>23.748348749999998</v>
      </c>
      <c r="I39" s="70">
        <f t="shared" si="30"/>
        <v>24.342282700000002</v>
      </c>
      <c r="J39" s="70">
        <f t="shared" si="30"/>
        <v>18.8887292</v>
      </c>
      <c r="K39" s="70">
        <f t="shared" si="30"/>
        <v>11.593754299999999</v>
      </c>
      <c r="L39" s="70">
        <f t="shared" si="30"/>
        <v>4.3180185</v>
      </c>
      <c r="M39" s="70">
        <f t="shared" si="30"/>
        <v>-2.15165125</v>
      </c>
      <c r="N39" s="66">
        <f t="shared" si="24"/>
        <v>10.159858658333333</v>
      </c>
    </row>
    <row r="40" spans="1:14" ht="16.5" customHeight="1">
      <c r="A40" s="65">
        <v>6</v>
      </c>
      <c r="B40" s="70">
        <f t="shared" ref="B40:M40" si="31">B32+(B33/2)*-0.5</f>
        <v>-3.6</v>
      </c>
      <c r="C40" s="70">
        <f t="shared" si="31"/>
        <v>-1.2</v>
      </c>
      <c r="D40" s="70">
        <f t="shared" si="31"/>
        <v>4.125</v>
      </c>
      <c r="E40" s="70">
        <f t="shared" si="31"/>
        <v>10.5</v>
      </c>
      <c r="F40" s="70">
        <f t="shared" si="31"/>
        <v>16.05</v>
      </c>
      <c r="G40" s="70">
        <f t="shared" si="31"/>
        <v>20.875</v>
      </c>
      <c r="H40" s="70">
        <f t="shared" si="31"/>
        <v>24.524999999999999</v>
      </c>
      <c r="I40" s="70">
        <f t="shared" si="31"/>
        <v>25.150000000000002</v>
      </c>
      <c r="J40" s="70">
        <f t="shared" si="31"/>
        <v>19.8</v>
      </c>
      <c r="K40" s="70">
        <f t="shared" si="31"/>
        <v>12.649999999999999</v>
      </c>
      <c r="L40" s="70">
        <f t="shared" si="31"/>
        <v>5.25</v>
      </c>
      <c r="M40" s="70">
        <f t="shared" si="31"/>
        <v>-1.375</v>
      </c>
      <c r="N40" s="66">
        <f t="shared" si="24"/>
        <v>11.0625</v>
      </c>
    </row>
    <row r="41" spans="1:14" ht="16.5" customHeight="1">
      <c r="A41" s="65">
        <v>7</v>
      </c>
      <c r="B41" s="70">
        <f t="shared" ref="B41:M41" si="32">B32+(B33/2)*-0.258819</f>
        <v>-2.7317484000000003</v>
      </c>
      <c r="C41" s="70">
        <f t="shared" si="32"/>
        <v>-0.23527600000000004</v>
      </c>
      <c r="D41" s="70">
        <f t="shared" si="32"/>
        <v>5.2706097500000002</v>
      </c>
      <c r="E41" s="70">
        <f t="shared" si="32"/>
        <v>11.802377399999999</v>
      </c>
      <c r="F41" s="70">
        <f t="shared" si="32"/>
        <v>17.231786899999999</v>
      </c>
      <c r="G41" s="70">
        <f t="shared" si="32"/>
        <v>21.90001925</v>
      </c>
      <c r="H41" s="70">
        <f t="shared" si="32"/>
        <v>25.42942875</v>
      </c>
      <c r="I41" s="70">
        <f t="shared" si="32"/>
        <v>26.0906059</v>
      </c>
      <c r="J41" s="70">
        <f t="shared" si="32"/>
        <v>20.861196400000001</v>
      </c>
      <c r="K41" s="70">
        <f t="shared" si="32"/>
        <v>13.880023099999999</v>
      </c>
      <c r="L41" s="70">
        <f t="shared" si="32"/>
        <v>6.3353145</v>
      </c>
      <c r="M41" s="70">
        <f t="shared" si="32"/>
        <v>-0.47057125000000011</v>
      </c>
      <c r="N41" s="66">
        <f t="shared" si="24"/>
        <v>12.113647191666665</v>
      </c>
    </row>
    <row r="42" spans="1:14" ht="16.5" customHeight="1">
      <c r="A42" s="65">
        <v>8</v>
      </c>
      <c r="B42" s="70">
        <f t="shared" ref="B42:M42" si="33">B32+(B33/2)*0</f>
        <v>-1.8</v>
      </c>
      <c r="C42" s="70">
        <f t="shared" si="33"/>
        <v>0.8</v>
      </c>
      <c r="D42" s="70">
        <f t="shared" si="33"/>
        <v>6.5</v>
      </c>
      <c r="E42" s="70">
        <f t="shared" si="33"/>
        <v>13.2</v>
      </c>
      <c r="F42" s="70">
        <f t="shared" si="33"/>
        <v>18.5</v>
      </c>
      <c r="G42" s="70">
        <f t="shared" si="33"/>
        <v>23</v>
      </c>
      <c r="H42" s="70">
        <f t="shared" si="33"/>
        <v>26.4</v>
      </c>
      <c r="I42" s="70">
        <f t="shared" si="33"/>
        <v>27.1</v>
      </c>
      <c r="J42" s="70">
        <f t="shared" si="33"/>
        <v>22</v>
      </c>
      <c r="K42" s="70">
        <f t="shared" si="33"/>
        <v>15.2</v>
      </c>
      <c r="L42" s="70">
        <f t="shared" si="33"/>
        <v>7.5</v>
      </c>
      <c r="M42" s="70">
        <f t="shared" si="33"/>
        <v>0.5</v>
      </c>
      <c r="N42" s="66">
        <f t="shared" si="24"/>
        <v>13.241666666666665</v>
      </c>
    </row>
    <row r="43" spans="1:14" ht="16.5" customHeight="1">
      <c r="A43" s="65">
        <v>9</v>
      </c>
      <c r="B43" s="70">
        <f t="shared" ref="B43:M43" si="34">B32+(B33/2)*0.258819</f>
        <v>-0.8682515999999999</v>
      </c>
      <c r="C43" s="70">
        <f t="shared" si="34"/>
        <v>1.8352760000000001</v>
      </c>
      <c r="D43" s="70">
        <f t="shared" si="34"/>
        <v>7.7293902499999998</v>
      </c>
      <c r="E43" s="70">
        <f t="shared" si="34"/>
        <v>14.597622599999999</v>
      </c>
      <c r="F43" s="70">
        <f t="shared" si="34"/>
        <v>19.768213100000001</v>
      </c>
      <c r="G43" s="70">
        <f t="shared" si="34"/>
        <v>24.09998075</v>
      </c>
      <c r="H43" s="70">
        <f t="shared" si="34"/>
        <v>27.370571249999998</v>
      </c>
      <c r="I43" s="70">
        <f t="shared" si="34"/>
        <v>28.109394100000003</v>
      </c>
      <c r="J43" s="70">
        <f t="shared" si="34"/>
        <v>23.138803599999999</v>
      </c>
      <c r="K43" s="70">
        <f t="shared" si="34"/>
        <v>16.5199769</v>
      </c>
      <c r="L43" s="70">
        <f t="shared" si="34"/>
        <v>8.6646855000000009</v>
      </c>
      <c r="M43" s="70">
        <f t="shared" si="34"/>
        <v>1.4705712500000001</v>
      </c>
      <c r="N43" s="66">
        <f t="shared" si="24"/>
        <v>14.369686141666664</v>
      </c>
    </row>
    <row r="44" spans="1:14" ht="16.5" customHeight="1">
      <c r="A44" s="65">
        <v>10</v>
      </c>
      <c r="B44" s="70">
        <f t="shared" ref="B44:M44" si="35">B32+(B33/2)*0.5</f>
        <v>0</v>
      </c>
      <c r="C44" s="70">
        <f t="shared" si="35"/>
        <v>2.8</v>
      </c>
      <c r="D44" s="70">
        <f t="shared" si="35"/>
        <v>8.875</v>
      </c>
      <c r="E44" s="70">
        <f t="shared" si="35"/>
        <v>15.899999999999999</v>
      </c>
      <c r="F44" s="70">
        <f t="shared" si="35"/>
        <v>20.95</v>
      </c>
      <c r="G44" s="70">
        <f t="shared" si="35"/>
        <v>25.125</v>
      </c>
      <c r="H44" s="70">
        <f t="shared" si="35"/>
        <v>28.274999999999999</v>
      </c>
      <c r="I44" s="70">
        <f t="shared" si="35"/>
        <v>29.05</v>
      </c>
      <c r="J44" s="70">
        <f t="shared" si="35"/>
        <v>24.2</v>
      </c>
      <c r="K44" s="70">
        <f t="shared" si="35"/>
        <v>17.75</v>
      </c>
      <c r="L44" s="70">
        <f t="shared" si="35"/>
        <v>9.75</v>
      </c>
      <c r="M44" s="70">
        <f t="shared" si="35"/>
        <v>2.375</v>
      </c>
      <c r="N44" s="66">
        <f t="shared" si="24"/>
        <v>15.420833333333334</v>
      </c>
    </row>
    <row r="45" spans="1:14" ht="16.5" customHeight="1">
      <c r="A45" s="65">
        <v>11</v>
      </c>
      <c r="B45" s="70">
        <f t="shared" ref="B45:M45" si="36">B32+(B33/2)*0.707107</f>
        <v>0.74558520000000006</v>
      </c>
      <c r="C45" s="70">
        <f t="shared" si="36"/>
        <v>3.6284280000000004</v>
      </c>
      <c r="D45" s="70">
        <f t="shared" si="36"/>
        <v>9.8587582500000011</v>
      </c>
      <c r="E45" s="70">
        <f t="shared" si="36"/>
        <v>17.0183778</v>
      </c>
      <c r="F45" s="70">
        <f t="shared" si="36"/>
        <v>21.9648243</v>
      </c>
      <c r="G45" s="70">
        <f t="shared" si="36"/>
        <v>26.005204750000001</v>
      </c>
      <c r="H45" s="70">
        <f t="shared" si="36"/>
        <v>29.051651249999999</v>
      </c>
      <c r="I45" s="70">
        <f t="shared" si="36"/>
        <v>29.857717300000001</v>
      </c>
      <c r="J45" s="70">
        <f t="shared" si="36"/>
        <v>25.1112708</v>
      </c>
      <c r="K45" s="70">
        <f t="shared" si="36"/>
        <v>18.806245699999998</v>
      </c>
      <c r="L45" s="70">
        <f t="shared" si="36"/>
        <v>10.681981499999999</v>
      </c>
      <c r="M45" s="70">
        <f t="shared" si="36"/>
        <v>3.15165125</v>
      </c>
      <c r="N45" s="66">
        <f t="shared" si="24"/>
        <v>16.323474675</v>
      </c>
    </row>
    <row r="46" spans="1:14" ht="16.5" customHeight="1">
      <c r="A46" s="65">
        <v>12</v>
      </c>
      <c r="B46" s="70">
        <f t="shared" ref="B46:M46" si="37">B32+(B33/2)*0.866025</f>
        <v>1.31769</v>
      </c>
      <c r="C46" s="70">
        <f t="shared" si="37"/>
        <v>4.2641</v>
      </c>
      <c r="D46" s="70">
        <f t="shared" si="37"/>
        <v>10.613618750000001</v>
      </c>
      <c r="E46" s="70">
        <f t="shared" si="37"/>
        <v>17.876535000000001</v>
      </c>
      <c r="F46" s="70">
        <f t="shared" si="37"/>
        <v>22.743522500000001</v>
      </c>
      <c r="G46" s="70">
        <f t="shared" si="37"/>
        <v>26.68060625</v>
      </c>
      <c r="H46" s="70">
        <f t="shared" si="37"/>
        <v>29.647593749999999</v>
      </c>
      <c r="I46" s="70">
        <f t="shared" si="37"/>
        <v>30.477497500000002</v>
      </c>
      <c r="J46" s="70">
        <f t="shared" si="37"/>
        <v>25.810510000000001</v>
      </c>
      <c r="K46" s="70">
        <f t="shared" si="37"/>
        <v>19.6167275</v>
      </c>
      <c r="L46" s="70">
        <f t="shared" si="37"/>
        <v>11.3971125</v>
      </c>
      <c r="M46" s="70">
        <f t="shared" si="37"/>
        <v>3.7475937500000001</v>
      </c>
      <c r="N46" s="66">
        <f t="shared" si="24"/>
        <v>17.016092291666663</v>
      </c>
    </row>
    <row r="47" spans="1:14" ht="16.5" customHeight="1">
      <c r="A47" s="65">
        <v>13</v>
      </c>
      <c r="B47" s="70">
        <f t="shared" ref="B47:M47" si="38">B32+(B33/2)*0.965926</f>
        <v>1.6773335999999996</v>
      </c>
      <c r="C47" s="70">
        <f t="shared" si="38"/>
        <v>4.6637040000000001</v>
      </c>
      <c r="D47" s="70">
        <f t="shared" si="38"/>
        <v>11.088148499999999</v>
      </c>
      <c r="E47" s="70">
        <f t="shared" si="38"/>
        <v>18.416000400000001</v>
      </c>
      <c r="F47" s="70">
        <f t="shared" si="38"/>
        <v>23.233037400000001</v>
      </c>
      <c r="G47" s="70">
        <f t="shared" si="38"/>
        <v>27.105185500000001</v>
      </c>
      <c r="H47" s="70">
        <f t="shared" si="38"/>
        <v>30.022222499999998</v>
      </c>
      <c r="I47" s="70">
        <f t="shared" si="38"/>
        <v>30.867111400000002</v>
      </c>
      <c r="J47" s="70">
        <f t="shared" si="38"/>
        <v>26.250074399999999</v>
      </c>
      <c r="K47" s="70">
        <f t="shared" si="38"/>
        <v>20.126222599999998</v>
      </c>
      <c r="L47" s="70">
        <f t="shared" si="38"/>
        <v>11.846667</v>
      </c>
      <c r="M47" s="70">
        <f t="shared" si="38"/>
        <v>4.1222224999999995</v>
      </c>
      <c r="N47" s="66">
        <f t="shared" si="24"/>
        <v>17.451494149999998</v>
      </c>
    </row>
    <row r="48" spans="1:14" ht="16.5" customHeight="1">
      <c r="A48" s="65">
        <v>14</v>
      </c>
      <c r="B48" s="70">
        <f t="shared" ref="B48:M48" si="39">B32+(B33/2)*1</f>
        <v>1.8</v>
      </c>
      <c r="C48" s="70">
        <f t="shared" si="39"/>
        <v>4.8</v>
      </c>
      <c r="D48" s="70">
        <f t="shared" si="39"/>
        <v>11.25</v>
      </c>
      <c r="E48" s="70">
        <f t="shared" si="39"/>
        <v>18.600000000000001</v>
      </c>
      <c r="F48" s="70">
        <f t="shared" si="39"/>
        <v>23.4</v>
      </c>
      <c r="G48" s="70">
        <f t="shared" si="39"/>
        <v>27.25</v>
      </c>
      <c r="H48" s="70">
        <f t="shared" si="39"/>
        <v>30.15</v>
      </c>
      <c r="I48" s="70">
        <f t="shared" si="39"/>
        <v>31</v>
      </c>
      <c r="J48" s="70">
        <f t="shared" si="39"/>
        <v>26.4</v>
      </c>
      <c r="K48" s="70">
        <f t="shared" si="39"/>
        <v>20.299999999999997</v>
      </c>
      <c r="L48" s="70">
        <f t="shared" si="39"/>
        <v>12</v>
      </c>
      <c r="M48" s="70">
        <f t="shared" si="39"/>
        <v>4.25</v>
      </c>
      <c r="N48" s="66">
        <f t="shared" si="24"/>
        <v>17.599999999999998</v>
      </c>
    </row>
    <row r="49" spans="1:14" ht="16.5" customHeight="1">
      <c r="A49" s="65">
        <v>15</v>
      </c>
      <c r="B49" s="70">
        <f t="shared" ref="B49:M49" si="40">B32+(B33/2)*0.965926</f>
        <v>1.6773335999999996</v>
      </c>
      <c r="C49" s="70">
        <f t="shared" si="40"/>
        <v>4.6637040000000001</v>
      </c>
      <c r="D49" s="70">
        <f t="shared" si="40"/>
        <v>11.088148499999999</v>
      </c>
      <c r="E49" s="70">
        <f t="shared" si="40"/>
        <v>18.416000400000001</v>
      </c>
      <c r="F49" s="70">
        <f t="shared" si="40"/>
        <v>23.233037400000001</v>
      </c>
      <c r="G49" s="70">
        <f t="shared" si="40"/>
        <v>27.105185500000001</v>
      </c>
      <c r="H49" s="70">
        <f t="shared" si="40"/>
        <v>30.022222499999998</v>
      </c>
      <c r="I49" s="70">
        <f t="shared" si="40"/>
        <v>30.867111400000002</v>
      </c>
      <c r="J49" s="70">
        <f t="shared" si="40"/>
        <v>26.250074399999999</v>
      </c>
      <c r="K49" s="70">
        <f t="shared" si="40"/>
        <v>20.126222599999998</v>
      </c>
      <c r="L49" s="70">
        <f t="shared" si="40"/>
        <v>11.846667</v>
      </c>
      <c r="M49" s="70">
        <f t="shared" si="40"/>
        <v>4.1222224999999995</v>
      </c>
      <c r="N49" s="66">
        <f t="shared" si="24"/>
        <v>17.451494149999998</v>
      </c>
    </row>
    <row r="50" spans="1:14" ht="16.5" customHeight="1">
      <c r="A50" s="65">
        <v>16</v>
      </c>
      <c r="B50" s="70">
        <f t="shared" ref="B50:M50" si="41">B32+(B33/2)*0.866025</f>
        <v>1.31769</v>
      </c>
      <c r="C50" s="70">
        <f t="shared" si="41"/>
        <v>4.2641</v>
      </c>
      <c r="D50" s="70">
        <f t="shared" si="41"/>
        <v>10.613618750000001</v>
      </c>
      <c r="E50" s="70">
        <f t="shared" si="41"/>
        <v>17.876535000000001</v>
      </c>
      <c r="F50" s="70">
        <f t="shared" si="41"/>
        <v>22.743522500000001</v>
      </c>
      <c r="G50" s="70">
        <f t="shared" si="41"/>
        <v>26.68060625</v>
      </c>
      <c r="H50" s="70">
        <f t="shared" si="41"/>
        <v>29.647593749999999</v>
      </c>
      <c r="I50" s="70">
        <f t="shared" si="41"/>
        <v>30.477497500000002</v>
      </c>
      <c r="J50" s="70">
        <f t="shared" si="41"/>
        <v>25.810510000000001</v>
      </c>
      <c r="K50" s="70">
        <f t="shared" si="41"/>
        <v>19.6167275</v>
      </c>
      <c r="L50" s="70">
        <f t="shared" si="41"/>
        <v>11.3971125</v>
      </c>
      <c r="M50" s="70">
        <f t="shared" si="41"/>
        <v>3.7475937500000001</v>
      </c>
      <c r="N50" s="66">
        <f t="shared" si="24"/>
        <v>17.016092291666663</v>
      </c>
    </row>
    <row r="51" spans="1:14" ht="16.5" customHeight="1">
      <c r="A51" s="65">
        <v>17</v>
      </c>
      <c r="B51" s="70">
        <f t="shared" ref="B51:M51" si="42">B32+(B33/2)*0.707107</f>
        <v>0.74558520000000006</v>
      </c>
      <c r="C51" s="70">
        <f t="shared" si="42"/>
        <v>3.6284280000000004</v>
      </c>
      <c r="D51" s="70">
        <f t="shared" si="42"/>
        <v>9.8587582500000011</v>
      </c>
      <c r="E51" s="70">
        <f t="shared" si="42"/>
        <v>17.0183778</v>
      </c>
      <c r="F51" s="70">
        <f t="shared" si="42"/>
        <v>21.9648243</v>
      </c>
      <c r="G51" s="70">
        <f t="shared" si="42"/>
        <v>26.005204750000001</v>
      </c>
      <c r="H51" s="70">
        <f t="shared" si="42"/>
        <v>29.051651249999999</v>
      </c>
      <c r="I51" s="70">
        <f t="shared" si="42"/>
        <v>29.857717300000001</v>
      </c>
      <c r="J51" s="70">
        <f t="shared" si="42"/>
        <v>25.1112708</v>
      </c>
      <c r="K51" s="70">
        <f t="shared" si="42"/>
        <v>18.806245699999998</v>
      </c>
      <c r="L51" s="70">
        <f t="shared" si="42"/>
        <v>10.681981499999999</v>
      </c>
      <c r="M51" s="70">
        <f t="shared" si="42"/>
        <v>3.15165125</v>
      </c>
      <c r="N51" s="66">
        <f t="shared" si="24"/>
        <v>16.323474675</v>
      </c>
    </row>
    <row r="52" spans="1:14" ht="16.5" customHeight="1">
      <c r="A52" s="65">
        <v>18</v>
      </c>
      <c r="B52" s="70">
        <f t="shared" ref="B52:M52" si="43">B32+(B33/2)*0.5</f>
        <v>0</v>
      </c>
      <c r="C52" s="70">
        <f t="shared" si="43"/>
        <v>2.8</v>
      </c>
      <c r="D52" s="70">
        <f t="shared" si="43"/>
        <v>8.875</v>
      </c>
      <c r="E52" s="70">
        <f t="shared" si="43"/>
        <v>15.899999999999999</v>
      </c>
      <c r="F52" s="70">
        <f t="shared" si="43"/>
        <v>20.95</v>
      </c>
      <c r="G52" s="70">
        <f t="shared" si="43"/>
        <v>25.125</v>
      </c>
      <c r="H52" s="70">
        <f t="shared" si="43"/>
        <v>28.274999999999999</v>
      </c>
      <c r="I52" s="70">
        <f t="shared" si="43"/>
        <v>29.05</v>
      </c>
      <c r="J52" s="70">
        <f t="shared" si="43"/>
        <v>24.2</v>
      </c>
      <c r="K52" s="70">
        <f t="shared" si="43"/>
        <v>17.75</v>
      </c>
      <c r="L52" s="70">
        <f t="shared" si="43"/>
        <v>9.75</v>
      </c>
      <c r="M52" s="70">
        <f t="shared" si="43"/>
        <v>2.375</v>
      </c>
      <c r="N52" s="66">
        <f t="shared" si="24"/>
        <v>15.420833333333334</v>
      </c>
    </row>
    <row r="53" spans="1:14" ht="16.5" customHeight="1">
      <c r="A53" s="65">
        <v>19</v>
      </c>
      <c r="B53" s="70">
        <f t="shared" ref="B53:M53" si="44">B32+(B33/2)*0.258819</f>
        <v>-0.8682515999999999</v>
      </c>
      <c r="C53" s="70">
        <f t="shared" si="44"/>
        <v>1.8352760000000001</v>
      </c>
      <c r="D53" s="70">
        <f t="shared" si="44"/>
        <v>7.7293902499999998</v>
      </c>
      <c r="E53" s="70">
        <f t="shared" si="44"/>
        <v>14.597622599999999</v>
      </c>
      <c r="F53" s="70">
        <f t="shared" si="44"/>
        <v>19.768213100000001</v>
      </c>
      <c r="G53" s="70">
        <f t="shared" si="44"/>
        <v>24.09998075</v>
      </c>
      <c r="H53" s="70">
        <f t="shared" si="44"/>
        <v>27.370571249999998</v>
      </c>
      <c r="I53" s="70">
        <f t="shared" si="44"/>
        <v>28.109394100000003</v>
      </c>
      <c r="J53" s="70">
        <f t="shared" si="44"/>
        <v>23.138803599999999</v>
      </c>
      <c r="K53" s="70">
        <f t="shared" si="44"/>
        <v>16.5199769</v>
      </c>
      <c r="L53" s="70">
        <f t="shared" si="44"/>
        <v>8.6646855000000009</v>
      </c>
      <c r="M53" s="70">
        <f t="shared" si="44"/>
        <v>1.4705712500000001</v>
      </c>
      <c r="N53" s="66">
        <f t="shared" si="24"/>
        <v>14.369686141666664</v>
      </c>
    </row>
    <row r="54" spans="1:14" ht="16.5" customHeight="1">
      <c r="A54" s="65">
        <v>20</v>
      </c>
      <c r="B54" s="70">
        <f t="shared" ref="B54:M54" si="45">B32+(B33/2)*0</f>
        <v>-1.8</v>
      </c>
      <c r="C54" s="70">
        <f t="shared" si="45"/>
        <v>0.8</v>
      </c>
      <c r="D54" s="70">
        <f t="shared" si="45"/>
        <v>6.5</v>
      </c>
      <c r="E54" s="70">
        <f t="shared" si="45"/>
        <v>13.2</v>
      </c>
      <c r="F54" s="70">
        <f t="shared" si="45"/>
        <v>18.5</v>
      </c>
      <c r="G54" s="70">
        <f t="shared" si="45"/>
        <v>23</v>
      </c>
      <c r="H54" s="70">
        <f t="shared" si="45"/>
        <v>26.4</v>
      </c>
      <c r="I54" s="70">
        <f t="shared" si="45"/>
        <v>27.1</v>
      </c>
      <c r="J54" s="70">
        <f t="shared" si="45"/>
        <v>22</v>
      </c>
      <c r="K54" s="70">
        <f t="shared" si="45"/>
        <v>15.2</v>
      </c>
      <c r="L54" s="70">
        <f t="shared" si="45"/>
        <v>7.5</v>
      </c>
      <c r="M54" s="70">
        <f t="shared" si="45"/>
        <v>0.5</v>
      </c>
      <c r="N54" s="66">
        <f t="shared" si="24"/>
        <v>13.241666666666665</v>
      </c>
    </row>
    <row r="55" spans="1:14" ht="16.5" customHeight="1">
      <c r="A55" s="65">
        <v>21</v>
      </c>
      <c r="B55" s="70">
        <f t="shared" ref="B55:M55" si="46">B32+(B33/2)*-0.258819</f>
        <v>-2.7317484000000003</v>
      </c>
      <c r="C55" s="70">
        <f t="shared" si="46"/>
        <v>-0.23527600000000004</v>
      </c>
      <c r="D55" s="70">
        <f t="shared" si="46"/>
        <v>5.2706097500000002</v>
      </c>
      <c r="E55" s="70">
        <f t="shared" si="46"/>
        <v>11.802377399999999</v>
      </c>
      <c r="F55" s="70">
        <f t="shared" si="46"/>
        <v>17.231786899999999</v>
      </c>
      <c r="G55" s="70">
        <f t="shared" si="46"/>
        <v>21.90001925</v>
      </c>
      <c r="H55" s="70">
        <f t="shared" si="46"/>
        <v>25.42942875</v>
      </c>
      <c r="I55" s="70">
        <f t="shared" si="46"/>
        <v>26.0906059</v>
      </c>
      <c r="J55" s="70">
        <f t="shared" si="46"/>
        <v>20.861196400000001</v>
      </c>
      <c r="K55" s="70">
        <f t="shared" si="46"/>
        <v>13.880023099999999</v>
      </c>
      <c r="L55" s="70">
        <f t="shared" si="46"/>
        <v>6.3353145</v>
      </c>
      <c r="M55" s="70">
        <f t="shared" si="46"/>
        <v>-0.47057125000000011</v>
      </c>
      <c r="N55" s="66">
        <f t="shared" si="24"/>
        <v>12.113647191666665</v>
      </c>
    </row>
    <row r="56" spans="1:14" ht="16.5" customHeight="1">
      <c r="A56" s="65">
        <v>22</v>
      </c>
      <c r="B56" s="70">
        <f t="shared" ref="B56:M56" si="47">B32+(B33/2)*-0.5</f>
        <v>-3.6</v>
      </c>
      <c r="C56" s="70">
        <f t="shared" si="47"/>
        <v>-1.2</v>
      </c>
      <c r="D56" s="70">
        <f t="shared" si="47"/>
        <v>4.125</v>
      </c>
      <c r="E56" s="70">
        <f t="shared" si="47"/>
        <v>10.5</v>
      </c>
      <c r="F56" s="70">
        <f t="shared" si="47"/>
        <v>16.05</v>
      </c>
      <c r="G56" s="70">
        <f t="shared" si="47"/>
        <v>20.875</v>
      </c>
      <c r="H56" s="70">
        <f t="shared" si="47"/>
        <v>24.524999999999999</v>
      </c>
      <c r="I56" s="70">
        <f t="shared" si="47"/>
        <v>25.150000000000002</v>
      </c>
      <c r="J56" s="70">
        <f t="shared" si="47"/>
        <v>19.8</v>
      </c>
      <c r="K56" s="70">
        <f t="shared" si="47"/>
        <v>12.649999999999999</v>
      </c>
      <c r="L56" s="70">
        <f t="shared" si="47"/>
        <v>5.25</v>
      </c>
      <c r="M56" s="70">
        <f t="shared" si="47"/>
        <v>-1.375</v>
      </c>
      <c r="N56" s="66">
        <f t="shared" si="24"/>
        <v>11.0625</v>
      </c>
    </row>
    <row r="57" spans="1:14" ht="21.75" customHeight="1">
      <c r="A57" s="180" t="s">
        <v>352</v>
      </c>
      <c r="B57" s="180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</row>
    <row r="58" spans="1:14" ht="21.75" customHeight="1">
      <c r="A58" s="72" t="s">
        <v>335</v>
      </c>
      <c r="B58" s="73" t="s">
        <v>336</v>
      </c>
      <c r="C58" s="73" t="s">
        <v>337</v>
      </c>
      <c r="D58" s="73" t="s">
        <v>338</v>
      </c>
      <c r="E58" s="73" t="s">
        <v>339</v>
      </c>
      <c r="F58" s="73" t="s">
        <v>340</v>
      </c>
      <c r="G58" s="73" t="s">
        <v>341</v>
      </c>
      <c r="H58" s="73" t="s">
        <v>342</v>
      </c>
      <c r="I58" s="73" t="s">
        <v>343</v>
      </c>
      <c r="J58" s="73" t="s">
        <v>344</v>
      </c>
      <c r="K58" s="73" t="s">
        <v>345</v>
      </c>
      <c r="L58" s="73" t="s">
        <v>346</v>
      </c>
      <c r="M58" s="73" t="s">
        <v>347</v>
      </c>
      <c r="N58" s="72" t="s">
        <v>348</v>
      </c>
    </row>
    <row r="59" spans="1:14" ht="19.5" customHeight="1">
      <c r="A59" s="74" t="s">
        <v>349</v>
      </c>
      <c r="B59" s="75">
        <v>3.8</v>
      </c>
      <c r="C59" s="75">
        <v>5.4</v>
      </c>
      <c r="D59" s="75">
        <v>9.5</v>
      </c>
      <c r="E59" s="75">
        <v>15.2</v>
      </c>
      <c r="F59" s="75">
        <v>19.5</v>
      </c>
      <c r="G59" s="75">
        <v>22.5</v>
      </c>
      <c r="H59" s="75">
        <v>26</v>
      </c>
      <c r="I59" s="75">
        <v>27.2</v>
      </c>
      <c r="J59" s="75">
        <v>23.2</v>
      </c>
      <c r="K59" s="75">
        <v>17.5</v>
      </c>
      <c r="L59" s="75">
        <v>11.2</v>
      </c>
      <c r="M59" s="75">
        <v>5.5</v>
      </c>
      <c r="N59" s="76">
        <f t="shared" ref="N59:N83" si="48">AVERAGE(B59,C59,D59,E59,F59,G59,H59,I59,J59,K59,L59,M59)</f>
        <v>15.541666666666664</v>
      </c>
    </row>
    <row r="60" spans="1:14" ht="18" customHeight="1">
      <c r="A60" s="74" t="s">
        <v>350</v>
      </c>
      <c r="B60" s="75">
        <v>6.2</v>
      </c>
      <c r="C60" s="75">
        <v>7</v>
      </c>
      <c r="D60" s="75">
        <v>8.5</v>
      </c>
      <c r="E60" s="75">
        <v>9.8000000000000007</v>
      </c>
      <c r="F60" s="75">
        <v>9.1999999999999993</v>
      </c>
      <c r="G60" s="75">
        <v>8</v>
      </c>
      <c r="H60" s="75">
        <v>7.5</v>
      </c>
      <c r="I60" s="75">
        <v>7.2</v>
      </c>
      <c r="J60" s="75">
        <v>7.8</v>
      </c>
      <c r="K60" s="75">
        <v>8.5</v>
      </c>
      <c r="L60" s="75">
        <v>8.1999999999999993</v>
      </c>
      <c r="M60" s="75">
        <v>7</v>
      </c>
      <c r="N60" s="76">
        <f t="shared" si="48"/>
        <v>7.9083333333333341</v>
      </c>
    </row>
    <row r="61" spans="1:14" ht="16.5" customHeight="1">
      <c r="A61" s="65">
        <v>0</v>
      </c>
      <c r="B61" s="75">
        <f t="shared" ref="B61:M61" si="49">B59+(B60/2)*-0.866025</f>
        <v>1.1153224999999996</v>
      </c>
      <c r="C61" s="75">
        <f t="shared" si="49"/>
        <v>2.3689125000000004</v>
      </c>
      <c r="D61" s="75">
        <f t="shared" si="49"/>
        <v>5.8193937499999997</v>
      </c>
      <c r="E61" s="75">
        <f t="shared" si="49"/>
        <v>10.956477499999998</v>
      </c>
      <c r="F61" s="75">
        <f t="shared" si="49"/>
        <v>15.516285</v>
      </c>
      <c r="G61" s="75">
        <f t="shared" si="49"/>
        <v>19.035899999999998</v>
      </c>
      <c r="H61" s="75">
        <f t="shared" si="49"/>
        <v>22.75240625</v>
      </c>
      <c r="I61" s="75">
        <f t="shared" si="49"/>
        <v>24.08231</v>
      </c>
      <c r="J61" s="75">
        <f t="shared" si="49"/>
        <v>19.822502499999999</v>
      </c>
      <c r="K61" s="75">
        <f t="shared" si="49"/>
        <v>13.81939375</v>
      </c>
      <c r="L61" s="75">
        <f t="shared" si="49"/>
        <v>7.6492974999999994</v>
      </c>
      <c r="M61" s="75">
        <f t="shared" si="49"/>
        <v>2.4689125000000001</v>
      </c>
      <c r="N61" s="66">
        <f t="shared" si="48"/>
        <v>12.117259479166664</v>
      </c>
    </row>
    <row r="62" spans="1:14" ht="16.5" customHeight="1">
      <c r="A62" s="65">
        <v>1</v>
      </c>
      <c r="B62" s="75">
        <f t="shared" ref="B62:M62" si="50">B59+(B60/2)*-0.965926</f>
        <v>0.80562939999999994</v>
      </c>
      <c r="C62" s="75">
        <f t="shared" si="50"/>
        <v>2.0192590000000004</v>
      </c>
      <c r="D62" s="75">
        <f t="shared" si="50"/>
        <v>5.3948144999999998</v>
      </c>
      <c r="E62" s="75">
        <f t="shared" si="50"/>
        <v>10.466962599999999</v>
      </c>
      <c r="F62" s="75">
        <f t="shared" si="50"/>
        <v>15.056740400000001</v>
      </c>
      <c r="G62" s="75">
        <f t="shared" si="50"/>
        <v>18.636296000000002</v>
      </c>
      <c r="H62" s="75">
        <f t="shared" si="50"/>
        <v>22.377777500000001</v>
      </c>
      <c r="I62" s="75">
        <f t="shared" si="50"/>
        <v>23.722666400000001</v>
      </c>
      <c r="J62" s="75">
        <f t="shared" si="50"/>
        <v>19.432888599999998</v>
      </c>
      <c r="K62" s="75">
        <f t="shared" si="50"/>
        <v>13.394814499999999</v>
      </c>
      <c r="L62" s="75">
        <f t="shared" si="50"/>
        <v>7.2397033999999998</v>
      </c>
      <c r="M62" s="75">
        <f t="shared" si="50"/>
        <v>2.119259</v>
      </c>
      <c r="N62" s="66">
        <f t="shared" si="48"/>
        <v>11.722234275</v>
      </c>
    </row>
    <row r="63" spans="1:14" ht="16.5" customHeight="1">
      <c r="A63" s="65">
        <v>2</v>
      </c>
      <c r="B63" s="75">
        <f t="shared" ref="B63:M63" si="51">B59+(B60/2)*-1</f>
        <v>0.69999999999999973</v>
      </c>
      <c r="C63" s="75">
        <f t="shared" si="51"/>
        <v>1.9000000000000004</v>
      </c>
      <c r="D63" s="75">
        <f t="shared" si="51"/>
        <v>5.25</v>
      </c>
      <c r="E63" s="75">
        <f t="shared" si="51"/>
        <v>10.299999999999999</v>
      </c>
      <c r="F63" s="75">
        <f t="shared" si="51"/>
        <v>14.9</v>
      </c>
      <c r="G63" s="75">
        <f t="shared" si="51"/>
        <v>18.5</v>
      </c>
      <c r="H63" s="75">
        <f t="shared" si="51"/>
        <v>22.25</v>
      </c>
      <c r="I63" s="75">
        <f t="shared" si="51"/>
        <v>23.599999999999998</v>
      </c>
      <c r="J63" s="75">
        <f t="shared" si="51"/>
        <v>19.3</v>
      </c>
      <c r="K63" s="75">
        <f t="shared" si="51"/>
        <v>13.25</v>
      </c>
      <c r="L63" s="75">
        <f t="shared" si="51"/>
        <v>7.1</v>
      </c>
      <c r="M63" s="75">
        <f t="shared" si="51"/>
        <v>2</v>
      </c>
      <c r="N63" s="66">
        <f t="shared" si="48"/>
        <v>11.587499999999999</v>
      </c>
    </row>
    <row r="64" spans="1:14" ht="16.5" customHeight="1">
      <c r="A64" s="65">
        <v>3</v>
      </c>
      <c r="B64" s="75">
        <f t="shared" ref="B64:M64" si="52">B59+(B60/2)*-0.965926</f>
        <v>0.80562939999999994</v>
      </c>
      <c r="C64" s="75">
        <f t="shared" si="52"/>
        <v>2.0192590000000004</v>
      </c>
      <c r="D64" s="75">
        <f t="shared" si="52"/>
        <v>5.3948144999999998</v>
      </c>
      <c r="E64" s="75">
        <f t="shared" si="52"/>
        <v>10.466962599999999</v>
      </c>
      <c r="F64" s="75">
        <f t="shared" si="52"/>
        <v>15.056740400000001</v>
      </c>
      <c r="G64" s="75">
        <f t="shared" si="52"/>
        <v>18.636296000000002</v>
      </c>
      <c r="H64" s="75">
        <f t="shared" si="52"/>
        <v>22.377777500000001</v>
      </c>
      <c r="I64" s="75">
        <f t="shared" si="52"/>
        <v>23.722666400000001</v>
      </c>
      <c r="J64" s="75">
        <f t="shared" si="52"/>
        <v>19.432888599999998</v>
      </c>
      <c r="K64" s="75">
        <f t="shared" si="52"/>
        <v>13.394814499999999</v>
      </c>
      <c r="L64" s="75">
        <f t="shared" si="52"/>
        <v>7.2397033999999998</v>
      </c>
      <c r="M64" s="75">
        <f t="shared" si="52"/>
        <v>2.119259</v>
      </c>
      <c r="N64" s="66">
        <f t="shared" si="48"/>
        <v>11.722234275</v>
      </c>
    </row>
    <row r="65" spans="1:14" ht="16.5" customHeight="1">
      <c r="A65" s="65">
        <v>4</v>
      </c>
      <c r="B65" s="75">
        <f t="shared" ref="B65:M65" si="53">B59+(B60/2)*-0.866025</f>
        <v>1.1153224999999996</v>
      </c>
      <c r="C65" s="75">
        <f t="shared" si="53"/>
        <v>2.3689125000000004</v>
      </c>
      <c r="D65" s="75">
        <f t="shared" si="53"/>
        <v>5.8193937499999997</v>
      </c>
      <c r="E65" s="75">
        <f t="shared" si="53"/>
        <v>10.956477499999998</v>
      </c>
      <c r="F65" s="75">
        <f t="shared" si="53"/>
        <v>15.516285</v>
      </c>
      <c r="G65" s="75">
        <f t="shared" si="53"/>
        <v>19.035899999999998</v>
      </c>
      <c r="H65" s="75">
        <f t="shared" si="53"/>
        <v>22.75240625</v>
      </c>
      <c r="I65" s="75">
        <f t="shared" si="53"/>
        <v>24.08231</v>
      </c>
      <c r="J65" s="75">
        <f t="shared" si="53"/>
        <v>19.822502499999999</v>
      </c>
      <c r="K65" s="75">
        <f t="shared" si="53"/>
        <v>13.81939375</v>
      </c>
      <c r="L65" s="75">
        <f t="shared" si="53"/>
        <v>7.6492974999999994</v>
      </c>
      <c r="M65" s="75">
        <f t="shared" si="53"/>
        <v>2.4689125000000001</v>
      </c>
      <c r="N65" s="66">
        <f t="shared" si="48"/>
        <v>12.117259479166664</v>
      </c>
    </row>
    <row r="66" spans="1:14" ht="16.5" customHeight="1">
      <c r="A66" s="65">
        <v>5</v>
      </c>
      <c r="B66" s="75">
        <f t="shared" ref="B66:M66" si="54">B59+(B60/2)*-0.707107</f>
        <v>1.6079682999999996</v>
      </c>
      <c r="C66" s="75">
        <f t="shared" si="54"/>
        <v>2.9251255</v>
      </c>
      <c r="D66" s="75">
        <f t="shared" si="54"/>
        <v>6.4947952499999992</v>
      </c>
      <c r="E66" s="75">
        <f t="shared" si="54"/>
        <v>11.735175699999999</v>
      </c>
      <c r="F66" s="75">
        <f t="shared" si="54"/>
        <v>16.247307800000002</v>
      </c>
      <c r="G66" s="75">
        <f t="shared" si="54"/>
        <v>19.671572000000001</v>
      </c>
      <c r="H66" s="75">
        <f t="shared" si="54"/>
        <v>23.34834875</v>
      </c>
      <c r="I66" s="75">
        <f t="shared" si="54"/>
        <v>24.654414799999998</v>
      </c>
      <c r="J66" s="75">
        <f t="shared" si="54"/>
        <v>20.4422827</v>
      </c>
      <c r="K66" s="75">
        <f t="shared" si="54"/>
        <v>14.494795249999999</v>
      </c>
      <c r="L66" s="75">
        <f t="shared" si="54"/>
        <v>8.3008612999999993</v>
      </c>
      <c r="M66" s="75">
        <f t="shared" si="54"/>
        <v>3.0251254999999997</v>
      </c>
      <c r="N66" s="66">
        <f t="shared" si="48"/>
        <v>12.745647737500001</v>
      </c>
    </row>
    <row r="67" spans="1:14" ht="16.5" customHeight="1">
      <c r="A67" s="65">
        <v>6</v>
      </c>
      <c r="B67" s="75">
        <f t="shared" ref="B67:M67" si="55">B59+(B60/2)*-0.5</f>
        <v>2.25</v>
      </c>
      <c r="C67" s="75">
        <f t="shared" si="55"/>
        <v>3.6500000000000004</v>
      </c>
      <c r="D67" s="75">
        <f t="shared" si="55"/>
        <v>7.375</v>
      </c>
      <c r="E67" s="75">
        <f t="shared" si="55"/>
        <v>12.75</v>
      </c>
      <c r="F67" s="75">
        <f t="shared" si="55"/>
        <v>17.2</v>
      </c>
      <c r="G67" s="75">
        <f t="shared" si="55"/>
        <v>20.5</v>
      </c>
      <c r="H67" s="75">
        <f t="shared" si="55"/>
        <v>24.125</v>
      </c>
      <c r="I67" s="75">
        <f t="shared" si="55"/>
        <v>25.4</v>
      </c>
      <c r="J67" s="75">
        <f t="shared" si="55"/>
        <v>21.25</v>
      </c>
      <c r="K67" s="75">
        <f t="shared" si="55"/>
        <v>15.375</v>
      </c>
      <c r="L67" s="75">
        <f t="shared" si="55"/>
        <v>9.1499999999999986</v>
      </c>
      <c r="M67" s="75">
        <f t="shared" si="55"/>
        <v>3.75</v>
      </c>
      <c r="N67" s="66">
        <f t="shared" si="48"/>
        <v>13.564583333333333</v>
      </c>
    </row>
    <row r="68" spans="1:14" ht="16.5" customHeight="1">
      <c r="A68" s="65">
        <v>7</v>
      </c>
      <c r="B68" s="75">
        <f t="shared" ref="B68:M68" si="56">B59+(B60/2)*-0.258819</f>
        <v>2.9976610999999997</v>
      </c>
      <c r="C68" s="75">
        <f t="shared" si="56"/>
        <v>4.4941335000000002</v>
      </c>
      <c r="D68" s="75">
        <f t="shared" si="56"/>
        <v>8.4000192499999997</v>
      </c>
      <c r="E68" s="75">
        <f t="shared" si="56"/>
        <v>13.931786899999999</v>
      </c>
      <c r="F68" s="75">
        <f t="shared" si="56"/>
        <v>18.309432600000001</v>
      </c>
      <c r="G68" s="75">
        <f t="shared" si="56"/>
        <v>21.464724</v>
      </c>
      <c r="H68" s="75">
        <f t="shared" si="56"/>
        <v>25.029428750000001</v>
      </c>
      <c r="I68" s="75">
        <f t="shared" si="56"/>
        <v>26.268251599999999</v>
      </c>
      <c r="J68" s="75">
        <f t="shared" si="56"/>
        <v>22.190605899999998</v>
      </c>
      <c r="K68" s="75">
        <f t="shared" si="56"/>
        <v>16.40001925</v>
      </c>
      <c r="L68" s="75">
        <f t="shared" si="56"/>
        <v>10.1388421</v>
      </c>
      <c r="M68" s="75">
        <f t="shared" si="56"/>
        <v>4.5941334999999999</v>
      </c>
      <c r="N68" s="66">
        <f t="shared" si="48"/>
        <v>14.518253204166667</v>
      </c>
    </row>
    <row r="69" spans="1:14" ht="16.5" customHeight="1">
      <c r="A69" s="65">
        <v>8</v>
      </c>
      <c r="B69" s="75">
        <f t="shared" ref="B69:M69" si="57">B59+(B60/2)*0</f>
        <v>3.8</v>
      </c>
      <c r="C69" s="75">
        <f t="shared" si="57"/>
        <v>5.4</v>
      </c>
      <c r="D69" s="75">
        <f t="shared" si="57"/>
        <v>9.5</v>
      </c>
      <c r="E69" s="75">
        <f t="shared" si="57"/>
        <v>15.2</v>
      </c>
      <c r="F69" s="75">
        <f t="shared" si="57"/>
        <v>19.5</v>
      </c>
      <c r="G69" s="75">
        <f t="shared" si="57"/>
        <v>22.5</v>
      </c>
      <c r="H69" s="75">
        <f t="shared" si="57"/>
        <v>26</v>
      </c>
      <c r="I69" s="75">
        <f t="shared" si="57"/>
        <v>27.2</v>
      </c>
      <c r="J69" s="75">
        <f t="shared" si="57"/>
        <v>23.2</v>
      </c>
      <c r="K69" s="75">
        <f t="shared" si="57"/>
        <v>17.5</v>
      </c>
      <c r="L69" s="75">
        <f t="shared" si="57"/>
        <v>11.2</v>
      </c>
      <c r="M69" s="75">
        <f t="shared" si="57"/>
        <v>5.5</v>
      </c>
      <c r="N69" s="66">
        <f t="shared" si="48"/>
        <v>15.541666666666664</v>
      </c>
    </row>
    <row r="70" spans="1:14" ht="16.5" customHeight="1">
      <c r="A70" s="65">
        <v>9</v>
      </c>
      <c r="B70" s="75">
        <f t="shared" ref="B70:M70" si="58">B59+(B60/2)*0.258819</f>
        <v>4.6023388999999995</v>
      </c>
      <c r="C70" s="75">
        <f t="shared" si="58"/>
        <v>6.3058665000000005</v>
      </c>
      <c r="D70" s="75">
        <f t="shared" si="58"/>
        <v>10.59998075</v>
      </c>
      <c r="E70" s="75">
        <f t="shared" si="58"/>
        <v>16.4682131</v>
      </c>
      <c r="F70" s="75">
        <f t="shared" si="58"/>
        <v>20.690567399999999</v>
      </c>
      <c r="G70" s="75">
        <f t="shared" si="58"/>
        <v>23.535276</v>
      </c>
      <c r="H70" s="75">
        <f t="shared" si="58"/>
        <v>26.970571249999999</v>
      </c>
      <c r="I70" s="75">
        <f t="shared" si="58"/>
        <v>28.131748399999999</v>
      </c>
      <c r="J70" s="75">
        <f t="shared" si="58"/>
        <v>24.209394100000001</v>
      </c>
      <c r="K70" s="75">
        <f t="shared" si="58"/>
        <v>18.59998075</v>
      </c>
      <c r="L70" s="75">
        <f t="shared" si="58"/>
        <v>12.261157899999999</v>
      </c>
      <c r="M70" s="75">
        <f t="shared" si="58"/>
        <v>6.4058665000000001</v>
      </c>
      <c r="N70" s="66">
        <f t="shared" si="48"/>
        <v>16.565080129166663</v>
      </c>
    </row>
    <row r="71" spans="1:14" ht="16.5" customHeight="1">
      <c r="A71" s="65">
        <v>10</v>
      </c>
      <c r="B71" s="75">
        <f t="shared" ref="B71:M71" si="59">B59+(B60/2)*0.5</f>
        <v>5.35</v>
      </c>
      <c r="C71" s="75">
        <f t="shared" si="59"/>
        <v>7.15</v>
      </c>
      <c r="D71" s="75">
        <f t="shared" si="59"/>
        <v>11.625</v>
      </c>
      <c r="E71" s="75">
        <f t="shared" si="59"/>
        <v>17.649999999999999</v>
      </c>
      <c r="F71" s="75">
        <f t="shared" si="59"/>
        <v>21.8</v>
      </c>
      <c r="G71" s="75">
        <f t="shared" si="59"/>
        <v>24.5</v>
      </c>
      <c r="H71" s="75">
        <f t="shared" si="59"/>
        <v>27.875</v>
      </c>
      <c r="I71" s="75">
        <f t="shared" si="59"/>
        <v>29</v>
      </c>
      <c r="J71" s="75">
        <f t="shared" si="59"/>
        <v>25.15</v>
      </c>
      <c r="K71" s="75">
        <f t="shared" si="59"/>
        <v>19.625</v>
      </c>
      <c r="L71" s="75">
        <f t="shared" si="59"/>
        <v>13.25</v>
      </c>
      <c r="M71" s="75">
        <f t="shared" si="59"/>
        <v>7.25</v>
      </c>
      <c r="N71" s="66">
        <f t="shared" si="48"/>
        <v>17.518750000000001</v>
      </c>
    </row>
    <row r="72" spans="1:14" ht="16.5" customHeight="1">
      <c r="A72" s="65">
        <v>11</v>
      </c>
      <c r="B72" s="75">
        <f t="shared" ref="B72:M72" si="60">B59+(B60/2)*0.707107</f>
        <v>5.9920317000000001</v>
      </c>
      <c r="C72" s="75">
        <f t="shared" si="60"/>
        <v>7.8748745000000007</v>
      </c>
      <c r="D72" s="75">
        <f t="shared" si="60"/>
        <v>12.505204750000001</v>
      </c>
      <c r="E72" s="75">
        <f t="shared" si="60"/>
        <v>18.664824299999999</v>
      </c>
      <c r="F72" s="75">
        <f t="shared" si="60"/>
        <v>22.752692199999998</v>
      </c>
      <c r="G72" s="75">
        <f t="shared" si="60"/>
        <v>25.328427999999999</v>
      </c>
      <c r="H72" s="75">
        <f t="shared" si="60"/>
        <v>28.65165125</v>
      </c>
      <c r="I72" s="75">
        <f t="shared" si="60"/>
        <v>29.745585200000001</v>
      </c>
      <c r="J72" s="75">
        <f t="shared" si="60"/>
        <v>25.957717299999999</v>
      </c>
      <c r="K72" s="75">
        <f t="shared" si="60"/>
        <v>20.505204750000001</v>
      </c>
      <c r="L72" s="75">
        <f t="shared" si="60"/>
        <v>14.099138699999999</v>
      </c>
      <c r="M72" s="75">
        <f t="shared" si="60"/>
        <v>7.9748745000000003</v>
      </c>
      <c r="N72" s="66">
        <f t="shared" si="48"/>
        <v>18.337685595833332</v>
      </c>
    </row>
    <row r="73" spans="1:14" ht="16.5" customHeight="1">
      <c r="A73" s="65">
        <v>12</v>
      </c>
      <c r="B73" s="75">
        <f t="shared" ref="B73:M73" si="61">B59+(B60/2)*0.866025</f>
        <v>6.4846775000000001</v>
      </c>
      <c r="C73" s="75">
        <f t="shared" si="61"/>
        <v>8.4310875000000003</v>
      </c>
      <c r="D73" s="75">
        <f t="shared" si="61"/>
        <v>13.18060625</v>
      </c>
      <c r="E73" s="75">
        <f t="shared" si="61"/>
        <v>19.4435225</v>
      </c>
      <c r="F73" s="75">
        <f t="shared" si="61"/>
        <v>23.483715</v>
      </c>
      <c r="G73" s="75">
        <f t="shared" si="61"/>
        <v>25.964100000000002</v>
      </c>
      <c r="H73" s="75">
        <f t="shared" si="61"/>
        <v>29.24759375</v>
      </c>
      <c r="I73" s="75">
        <f t="shared" si="61"/>
        <v>30.317689999999999</v>
      </c>
      <c r="J73" s="75">
        <f t="shared" si="61"/>
        <v>26.5774975</v>
      </c>
      <c r="K73" s="75">
        <f t="shared" si="61"/>
        <v>21.18060625</v>
      </c>
      <c r="L73" s="75">
        <f t="shared" si="61"/>
        <v>14.750702499999999</v>
      </c>
      <c r="M73" s="75">
        <f t="shared" si="61"/>
        <v>8.5310874999999999</v>
      </c>
      <c r="N73" s="66">
        <f t="shared" si="48"/>
        <v>18.96607385416667</v>
      </c>
    </row>
    <row r="74" spans="1:14" ht="16.5" customHeight="1">
      <c r="A74" s="65">
        <v>13</v>
      </c>
      <c r="B74" s="75">
        <f t="shared" ref="B74:M74" si="62">B59+(B60/2)*0.965926</f>
        <v>6.7943705999999997</v>
      </c>
      <c r="C74" s="75">
        <f t="shared" si="62"/>
        <v>8.7807410000000008</v>
      </c>
      <c r="D74" s="75">
        <f t="shared" si="62"/>
        <v>13.605185500000001</v>
      </c>
      <c r="E74" s="75">
        <f t="shared" si="62"/>
        <v>19.9330374</v>
      </c>
      <c r="F74" s="75">
        <f t="shared" si="62"/>
        <v>23.943259599999998</v>
      </c>
      <c r="G74" s="75">
        <f t="shared" si="62"/>
        <v>26.363703999999998</v>
      </c>
      <c r="H74" s="75">
        <f t="shared" si="62"/>
        <v>29.622222499999999</v>
      </c>
      <c r="I74" s="75">
        <f t="shared" si="62"/>
        <v>30.677333599999997</v>
      </c>
      <c r="J74" s="75">
        <f t="shared" si="62"/>
        <v>26.9671114</v>
      </c>
      <c r="K74" s="75">
        <f t="shared" si="62"/>
        <v>21.605185500000001</v>
      </c>
      <c r="L74" s="75">
        <f t="shared" si="62"/>
        <v>15.160296599999999</v>
      </c>
      <c r="M74" s="75">
        <f t="shared" si="62"/>
        <v>8.8807410000000004</v>
      </c>
      <c r="N74" s="66">
        <f t="shared" si="48"/>
        <v>19.361099058333334</v>
      </c>
    </row>
    <row r="75" spans="1:14" ht="16.5" customHeight="1">
      <c r="A75" s="65">
        <v>14</v>
      </c>
      <c r="B75" s="75">
        <f t="shared" ref="B75:M75" si="63">B59+(B60/2)*1</f>
        <v>6.9</v>
      </c>
      <c r="C75" s="75">
        <f t="shared" si="63"/>
        <v>8.9</v>
      </c>
      <c r="D75" s="75">
        <f t="shared" si="63"/>
        <v>13.75</v>
      </c>
      <c r="E75" s="75">
        <f t="shared" si="63"/>
        <v>20.100000000000001</v>
      </c>
      <c r="F75" s="75">
        <f t="shared" si="63"/>
        <v>24.1</v>
      </c>
      <c r="G75" s="75">
        <f t="shared" si="63"/>
        <v>26.5</v>
      </c>
      <c r="H75" s="75">
        <f t="shared" si="63"/>
        <v>29.75</v>
      </c>
      <c r="I75" s="75">
        <f t="shared" si="63"/>
        <v>30.8</v>
      </c>
      <c r="J75" s="75">
        <f t="shared" si="63"/>
        <v>27.099999999999998</v>
      </c>
      <c r="K75" s="75">
        <f t="shared" si="63"/>
        <v>21.75</v>
      </c>
      <c r="L75" s="75">
        <f t="shared" si="63"/>
        <v>15.299999999999999</v>
      </c>
      <c r="M75" s="75">
        <f t="shared" si="63"/>
        <v>9</v>
      </c>
      <c r="N75" s="66">
        <f t="shared" si="48"/>
        <v>19.495833333333334</v>
      </c>
    </row>
    <row r="76" spans="1:14" ht="16.5" customHeight="1">
      <c r="A76" s="65">
        <v>15</v>
      </c>
      <c r="B76" s="75">
        <f t="shared" ref="B76:M76" si="64">B59+(B60/2)*0.965926</f>
        <v>6.7943705999999997</v>
      </c>
      <c r="C76" s="75">
        <f t="shared" si="64"/>
        <v>8.7807410000000008</v>
      </c>
      <c r="D76" s="75">
        <f t="shared" si="64"/>
        <v>13.605185500000001</v>
      </c>
      <c r="E76" s="75">
        <f t="shared" si="64"/>
        <v>19.9330374</v>
      </c>
      <c r="F76" s="75">
        <f t="shared" si="64"/>
        <v>23.943259599999998</v>
      </c>
      <c r="G76" s="75">
        <f t="shared" si="64"/>
        <v>26.363703999999998</v>
      </c>
      <c r="H76" s="75">
        <f t="shared" si="64"/>
        <v>29.622222499999999</v>
      </c>
      <c r="I76" s="75">
        <f t="shared" si="64"/>
        <v>30.677333599999997</v>
      </c>
      <c r="J76" s="75">
        <f t="shared" si="64"/>
        <v>26.9671114</v>
      </c>
      <c r="K76" s="75">
        <f t="shared" si="64"/>
        <v>21.605185500000001</v>
      </c>
      <c r="L76" s="75">
        <f t="shared" si="64"/>
        <v>15.160296599999999</v>
      </c>
      <c r="M76" s="75">
        <f t="shared" si="64"/>
        <v>8.8807410000000004</v>
      </c>
      <c r="N76" s="66">
        <f t="shared" si="48"/>
        <v>19.361099058333334</v>
      </c>
    </row>
    <row r="77" spans="1:14" ht="16.5" customHeight="1">
      <c r="A77" s="65">
        <v>16</v>
      </c>
      <c r="B77" s="75">
        <f t="shared" ref="B77:M77" si="65">B59+(B60/2)*0.866025</f>
        <v>6.4846775000000001</v>
      </c>
      <c r="C77" s="75">
        <f t="shared" si="65"/>
        <v>8.4310875000000003</v>
      </c>
      <c r="D77" s="75">
        <f t="shared" si="65"/>
        <v>13.18060625</v>
      </c>
      <c r="E77" s="75">
        <f t="shared" si="65"/>
        <v>19.4435225</v>
      </c>
      <c r="F77" s="75">
        <f t="shared" si="65"/>
        <v>23.483715</v>
      </c>
      <c r="G77" s="75">
        <f t="shared" si="65"/>
        <v>25.964100000000002</v>
      </c>
      <c r="H77" s="75">
        <f t="shared" si="65"/>
        <v>29.24759375</v>
      </c>
      <c r="I77" s="75">
        <f t="shared" si="65"/>
        <v>30.317689999999999</v>
      </c>
      <c r="J77" s="75">
        <f t="shared" si="65"/>
        <v>26.5774975</v>
      </c>
      <c r="K77" s="75">
        <f t="shared" si="65"/>
        <v>21.18060625</v>
      </c>
      <c r="L77" s="75">
        <f t="shared" si="65"/>
        <v>14.750702499999999</v>
      </c>
      <c r="M77" s="75">
        <f t="shared" si="65"/>
        <v>8.5310874999999999</v>
      </c>
      <c r="N77" s="66">
        <f t="shared" si="48"/>
        <v>18.96607385416667</v>
      </c>
    </row>
    <row r="78" spans="1:14" ht="16.5" customHeight="1">
      <c r="A78" s="65">
        <v>17</v>
      </c>
      <c r="B78" s="75">
        <f t="shared" ref="B78:M78" si="66">B59+(B60/2)*0.707107</f>
        <v>5.9920317000000001</v>
      </c>
      <c r="C78" s="75">
        <f t="shared" si="66"/>
        <v>7.8748745000000007</v>
      </c>
      <c r="D78" s="75">
        <f t="shared" si="66"/>
        <v>12.505204750000001</v>
      </c>
      <c r="E78" s="75">
        <f t="shared" si="66"/>
        <v>18.664824299999999</v>
      </c>
      <c r="F78" s="75">
        <f t="shared" si="66"/>
        <v>22.752692199999998</v>
      </c>
      <c r="G78" s="75">
        <f t="shared" si="66"/>
        <v>25.328427999999999</v>
      </c>
      <c r="H78" s="75">
        <f t="shared" si="66"/>
        <v>28.65165125</v>
      </c>
      <c r="I78" s="75">
        <f t="shared" si="66"/>
        <v>29.745585200000001</v>
      </c>
      <c r="J78" s="75">
        <f t="shared" si="66"/>
        <v>25.957717299999999</v>
      </c>
      <c r="K78" s="75">
        <f t="shared" si="66"/>
        <v>20.505204750000001</v>
      </c>
      <c r="L78" s="75">
        <f t="shared" si="66"/>
        <v>14.099138699999999</v>
      </c>
      <c r="M78" s="75">
        <f t="shared" si="66"/>
        <v>7.9748745000000003</v>
      </c>
      <c r="N78" s="66">
        <f t="shared" si="48"/>
        <v>18.337685595833332</v>
      </c>
    </row>
    <row r="79" spans="1:14" ht="16.5" customHeight="1">
      <c r="A79" s="65">
        <v>18</v>
      </c>
      <c r="B79" s="75">
        <f t="shared" ref="B79:M79" si="67">B59+(B60/2)*0.5</f>
        <v>5.35</v>
      </c>
      <c r="C79" s="75">
        <f t="shared" si="67"/>
        <v>7.15</v>
      </c>
      <c r="D79" s="75">
        <f t="shared" si="67"/>
        <v>11.625</v>
      </c>
      <c r="E79" s="75">
        <f t="shared" si="67"/>
        <v>17.649999999999999</v>
      </c>
      <c r="F79" s="75">
        <f t="shared" si="67"/>
        <v>21.8</v>
      </c>
      <c r="G79" s="75">
        <f t="shared" si="67"/>
        <v>24.5</v>
      </c>
      <c r="H79" s="75">
        <f t="shared" si="67"/>
        <v>27.875</v>
      </c>
      <c r="I79" s="75">
        <f t="shared" si="67"/>
        <v>29</v>
      </c>
      <c r="J79" s="75">
        <f t="shared" si="67"/>
        <v>25.15</v>
      </c>
      <c r="K79" s="75">
        <f t="shared" si="67"/>
        <v>19.625</v>
      </c>
      <c r="L79" s="75">
        <f t="shared" si="67"/>
        <v>13.25</v>
      </c>
      <c r="M79" s="75">
        <f t="shared" si="67"/>
        <v>7.25</v>
      </c>
      <c r="N79" s="66">
        <f t="shared" si="48"/>
        <v>17.518750000000001</v>
      </c>
    </row>
    <row r="80" spans="1:14" ht="16.5" customHeight="1">
      <c r="A80" s="65">
        <v>19</v>
      </c>
      <c r="B80" s="75">
        <f t="shared" ref="B80:M80" si="68">B59+(B60/2)*0.258819</f>
        <v>4.6023388999999995</v>
      </c>
      <c r="C80" s="75">
        <f t="shared" si="68"/>
        <v>6.3058665000000005</v>
      </c>
      <c r="D80" s="75">
        <f t="shared" si="68"/>
        <v>10.59998075</v>
      </c>
      <c r="E80" s="75">
        <f t="shared" si="68"/>
        <v>16.4682131</v>
      </c>
      <c r="F80" s="75">
        <f t="shared" si="68"/>
        <v>20.690567399999999</v>
      </c>
      <c r="G80" s="75">
        <f t="shared" si="68"/>
        <v>23.535276</v>
      </c>
      <c r="H80" s="75">
        <f t="shared" si="68"/>
        <v>26.970571249999999</v>
      </c>
      <c r="I80" s="75">
        <f t="shared" si="68"/>
        <v>28.131748399999999</v>
      </c>
      <c r="J80" s="75">
        <f t="shared" si="68"/>
        <v>24.209394100000001</v>
      </c>
      <c r="K80" s="75">
        <f t="shared" si="68"/>
        <v>18.59998075</v>
      </c>
      <c r="L80" s="75">
        <f t="shared" si="68"/>
        <v>12.261157899999999</v>
      </c>
      <c r="M80" s="75">
        <f t="shared" si="68"/>
        <v>6.4058665000000001</v>
      </c>
      <c r="N80" s="66">
        <f t="shared" si="48"/>
        <v>16.565080129166663</v>
      </c>
    </row>
    <row r="81" spans="1:14" ht="16.5" customHeight="1">
      <c r="A81" s="65">
        <v>20</v>
      </c>
      <c r="B81" s="75">
        <f t="shared" ref="B81:M81" si="69">B59+(B60/2)*0</f>
        <v>3.8</v>
      </c>
      <c r="C81" s="75">
        <f t="shared" si="69"/>
        <v>5.4</v>
      </c>
      <c r="D81" s="75">
        <f t="shared" si="69"/>
        <v>9.5</v>
      </c>
      <c r="E81" s="75">
        <f t="shared" si="69"/>
        <v>15.2</v>
      </c>
      <c r="F81" s="75">
        <f t="shared" si="69"/>
        <v>19.5</v>
      </c>
      <c r="G81" s="75">
        <f t="shared" si="69"/>
        <v>22.5</v>
      </c>
      <c r="H81" s="75">
        <f t="shared" si="69"/>
        <v>26</v>
      </c>
      <c r="I81" s="75">
        <f t="shared" si="69"/>
        <v>27.2</v>
      </c>
      <c r="J81" s="75">
        <f t="shared" si="69"/>
        <v>23.2</v>
      </c>
      <c r="K81" s="75">
        <f t="shared" si="69"/>
        <v>17.5</v>
      </c>
      <c r="L81" s="75">
        <f t="shared" si="69"/>
        <v>11.2</v>
      </c>
      <c r="M81" s="75">
        <f t="shared" si="69"/>
        <v>5.5</v>
      </c>
      <c r="N81" s="66">
        <f t="shared" si="48"/>
        <v>15.541666666666664</v>
      </c>
    </row>
    <row r="82" spans="1:14" ht="16.5" customHeight="1">
      <c r="A82" s="65">
        <v>21</v>
      </c>
      <c r="B82" s="75">
        <f t="shared" ref="B82:M82" si="70">B59+(B60/2)*-0.258819</f>
        <v>2.9976610999999997</v>
      </c>
      <c r="C82" s="75">
        <f t="shared" si="70"/>
        <v>4.4941335000000002</v>
      </c>
      <c r="D82" s="75">
        <f t="shared" si="70"/>
        <v>8.4000192499999997</v>
      </c>
      <c r="E82" s="75">
        <f t="shared" si="70"/>
        <v>13.931786899999999</v>
      </c>
      <c r="F82" s="75">
        <f t="shared" si="70"/>
        <v>18.309432600000001</v>
      </c>
      <c r="G82" s="75">
        <f t="shared" si="70"/>
        <v>21.464724</v>
      </c>
      <c r="H82" s="75">
        <f t="shared" si="70"/>
        <v>25.029428750000001</v>
      </c>
      <c r="I82" s="75">
        <f t="shared" si="70"/>
        <v>26.268251599999999</v>
      </c>
      <c r="J82" s="75">
        <f t="shared" si="70"/>
        <v>22.190605899999998</v>
      </c>
      <c r="K82" s="75">
        <f t="shared" si="70"/>
        <v>16.40001925</v>
      </c>
      <c r="L82" s="75">
        <f t="shared" si="70"/>
        <v>10.1388421</v>
      </c>
      <c r="M82" s="75">
        <f t="shared" si="70"/>
        <v>4.5941334999999999</v>
      </c>
      <c r="N82" s="66">
        <f t="shared" si="48"/>
        <v>14.518253204166667</v>
      </c>
    </row>
    <row r="83" spans="1:14" ht="16.5" customHeight="1">
      <c r="A83" s="65">
        <v>22</v>
      </c>
      <c r="B83" s="75">
        <f t="shared" ref="B83:M83" si="71">B59+(B60/2)*-0.5</f>
        <v>2.25</v>
      </c>
      <c r="C83" s="75">
        <f t="shared" si="71"/>
        <v>3.6500000000000004</v>
      </c>
      <c r="D83" s="75">
        <f t="shared" si="71"/>
        <v>7.375</v>
      </c>
      <c r="E83" s="75">
        <f t="shared" si="71"/>
        <v>12.75</v>
      </c>
      <c r="F83" s="75">
        <f t="shared" si="71"/>
        <v>17.2</v>
      </c>
      <c r="G83" s="75">
        <f t="shared" si="71"/>
        <v>20.5</v>
      </c>
      <c r="H83" s="75">
        <f t="shared" si="71"/>
        <v>24.125</v>
      </c>
      <c r="I83" s="75">
        <f t="shared" si="71"/>
        <v>25.4</v>
      </c>
      <c r="J83" s="75">
        <f t="shared" si="71"/>
        <v>21.25</v>
      </c>
      <c r="K83" s="75">
        <f t="shared" si="71"/>
        <v>15.375</v>
      </c>
      <c r="L83" s="75">
        <f t="shared" si="71"/>
        <v>9.1499999999999986</v>
      </c>
      <c r="M83" s="75">
        <f t="shared" si="71"/>
        <v>3.75</v>
      </c>
      <c r="N83" s="66">
        <f t="shared" si="48"/>
        <v>13.564583333333333</v>
      </c>
    </row>
    <row r="84" spans="1:14" ht="21.75" customHeight="1">
      <c r="A84" s="181" t="s">
        <v>353</v>
      </c>
      <c r="B84" s="181"/>
      <c r="C84" s="181"/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</row>
    <row r="85" spans="1:14" ht="21.75" customHeight="1">
      <c r="A85" s="77" t="s">
        <v>335</v>
      </c>
      <c r="B85" s="78" t="s">
        <v>336</v>
      </c>
      <c r="C85" s="78" t="s">
        <v>337</v>
      </c>
      <c r="D85" s="78" t="s">
        <v>338</v>
      </c>
      <c r="E85" s="78" t="s">
        <v>339</v>
      </c>
      <c r="F85" s="78" t="s">
        <v>340</v>
      </c>
      <c r="G85" s="78" t="s">
        <v>341</v>
      </c>
      <c r="H85" s="78" t="s">
        <v>342</v>
      </c>
      <c r="I85" s="78" t="s">
        <v>343</v>
      </c>
      <c r="J85" s="78" t="s">
        <v>344</v>
      </c>
      <c r="K85" s="78" t="s">
        <v>345</v>
      </c>
      <c r="L85" s="78" t="s">
        <v>346</v>
      </c>
      <c r="M85" s="78" t="s">
        <v>347</v>
      </c>
      <c r="N85" s="77" t="s">
        <v>348</v>
      </c>
    </row>
    <row r="86" spans="1:14" ht="19.5" customHeight="1">
      <c r="A86" s="79" t="s">
        <v>349</v>
      </c>
      <c r="B86" s="80">
        <v>6.2</v>
      </c>
      <c r="C86" s="80">
        <v>7</v>
      </c>
      <c r="D86" s="80">
        <v>10.5</v>
      </c>
      <c r="E86" s="80">
        <v>15.2</v>
      </c>
      <c r="F86" s="80">
        <v>19.5</v>
      </c>
      <c r="G86" s="80">
        <v>23</v>
      </c>
      <c r="H86" s="80">
        <v>27.2</v>
      </c>
      <c r="I86" s="80">
        <v>28</v>
      </c>
      <c r="J86" s="80">
        <v>24</v>
      </c>
      <c r="K86" s="80">
        <v>19</v>
      </c>
      <c r="L86" s="80">
        <v>13.5</v>
      </c>
      <c r="M86" s="80">
        <v>8.1999999999999993</v>
      </c>
      <c r="N86" s="81">
        <f t="shared" ref="N86:N111" si="72">AVERAGE(B86,C86,D86,E86,F86,G86,H86,I86,J86,K86,L86,M86)</f>
        <v>16.775000000000002</v>
      </c>
    </row>
    <row r="87" spans="1:14" ht="18" customHeight="1">
      <c r="A87" s="79" t="s">
        <v>350</v>
      </c>
      <c r="B87" s="80">
        <v>5.8</v>
      </c>
      <c r="C87" s="80">
        <v>6.5</v>
      </c>
      <c r="D87" s="80">
        <v>7.2</v>
      </c>
      <c r="E87" s="80">
        <v>8.5</v>
      </c>
      <c r="F87" s="80">
        <v>8</v>
      </c>
      <c r="G87" s="80">
        <v>7.5</v>
      </c>
      <c r="H87" s="80">
        <v>7</v>
      </c>
      <c r="I87" s="80">
        <v>6.8</v>
      </c>
      <c r="J87" s="80">
        <v>7.2</v>
      </c>
      <c r="K87" s="80">
        <v>8</v>
      </c>
      <c r="L87" s="80">
        <v>7.5</v>
      </c>
      <c r="M87" s="80">
        <v>6.2</v>
      </c>
      <c r="N87" s="81">
        <f t="shared" si="72"/>
        <v>7.1833333333333336</v>
      </c>
    </row>
    <row r="88" spans="1:14" ht="16.5" customHeight="1">
      <c r="A88" s="65">
        <v>0</v>
      </c>
      <c r="B88" s="80">
        <f t="shared" ref="B88:M88" si="73">B86+(B87/2)*-0.866025</f>
        <v>3.6885275000000002</v>
      </c>
      <c r="C88" s="80">
        <f t="shared" si="73"/>
        <v>4.1854187500000002</v>
      </c>
      <c r="D88" s="80">
        <f t="shared" si="73"/>
        <v>7.3823100000000004</v>
      </c>
      <c r="E88" s="80">
        <f t="shared" si="73"/>
        <v>11.519393749999999</v>
      </c>
      <c r="F88" s="80">
        <f t="shared" si="73"/>
        <v>16.035899999999998</v>
      </c>
      <c r="G88" s="80">
        <f t="shared" si="73"/>
        <v>19.75240625</v>
      </c>
      <c r="H88" s="80">
        <f t="shared" si="73"/>
        <v>24.168912499999998</v>
      </c>
      <c r="I88" s="80">
        <f t="shared" si="73"/>
        <v>25.055515</v>
      </c>
      <c r="J88" s="80">
        <f t="shared" si="73"/>
        <v>20.88231</v>
      </c>
      <c r="K88" s="80">
        <f t="shared" si="73"/>
        <v>15.5359</v>
      </c>
      <c r="L88" s="80">
        <f t="shared" si="73"/>
        <v>10.25240625</v>
      </c>
      <c r="M88" s="80">
        <f t="shared" si="73"/>
        <v>5.515322499999999</v>
      </c>
      <c r="N88" s="66">
        <f t="shared" si="72"/>
        <v>13.664526875</v>
      </c>
    </row>
    <row r="89" spans="1:14" ht="16.5" customHeight="1">
      <c r="A89" s="65">
        <v>1</v>
      </c>
      <c r="B89" s="80">
        <f t="shared" ref="B89:M89" si="74">B86+(B87/2)*-0.965926</f>
        <v>3.3988146000000006</v>
      </c>
      <c r="C89" s="80">
        <f t="shared" si="74"/>
        <v>3.8607405000000004</v>
      </c>
      <c r="D89" s="80">
        <f t="shared" si="74"/>
        <v>7.0226664000000003</v>
      </c>
      <c r="E89" s="80">
        <f t="shared" si="74"/>
        <v>11.094814499999998</v>
      </c>
      <c r="F89" s="80">
        <f t="shared" si="74"/>
        <v>15.636296</v>
      </c>
      <c r="G89" s="80">
        <f t="shared" si="74"/>
        <v>19.377777500000001</v>
      </c>
      <c r="H89" s="80">
        <f t="shared" si="74"/>
        <v>23.819258999999999</v>
      </c>
      <c r="I89" s="80">
        <f t="shared" si="74"/>
        <v>24.715851600000001</v>
      </c>
      <c r="J89" s="80">
        <f t="shared" si="74"/>
        <v>20.522666399999999</v>
      </c>
      <c r="K89" s="80">
        <f t="shared" si="74"/>
        <v>15.136296</v>
      </c>
      <c r="L89" s="80">
        <f t="shared" si="74"/>
        <v>9.8777775000000005</v>
      </c>
      <c r="M89" s="80">
        <f t="shared" si="74"/>
        <v>5.2056293999999994</v>
      </c>
      <c r="N89" s="66">
        <f t="shared" si="72"/>
        <v>13.305715783333332</v>
      </c>
    </row>
    <row r="90" spans="1:14" ht="16.5" customHeight="1">
      <c r="A90" s="65">
        <v>2</v>
      </c>
      <c r="B90" s="80">
        <f t="shared" ref="B90:M90" si="75">B86+(B87/2)*-1</f>
        <v>3.3000000000000003</v>
      </c>
      <c r="C90" s="80">
        <f t="shared" si="75"/>
        <v>3.75</v>
      </c>
      <c r="D90" s="80">
        <f t="shared" si="75"/>
        <v>6.9</v>
      </c>
      <c r="E90" s="80">
        <f t="shared" si="75"/>
        <v>10.95</v>
      </c>
      <c r="F90" s="80">
        <f t="shared" si="75"/>
        <v>15.5</v>
      </c>
      <c r="G90" s="80">
        <f t="shared" si="75"/>
        <v>19.25</v>
      </c>
      <c r="H90" s="80">
        <f t="shared" si="75"/>
        <v>23.7</v>
      </c>
      <c r="I90" s="80">
        <f t="shared" si="75"/>
        <v>24.6</v>
      </c>
      <c r="J90" s="80">
        <f t="shared" si="75"/>
        <v>20.399999999999999</v>
      </c>
      <c r="K90" s="80">
        <f t="shared" si="75"/>
        <v>15</v>
      </c>
      <c r="L90" s="80">
        <f t="shared" si="75"/>
        <v>9.75</v>
      </c>
      <c r="M90" s="80">
        <f t="shared" si="75"/>
        <v>5.0999999999999996</v>
      </c>
      <c r="N90" s="66">
        <f t="shared" si="72"/>
        <v>13.183333333333332</v>
      </c>
    </row>
    <row r="91" spans="1:14" ht="16.5" customHeight="1">
      <c r="A91" s="65">
        <v>3</v>
      </c>
      <c r="B91" s="80">
        <f t="shared" ref="B91:M91" si="76">B86+(B87/2)*-0.965926</f>
        <v>3.3988146000000006</v>
      </c>
      <c r="C91" s="80">
        <f t="shared" si="76"/>
        <v>3.8607405000000004</v>
      </c>
      <c r="D91" s="80">
        <f t="shared" si="76"/>
        <v>7.0226664000000003</v>
      </c>
      <c r="E91" s="80">
        <f t="shared" si="76"/>
        <v>11.094814499999998</v>
      </c>
      <c r="F91" s="80">
        <f t="shared" si="76"/>
        <v>15.636296</v>
      </c>
      <c r="G91" s="80">
        <f t="shared" si="76"/>
        <v>19.377777500000001</v>
      </c>
      <c r="H91" s="80">
        <f t="shared" si="76"/>
        <v>23.819258999999999</v>
      </c>
      <c r="I91" s="80">
        <f t="shared" si="76"/>
        <v>24.715851600000001</v>
      </c>
      <c r="J91" s="80">
        <f t="shared" si="76"/>
        <v>20.522666399999999</v>
      </c>
      <c r="K91" s="80">
        <f t="shared" si="76"/>
        <v>15.136296</v>
      </c>
      <c r="L91" s="80">
        <f t="shared" si="76"/>
        <v>9.8777775000000005</v>
      </c>
      <c r="M91" s="80">
        <f t="shared" si="76"/>
        <v>5.2056293999999994</v>
      </c>
      <c r="N91" s="66">
        <f t="shared" si="72"/>
        <v>13.305715783333332</v>
      </c>
    </row>
    <row r="92" spans="1:14" ht="16.5" customHeight="1">
      <c r="A92" s="65">
        <v>4</v>
      </c>
      <c r="B92" s="80">
        <f t="shared" ref="B92:M92" si="77">B86+(B87/2)*-0.866025</f>
        <v>3.6885275000000002</v>
      </c>
      <c r="C92" s="80">
        <f t="shared" si="77"/>
        <v>4.1854187500000002</v>
      </c>
      <c r="D92" s="80">
        <f t="shared" si="77"/>
        <v>7.3823100000000004</v>
      </c>
      <c r="E92" s="80">
        <f t="shared" si="77"/>
        <v>11.519393749999999</v>
      </c>
      <c r="F92" s="80">
        <f t="shared" si="77"/>
        <v>16.035899999999998</v>
      </c>
      <c r="G92" s="80">
        <f t="shared" si="77"/>
        <v>19.75240625</v>
      </c>
      <c r="H92" s="80">
        <f t="shared" si="77"/>
        <v>24.168912499999998</v>
      </c>
      <c r="I92" s="80">
        <f t="shared" si="77"/>
        <v>25.055515</v>
      </c>
      <c r="J92" s="80">
        <f t="shared" si="77"/>
        <v>20.88231</v>
      </c>
      <c r="K92" s="80">
        <f t="shared" si="77"/>
        <v>15.5359</v>
      </c>
      <c r="L92" s="80">
        <f t="shared" si="77"/>
        <v>10.25240625</v>
      </c>
      <c r="M92" s="80">
        <f t="shared" si="77"/>
        <v>5.515322499999999</v>
      </c>
      <c r="N92" s="66">
        <f t="shared" si="72"/>
        <v>13.664526875</v>
      </c>
    </row>
    <row r="93" spans="1:14" ht="16.5" customHeight="1">
      <c r="A93" s="65">
        <v>5</v>
      </c>
      <c r="B93" s="80">
        <f t="shared" ref="B93:M93" si="78">B86+(B87/2)*-0.707107</f>
        <v>4.1493897000000004</v>
      </c>
      <c r="C93" s="80">
        <f t="shared" si="78"/>
        <v>4.7019022499999998</v>
      </c>
      <c r="D93" s="80">
        <f t="shared" si="78"/>
        <v>7.9544148000000003</v>
      </c>
      <c r="E93" s="80">
        <f t="shared" si="78"/>
        <v>12.194795249999999</v>
      </c>
      <c r="F93" s="80">
        <f t="shared" si="78"/>
        <v>16.671572000000001</v>
      </c>
      <c r="G93" s="80">
        <f t="shared" si="78"/>
        <v>20.34834875</v>
      </c>
      <c r="H93" s="80">
        <f t="shared" si="78"/>
        <v>24.725125499999997</v>
      </c>
      <c r="I93" s="80">
        <f t="shared" si="78"/>
        <v>25.595836200000001</v>
      </c>
      <c r="J93" s="80">
        <f t="shared" si="78"/>
        <v>21.454414799999999</v>
      </c>
      <c r="K93" s="80">
        <f t="shared" si="78"/>
        <v>16.171572000000001</v>
      </c>
      <c r="L93" s="80">
        <f t="shared" si="78"/>
        <v>10.84834875</v>
      </c>
      <c r="M93" s="80">
        <f t="shared" si="78"/>
        <v>6.007968299999999</v>
      </c>
      <c r="N93" s="66">
        <f t="shared" si="72"/>
        <v>14.235307358333332</v>
      </c>
    </row>
    <row r="94" spans="1:14" ht="16.5" customHeight="1">
      <c r="A94" s="65">
        <v>6</v>
      </c>
      <c r="B94" s="80">
        <f t="shared" ref="B94:M94" si="79">B86+(B87/2)*-0.5</f>
        <v>4.75</v>
      </c>
      <c r="C94" s="80">
        <f t="shared" si="79"/>
        <v>5.375</v>
      </c>
      <c r="D94" s="80">
        <f t="shared" si="79"/>
        <v>8.6999999999999993</v>
      </c>
      <c r="E94" s="80">
        <f t="shared" si="79"/>
        <v>13.074999999999999</v>
      </c>
      <c r="F94" s="80">
        <f t="shared" si="79"/>
        <v>17.5</v>
      </c>
      <c r="G94" s="80">
        <f t="shared" si="79"/>
        <v>21.125</v>
      </c>
      <c r="H94" s="80">
        <f t="shared" si="79"/>
        <v>25.45</v>
      </c>
      <c r="I94" s="80">
        <f t="shared" si="79"/>
        <v>26.3</v>
      </c>
      <c r="J94" s="80">
        <f t="shared" si="79"/>
        <v>22.2</v>
      </c>
      <c r="K94" s="80">
        <f t="shared" si="79"/>
        <v>17</v>
      </c>
      <c r="L94" s="80">
        <f t="shared" si="79"/>
        <v>11.625</v>
      </c>
      <c r="M94" s="80">
        <f t="shared" si="79"/>
        <v>6.6499999999999995</v>
      </c>
      <c r="N94" s="66">
        <f t="shared" si="72"/>
        <v>14.979166666666666</v>
      </c>
    </row>
    <row r="95" spans="1:14" ht="16.5" customHeight="1">
      <c r="A95" s="65">
        <v>7</v>
      </c>
      <c r="B95" s="80">
        <f t="shared" ref="B95:M95" si="80">B86+(B87/2)*-0.258819</f>
        <v>5.4494249000000003</v>
      </c>
      <c r="C95" s="80">
        <f t="shared" si="80"/>
        <v>6.1588382499999996</v>
      </c>
      <c r="D95" s="80">
        <f t="shared" si="80"/>
        <v>9.5682516</v>
      </c>
      <c r="E95" s="80">
        <f t="shared" si="80"/>
        <v>14.100019249999999</v>
      </c>
      <c r="F95" s="80">
        <f t="shared" si="80"/>
        <v>18.464724</v>
      </c>
      <c r="G95" s="80">
        <f t="shared" si="80"/>
        <v>22.029428750000001</v>
      </c>
      <c r="H95" s="80">
        <f t="shared" si="80"/>
        <v>26.294133500000001</v>
      </c>
      <c r="I95" s="80">
        <f t="shared" si="80"/>
        <v>27.1200154</v>
      </c>
      <c r="J95" s="80">
        <f t="shared" si="80"/>
        <v>23.0682516</v>
      </c>
      <c r="K95" s="80">
        <f t="shared" si="80"/>
        <v>17.964724</v>
      </c>
      <c r="L95" s="80">
        <f t="shared" si="80"/>
        <v>12.529428749999999</v>
      </c>
      <c r="M95" s="80">
        <f t="shared" si="80"/>
        <v>7.3976610999999988</v>
      </c>
      <c r="N95" s="66">
        <f t="shared" si="72"/>
        <v>15.845408425</v>
      </c>
    </row>
    <row r="96" spans="1:14" ht="16.5" customHeight="1">
      <c r="A96" s="65">
        <v>8</v>
      </c>
      <c r="B96" s="80">
        <f t="shared" ref="B96:M96" si="81">B86+(B87/2)*0</f>
        <v>6.2</v>
      </c>
      <c r="C96" s="80">
        <f t="shared" si="81"/>
        <v>7</v>
      </c>
      <c r="D96" s="80">
        <f t="shared" si="81"/>
        <v>10.5</v>
      </c>
      <c r="E96" s="80">
        <f t="shared" si="81"/>
        <v>15.2</v>
      </c>
      <c r="F96" s="80">
        <f t="shared" si="81"/>
        <v>19.5</v>
      </c>
      <c r="G96" s="80">
        <f t="shared" si="81"/>
        <v>23</v>
      </c>
      <c r="H96" s="80">
        <f t="shared" si="81"/>
        <v>27.2</v>
      </c>
      <c r="I96" s="80">
        <f t="shared" si="81"/>
        <v>28</v>
      </c>
      <c r="J96" s="80">
        <f t="shared" si="81"/>
        <v>24</v>
      </c>
      <c r="K96" s="80">
        <f t="shared" si="81"/>
        <v>19</v>
      </c>
      <c r="L96" s="80">
        <f t="shared" si="81"/>
        <v>13.5</v>
      </c>
      <c r="M96" s="80">
        <f t="shared" si="81"/>
        <v>8.1999999999999993</v>
      </c>
      <c r="N96" s="66">
        <f t="shared" si="72"/>
        <v>16.775000000000002</v>
      </c>
    </row>
    <row r="97" spans="1:14" ht="16.5" customHeight="1">
      <c r="A97" s="65">
        <v>9</v>
      </c>
      <c r="B97" s="80">
        <f t="shared" ref="B97:M97" si="82">B86+(B87/2)*0.258819</f>
        <v>6.9505751</v>
      </c>
      <c r="C97" s="80">
        <f t="shared" si="82"/>
        <v>7.8411617500000004</v>
      </c>
      <c r="D97" s="80">
        <f t="shared" si="82"/>
        <v>11.4317484</v>
      </c>
      <c r="E97" s="80">
        <f t="shared" si="82"/>
        <v>16.29998075</v>
      </c>
      <c r="F97" s="80">
        <f t="shared" si="82"/>
        <v>20.535276</v>
      </c>
      <c r="G97" s="80">
        <f t="shared" si="82"/>
        <v>23.970571249999999</v>
      </c>
      <c r="H97" s="80">
        <f t="shared" si="82"/>
        <v>28.105866499999998</v>
      </c>
      <c r="I97" s="80">
        <f t="shared" si="82"/>
        <v>28.8799846</v>
      </c>
      <c r="J97" s="80">
        <f t="shared" si="82"/>
        <v>24.9317484</v>
      </c>
      <c r="K97" s="80">
        <f t="shared" si="82"/>
        <v>20.035276</v>
      </c>
      <c r="L97" s="80">
        <f t="shared" si="82"/>
        <v>14.470571250000001</v>
      </c>
      <c r="M97" s="80">
        <f t="shared" si="82"/>
        <v>9.0023388999999998</v>
      </c>
      <c r="N97" s="66">
        <f t="shared" si="72"/>
        <v>17.704591575000002</v>
      </c>
    </row>
    <row r="98" spans="1:14" ht="16.5" customHeight="1">
      <c r="A98" s="65">
        <v>10</v>
      </c>
      <c r="B98" s="80">
        <f t="shared" ref="B98:M98" si="83">B86+(B87/2)*0.5</f>
        <v>7.65</v>
      </c>
      <c r="C98" s="80">
        <f t="shared" si="83"/>
        <v>8.625</v>
      </c>
      <c r="D98" s="80">
        <f t="shared" si="83"/>
        <v>12.3</v>
      </c>
      <c r="E98" s="80">
        <f t="shared" si="83"/>
        <v>17.324999999999999</v>
      </c>
      <c r="F98" s="80">
        <f t="shared" si="83"/>
        <v>21.5</v>
      </c>
      <c r="G98" s="80">
        <f t="shared" si="83"/>
        <v>24.875</v>
      </c>
      <c r="H98" s="80">
        <f t="shared" si="83"/>
        <v>28.95</v>
      </c>
      <c r="I98" s="80">
        <f t="shared" si="83"/>
        <v>29.7</v>
      </c>
      <c r="J98" s="80">
        <f t="shared" si="83"/>
        <v>25.8</v>
      </c>
      <c r="K98" s="80">
        <f t="shared" si="83"/>
        <v>21</v>
      </c>
      <c r="L98" s="80">
        <f t="shared" si="83"/>
        <v>15.375</v>
      </c>
      <c r="M98" s="80">
        <f t="shared" si="83"/>
        <v>9.75</v>
      </c>
      <c r="N98" s="66">
        <f t="shared" si="72"/>
        <v>18.570833333333336</v>
      </c>
    </row>
    <row r="99" spans="1:14" ht="16.5" customHeight="1">
      <c r="A99" s="65">
        <v>11</v>
      </c>
      <c r="B99" s="80">
        <f t="shared" ref="B99:M99" si="84">B86+(B87/2)*0.707107</f>
        <v>8.2506103</v>
      </c>
      <c r="C99" s="80">
        <f t="shared" si="84"/>
        <v>9.2980977500000002</v>
      </c>
      <c r="D99" s="80">
        <f t="shared" si="84"/>
        <v>13.0455852</v>
      </c>
      <c r="E99" s="80">
        <f t="shared" si="84"/>
        <v>18.20520475</v>
      </c>
      <c r="F99" s="80">
        <f t="shared" si="84"/>
        <v>22.328427999999999</v>
      </c>
      <c r="G99" s="80">
        <f t="shared" si="84"/>
        <v>25.65165125</v>
      </c>
      <c r="H99" s="80">
        <f t="shared" si="84"/>
        <v>29.674874500000001</v>
      </c>
      <c r="I99" s="80">
        <f t="shared" si="84"/>
        <v>30.404163799999999</v>
      </c>
      <c r="J99" s="80">
        <f t="shared" si="84"/>
        <v>26.545585200000001</v>
      </c>
      <c r="K99" s="80">
        <f t="shared" si="84"/>
        <v>21.828427999999999</v>
      </c>
      <c r="L99" s="80">
        <f t="shared" si="84"/>
        <v>16.15165125</v>
      </c>
      <c r="M99" s="80">
        <f t="shared" si="84"/>
        <v>10.3920317</v>
      </c>
      <c r="N99" s="66">
        <f t="shared" si="72"/>
        <v>19.314692641666664</v>
      </c>
    </row>
    <row r="100" spans="1:14" ht="16.5" customHeight="1">
      <c r="A100" s="65">
        <v>12</v>
      </c>
      <c r="B100" s="80">
        <f t="shared" ref="B100:M100" si="85">B86+(B87/2)*0.866025</f>
        <v>8.7114724999999993</v>
      </c>
      <c r="C100" s="80">
        <f t="shared" si="85"/>
        <v>9.8145812499999998</v>
      </c>
      <c r="D100" s="80">
        <f t="shared" si="85"/>
        <v>13.61769</v>
      </c>
      <c r="E100" s="80">
        <f t="shared" si="85"/>
        <v>18.88060625</v>
      </c>
      <c r="F100" s="80">
        <f t="shared" si="85"/>
        <v>22.964100000000002</v>
      </c>
      <c r="G100" s="80">
        <f t="shared" si="85"/>
        <v>26.24759375</v>
      </c>
      <c r="H100" s="80">
        <f t="shared" si="85"/>
        <v>30.231087500000001</v>
      </c>
      <c r="I100" s="80">
        <f t="shared" si="85"/>
        <v>30.944485</v>
      </c>
      <c r="J100" s="80">
        <f t="shared" si="85"/>
        <v>27.11769</v>
      </c>
      <c r="K100" s="80">
        <f t="shared" si="85"/>
        <v>22.464100000000002</v>
      </c>
      <c r="L100" s="80">
        <f t="shared" si="85"/>
        <v>16.74759375</v>
      </c>
      <c r="M100" s="80">
        <f t="shared" si="85"/>
        <v>10.884677499999999</v>
      </c>
      <c r="N100" s="66">
        <f t="shared" si="72"/>
        <v>19.885473125000001</v>
      </c>
    </row>
    <row r="101" spans="1:14" ht="16.5" customHeight="1">
      <c r="A101" s="65">
        <v>13</v>
      </c>
      <c r="B101" s="80">
        <f t="shared" ref="B101:M101" si="86">B86+(B87/2)*0.965926</f>
        <v>9.0011854000000007</v>
      </c>
      <c r="C101" s="80">
        <f t="shared" si="86"/>
        <v>10.1392595</v>
      </c>
      <c r="D101" s="80">
        <f t="shared" si="86"/>
        <v>13.9773336</v>
      </c>
      <c r="E101" s="80">
        <f t="shared" si="86"/>
        <v>19.3051855</v>
      </c>
      <c r="F101" s="80">
        <f t="shared" si="86"/>
        <v>23.363703999999998</v>
      </c>
      <c r="G101" s="80">
        <f t="shared" si="86"/>
        <v>26.622222499999999</v>
      </c>
      <c r="H101" s="80">
        <f t="shared" si="86"/>
        <v>30.580741</v>
      </c>
      <c r="I101" s="80">
        <f t="shared" si="86"/>
        <v>31.284148399999999</v>
      </c>
      <c r="J101" s="80">
        <f t="shared" si="86"/>
        <v>27.477333600000001</v>
      </c>
      <c r="K101" s="80">
        <f t="shared" si="86"/>
        <v>22.863703999999998</v>
      </c>
      <c r="L101" s="80">
        <f t="shared" si="86"/>
        <v>17.122222499999999</v>
      </c>
      <c r="M101" s="80">
        <f t="shared" si="86"/>
        <v>11.194370599999999</v>
      </c>
      <c r="N101" s="66">
        <f t="shared" si="72"/>
        <v>20.24428421666666</v>
      </c>
    </row>
    <row r="102" spans="1:14" ht="16.5" customHeight="1">
      <c r="A102" s="65">
        <v>14</v>
      </c>
      <c r="B102" s="80">
        <f t="shared" ref="B102:M102" si="87">B86+(B87/2)*1</f>
        <v>9.1</v>
      </c>
      <c r="C102" s="80">
        <f t="shared" si="87"/>
        <v>10.25</v>
      </c>
      <c r="D102" s="80">
        <f t="shared" si="87"/>
        <v>14.1</v>
      </c>
      <c r="E102" s="80">
        <f t="shared" si="87"/>
        <v>19.45</v>
      </c>
      <c r="F102" s="80">
        <f t="shared" si="87"/>
        <v>23.5</v>
      </c>
      <c r="G102" s="80">
        <f t="shared" si="87"/>
        <v>26.75</v>
      </c>
      <c r="H102" s="80">
        <f t="shared" si="87"/>
        <v>30.7</v>
      </c>
      <c r="I102" s="80">
        <f t="shared" si="87"/>
        <v>31.4</v>
      </c>
      <c r="J102" s="80">
        <f t="shared" si="87"/>
        <v>27.6</v>
      </c>
      <c r="K102" s="80">
        <f t="shared" si="87"/>
        <v>23</v>
      </c>
      <c r="L102" s="80">
        <f t="shared" si="87"/>
        <v>17.25</v>
      </c>
      <c r="M102" s="80">
        <f t="shared" si="87"/>
        <v>11.299999999999999</v>
      </c>
      <c r="N102" s="66">
        <f t="shared" si="72"/>
        <v>20.366666666666667</v>
      </c>
    </row>
    <row r="103" spans="1:14" ht="16.5" customHeight="1">
      <c r="A103" s="65">
        <v>15</v>
      </c>
      <c r="B103" s="80">
        <f t="shared" ref="B103:M103" si="88">B86+(B87/2)*0.965926</f>
        <v>9.0011854000000007</v>
      </c>
      <c r="C103" s="80">
        <f t="shared" si="88"/>
        <v>10.1392595</v>
      </c>
      <c r="D103" s="80">
        <f t="shared" si="88"/>
        <v>13.9773336</v>
      </c>
      <c r="E103" s="80">
        <f t="shared" si="88"/>
        <v>19.3051855</v>
      </c>
      <c r="F103" s="80">
        <f t="shared" si="88"/>
        <v>23.363703999999998</v>
      </c>
      <c r="G103" s="80">
        <f t="shared" si="88"/>
        <v>26.622222499999999</v>
      </c>
      <c r="H103" s="80">
        <f t="shared" si="88"/>
        <v>30.580741</v>
      </c>
      <c r="I103" s="80">
        <f t="shared" si="88"/>
        <v>31.284148399999999</v>
      </c>
      <c r="J103" s="80">
        <f t="shared" si="88"/>
        <v>27.477333600000001</v>
      </c>
      <c r="K103" s="80">
        <f t="shared" si="88"/>
        <v>22.863703999999998</v>
      </c>
      <c r="L103" s="80">
        <f t="shared" si="88"/>
        <v>17.122222499999999</v>
      </c>
      <c r="M103" s="80">
        <f t="shared" si="88"/>
        <v>11.194370599999999</v>
      </c>
      <c r="N103" s="66">
        <f t="shared" si="72"/>
        <v>20.24428421666666</v>
      </c>
    </row>
    <row r="104" spans="1:14" ht="16.5" customHeight="1">
      <c r="A104" s="65">
        <v>16</v>
      </c>
      <c r="B104" s="80">
        <f t="shared" ref="B104:M104" si="89">B86+(B87/2)*0.866025</f>
        <v>8.7114724999999993</v>
      </c>
      <c r="C104" s="80">
        <f t="shared" si="89"/>
        <v>9.8145812499999998</v>
      </c>
      <c r="D104" s="80">
        <f t="shared" si="89"/>
        <v>13.61769</v>
      </c>
      <c r="E104" s="80">
        <f t="shared" si="89"/>
        <v>18.88060625</v>
      </c>
      <c r="F104" s="80">
        <f t="shared" si="89"/>
        <v>22.964100000000002</v>
      </c>
      <c r="G104" s="80">
        <f t="shared" si="89"/>
        <v>26.24759375</v>
      </c>
      <c r="H104" s="80">
        <f t="shared" si="89"/>
        <v>30.231087500000001</v>
      </c>
      <c r="I104" s="80">
        <f t="shared" si="89"/>
        <v>30.944485</v>
      </c>
      <c r="J104" s="80">
        <f t="shared" si="89"/>
        <v>27.11769</v>
      </c>
      <c r="K104" s="80">
        <f t="shared" si="89"/>
        <v>22.464100000000002</v>
      </c>
      <c r="L104" s="80">
        <f t="shared" si="89"/>
        <v>16.74759375</v>
      </c>
      <c r="M104" s="80">
        <f t="shared" si="89"/>
        <v>10.884677499999999</v>
      </c>
      <c r="N104" s="66">
        <f t="shared" si="72"/>
        <v>19.885473125000001</v>
      </c>
    </row>
    <row r="105" spans="1:14" ht="16.5" customHeight="1">
      <c r="A105" s="65">
        <v>17</v>
      </c>
      <c r="B105" s="80">
        <f t="shared" ref="B105:M105" si="90">B86+(B87/2)*0.707107</f>
        <v>8.2506103</v>
      </c>
      <c r="C105" s="80">
        <f t="shared" si="90"/>
        <v>9.2980977500000002</v>
      </c>
      <c r="D105" s="80">
        <f t="shared" si="90"/>
        <v>13.0455852</v>
      </c>
      <c r="E105" s="80">
        <f t="shared" si="90"/>
        <v>18.20520475</v>
      </c>
      <c r="F105" s="80">
        <f t="shared" si="90"/>
        <v>22.328427999999999</v>
      </c>
      <c r="G105" s="80">
        <f t="shared" si="90"/>
        <v>25.65165125</v>
      </c>
      <c r="H105" s="80">
        <f t="shared" si="90"/>
        <v>29.674874500000001</v>
      </c>
      <c r="I105" s="80">
        <f t="shared" si="90"/>
        <v>30.404163799999999</v>
      </c>
      <c r="J105" s="80">
        <f t="shared" si="90"/>
        <v>26.545585200000001</v>
      </c>
      <c r="K105" s="80">
        <f t="shared" si="90"/>
        <v>21.828427999999999</v>
      </c>
      <c r="L105" s="80">
        <f t="shared" si="90"/>
        <v>16.15165125</v>
      </c>
      <c r="M105" s="80">
        <f t="shared" si="90"/>
        <v>10.3920317</v>
      </c>
      <c r="N105" s="66">
        <f t="shared" si="72"/>
        <v>19.314692641666664</v>
      </c>
    </row>
    <row r="106" spans="1:14" ht="16.5" customHeight="1">
      <c r="A106" s="65">
        <v>18</v>
      </c>
      <c r="B106" s="80">
        <f t="shared" ref="B106:M106" si="91">B86+(B87/2)*0.5</f>
        <v>7.65</v>
      </c>
      <c r="C106" s="80">
        <f t="shared" si="91"/>
        <v>8.625</v>
      </c>
      <c r="D106" s="80">
        <f t="shared" si="91"/>
        <v>12.3</v>
      </c>
      <c r="E106" s="80">
        <f t="shared" si="91"/>
        <v>17.324999999999999</v>
      </c>
      <c r="F106" s="80">
        <f t="shared" si="91"/>
        <v>21.5</v>
      </c>
      <c r="G106" s="80">
        <f t="shared" si="91"/>
        <v>24.875</v>
      </c>
      <c r="H106" s="80">
        <f t="shared" si="91"/>
        <v>28.95</v>
      </c>
      <c r="I106" s="80">
        <f t="shared" si="91"/>
        <v>29.7</v>
      </c>
      <c r="J106" s="80">
        <f t="shared" si="91"/>
        <v>25.8</v>
      </c>
      <c r="K106" s="80">
        <f t="shared" si="91"/>
        <v>21</v>
      </c>
      <c r="L106" s="80">
        <f t="shared" si="91"/>
        <v>15.375</v>
      </c>
      <c r="M106" s="80">
        <f t="shared" si="91"/>
        <v>9.75</v>
      </c>
      <c r="N106" s="66">
        <f t="shared" si="72"/>
        <v>18.570833333333336</v>
      </c>
    </row>
    <row r="107" spans="1:14" ht="16.5" customHeight="1">
      <c r="A107" s="65">
        <v>19</v>
      </c>
      <c r="B107" s="80">
        <f t="shared" ref="B107:M107" si="92">B86+(B87/2)*0.258819</f>
        <v>6.9505751</v>
      </c>
      <c r="C107" s="80">
        <f t="shared" si="92"/>
        <v>7.8411617500000004</v>
      </c>
      <c r="D107" s="80">
        <f t="shared" si="92"/>
        <v>11.4317484</v>
      </c>
      <c r="E107" s="80">
        <f t="shared" si="92"/>
        <v>16.29998075</v>
      </c>
      <c r="F107" s="80">
        <f t="shared" si="92"/>
        <v>20.535276</v>
      </c>
      <c r="G107" s="80">
        <f t="shared" si="92"/>
        <v>23.970571249999999</v>
      </c>
      <c r="H107" s="80">
        <f t="shared" si="92"/>
        <v>28.105866499999998</v>
      </c>
      <c r="I107" s="80">
        <f t="shared" si="92"/>
        <v>28.8799846</v>
      </c>
      <c r="J107" s="80">
        <f t="shared" si="92"/>
        <v>24.9317484</v>
      </c>
      <c r="K107" s="80">
        <f t="shared" si="92"/>
        <v>20.035276</v>
      </c>
      <c r="L107" s="80">
        <f t="shared" si="92"/>
        <v>14.470571250000001</v>
      </c>
      <c r="M107" s="80">
        <f t="shared" si="92"/>
        <v>9.0023388999999998</v>
      </c>
      <c r="N107" s="66">
        <f t="shared" si="72"/>
        <v>17.704591575000002</v>
      </c>
    </row>
    <row r="108" spans="1:14" ht="16.5" customHeight="1">
      <c r="A108" s="65">
        <v>20</v>
      </c>
      <c r="B108" s="80">
        <f t="shared" ref="B108:M108" si="93">B86+(B87/2)*0</f>
        <v>6.2</v>
      </c>
      <c r="C108" s="80">
        <f t="shared" si="93"/>
        <v>7</v>
      </c>
      <c r="D108" s="80">
        <f t="shared" si="93"/>
        <v>10.5</v>
      </c>
      <c r="E108" s="80">
        <f t="shared" si="93"/>
        <v>15.2</v>
      </c>
      <c r="F108" s="80">
        <f t="shared" si="93"/>
        <v>19.5</v>
      </c>
      <c r="G108" s="80">
        <f t="shared" si="93"/>
        <v>23</v>
      </c>
      <c r="H108" s="80">
        <f t="shared" si="93"/>
        <v>27.2</v>
      </c>
      <c r="I108" s="80">
        <f t="shared" si="93"/>
        <v>28</v>
      </c>
      <c r="J108" s="80">
        <f t="shared" si="93"/>
        <v>24</v>
      </c>
      <c r="K108" s="80">
        <f t="shared" si="93"/>
        <v>19</v>
      </c>
      <c r="L108" s="80">
        <f t="shared" si="93"/>
        <v>13.5</v>
      </c>
      <c r="M108" s="80">
        <f t="shared" si="93"/>
        <v>8.1999999999999993</v>
      </c>
      <c r="N108" s="66">
        <f t="shared" si="72"/>
        <v>16.775000000000002</v>
      </c>
    </row>
    <row r="109" spans="1:14" ht="16.5" customHeight="1">
      <c r="A109" s="65">
        <v>21</v>
      </c>
      <c r="B109" s="80">
        <f t="shared" ref="B109:M109" si="94">B86+(B87/2)*-0.258819</f>
        <v>5.4494249000000003</v>
      </c>
      <c r="C109" s="80">
        <f t="shared" si="94"/>
        <v>6.1588382499999996</v>
      </c>
      <c r="D109" s="80">
        <f t="shared" si="94"/>
        <v>9.5682516</v>
      </c>
      <c r="E109" s="80">
        <f t="shared" si="94"/>
        <v>14.100019249999999</v>
      </c>
      <c r="F109" s="80">
        <f t="shared" si="94"/>
        <v>18.464724</v>
      </c>
      <c r="G109" s="80">
        <f t="shared" si="94"/>
        <v>22.029428750000001</v>
      </c>
      <c r="H109" s="80">
        <f t="shared" si="94"/>
        <v>26.294133500000001</v>
      </c>
      <c r="I109" s="80">
        <f t="shared" si="94"/>
        <v>27.1200154</v>
      </c>
      <c r="J109" s="80">
        <f t="shared" si="94"/>
        <v>23.0682516</v>
      </c>
      <c r="K109" s="80">
        <f t="shared" si="94"/>
        <v>17.964724</v>
      </c>
      <c r="L109" s="80">
        <f t="shared" si="94"/>
        <v>12.529428749999999</v>
      </c>
      <c r="M109" s="80">
        <f t="shared" si="94"/>
        <v>7.3976610999999988</v>
      </c>
      <c r="N109" s="66">
        <f t="shared" si="72"/>
        <v>15.845408425</v>
      </c>
    </row>
    <row r="110" spans="1:14" ht="16.5" customHeight="1">
      <c r="A110" s="65">
        <v>22</v>
      </c>
      <c r="B110" s="80">
        <f t="shared" ref="B110:M110" si="95">B86+(B87/2)*-0.5</f>
        <v>4.75</v>
      </c>
      <c r="C110" s="80">
        <f t="shared" si="95"/>
        <v>5.375</v>
      </c>
      <c r="D110" s="80">
        <f t="shared" si="95"/>
        <v>8.6999999999999993</v>
      </c>
      <c r="E110" s="80">
        <f t="shared" si="95"/>
        <v>13.074999999999999</v>
      </c>
      <c r="F110" s="80">
        <f t="shared" si="95"/>
        <v>17.5</v>
      </c>
      <c r="G110" s="80">
        <f t="shared" si="95"/>
        <v>21.125</v>
      </c>
      <c r="H110" s="80">
        <f t="shared" si="95"/>
        <v>25.45</v>
      </c>
      <c r="I110" s="80">
        <f t="shared" si="95"/>
        <v>26.3</v>
      </c>
      <c r="J110" s="80">
        <f t="shared" si="95"/>
        <v>22.2</v>
      </c>
      <c r="K110" s="80">
        <f t="shared" si="95"/>
        <v>17</v>
      </c>
      <c r="L110" s="80">
        <f t="shared" si="95"/>
        <v>11.625</v>
      </c>
      <c r="M110" s="80">
        <f t="shared" si="95"/>
        <v>6.6499999999999995</v>
      </c>
      <c r="N110" s="66">
        <f t="shared" si="72"/>
        <v>14.979166666666666</v>
      </c>
    </row>
    <row r="111" spans="1:14" ht="16.5" customHeight="1">
      <c r="A111" s="65">
        <v>23</v>
      </c>
      <c r="B111" s="80">
        <f t="shared" ref="B111:M111" si="96">B86+(B87/2)*-0.707107</f>
        <v>4.1493897000000004</v>
      </c>
      <c r="C111" s="80">
        <f t="shared" si="96"/>
        <v>4.7019022499999998</v>
      </c>
      <c r="D111" s="80">
        <f t="shared" si="96"/>
        <v>7.9544148000000003</v>
      </c>
      <c r="E111" s="80">
        <f t="shared" si="96"/>
        <v>12.194795249999999</v>
      </c>
      <c r="F111" s="80">
        <f t="shared" si="96"/>
        <v>16.671572000000001</v>
      </c>
      <c r="G111" s="80">
        <f t="shared" si="96"/>
        <v>20.34834875</v>
      </c>
      <c r="H111" s="80">
        <f t="shared" si="96"/>
        <v>24.725125499999997</v>
      </c>
      <c r="I111" s="80">
        <f t="shared" si="96"/>
        <v>25.595836200000001</v>
      </c>
      <c r="J111" s="80">
        <f t="shared" si="96"/>
        <v>21.454414799999999</v>
      </c>
      <c r="K111" s="80">
        <f t="shared" si="96"/>
        <v>16.171572000000001</v>
      </c>
      <c r="L111" s="80">
        <f t="shared" si="96"/>
        <v>10.84834875</v>
      </c>
      <c r="M111" s="80">
        <f t="shared" si="96"/>
        <v>6.007968299999999</v>
      </c>
      <c r="N111" s="66">
        <f t="shared" si="72"/>
        <v>14.235307358333332</v>
      </c>
    </row>
  </sheetData>
  <mergeCells count="5">
    <mergeCell ref="A1:Z1"/>
    <mergeCell ref="A3:N3"/>
    <mergeCell ref="A30:N30"/>
    <mergeCell ref="A57:N57"/>
    <mergeCell ref="A84:N84"/>
  </mergeCells>
  <phoneticPr fontId="5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topLeftCell="A12" zoomScaleNormal="100" workbookViewId="0">
      <selection activeCell="G13" sqref="G13"/>
    </sheetView>
  </sheetViews>
  <sheetFormatPr defaultColWidth="7.625" defaultRowHeight="15"/>
  <cols>
    <col min="1" max="1" width="7.875" style="59" customWidth="1"/>
    <col min="2" max="2" width="17.5" style="59" customWidth="1"/>
    <col min="3" max="4" width="6.125" style="59" customWidth="1"/>
    <col min="5" max="5" width="30.625" style="59" customWidth="1"/>
    <col min="6" max="14" width="6.125" style="59" customWidth="1"/>
    <col min="15" max="15" width="9.625" style="59" customWidth="1"/>
    <col min="16" max="16" width="8.75" style="59" customWidth="1"/>
    <col min="17" max="18" width="7" style="59" customWidth="1"/>
    <col min="19" max="16384" width="7.625" style="59"/>
  </cols>
  <sheetData>
    <row r="1" spans="1:18" ht="27.75" customHeight="1">
      <c r="A1" s="188" t="s">
        <v>354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</row>
    <row r="3" spans="1:18" ht="21.75" customHeight="1">
      <c r="A3" s="178" t="s">
        <v>355</v>
      </c>
      <c r="B3" s="178"/>
      <c r="C3" s="178"/>
      <c r="D3" s="178"/>
    </row>
    <row r="4" spans="1:18" ht="21.75" customHeight="1">
      <c r="A4" s="185" t="s">
        <v>356</v>
      </c>
      <c r="B4" s="185"/>
      <c r="C4" s="185"/>
      <c r="D4" s="82">
        <v>55</v>
      </c>
      <c r="E4" s="187" t="s">
        <v>357</v>
      </c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</row>
    <row r="5" spans="1:18" ht="21.75" customHeight="1">
      <c r="A5" s="185" t="s">
        <v>358</v>
      </c>
      <c r="B5" s="185"/>
      <c r="C5" s="185"/>
      <c r="D5" s="83">
        <v>0.5</v>
      </c>
      <c r="E5" s="187" t="s">
        <v>359</v>
      </c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</row>
    <row r="6" spans="1:18" ht="21.75" customHeight="1">
      <c r="A6" s="185" t="s">
        <v>360</v>
      </c>
      <c r="B6" s="185"/>
      <c r="C6" s="185"/>
      <c r="D6" s="82">
        <v>18</v>
      </c>
      <c r="E6" s="186" t="s">
        <v>361</v>
      </c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</row>
    <row r="7" spans="1:18" ht="21.75" customHeight="1">
      <c r="A7" s="185" t="s">
        <v>362</v>
      </c>
      <c r="B7" s="185"/>
      <c r="C7" s="185"/>
      <c r="D7" s="84">
        <v>3</v>
      </c>
      <c r="E7" s="187" t="s">
        <v>363</v>
      </c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</row>
    <row r="9" spans="1:18" ht="18" customHeight="1">
      <c r="A9" s="187" t="s">
        <v>364</v>
      </c>
      <c r="B9" s="187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</row>
    <row r="11" spans="1:18" ht="24" customHeight="1">
      <c r="A11" s="85" t="s">
        <v>31</v>
      </c>
      <c r="B11" s="85" t="s">
        <v>365</v>
      </c>
      <c r="C11" s="86" t="s">
        <v>336</v>
      </c>
      <c r="D11" s="86" t="s">
        <v>337</v>
      </c>
      <c r="E11" s="86" t="s">
        <v>338</v>
      </c>
      <c r="F11" s="86" t="s">
        <v>339</v>
      </c>
      <c r="G11" s="86" t="s">
        <v>340</v>
      </c>
      <c r="H11" s="86" t="s">
        <v>341</v>
      </c>
      <c r="I11" s="86" t="s">
        <v>342</v>
      </c>
      <c r="J11" s="86" t="s">
        <v>343</v>
      </c>
      <c r="K11" s="86" t="s">
        <v>344</v>
      </c>
      <c r="L11" s="86" t="s">
        <v>345</v>
      </c>
      <c r="M11" s="86" t="s">
        <v>346</v>
      </c>
      <c r="N11" s="86" t="s">
        <v>347</v>
      </c>
      <c r="O11" s="85" t="s">
        <v>366</v>
      </c>
      <c r="P11" s="87" t="s">
        <v>367</v>
      </c>
      <c r="Q11" s="88" t="s">
        <v>368</v>
      </c>
      <c r="R11" s="88" t="s">
        <v>369</v>
      </c>
    </row>
    <row r="12" spans="1:18" ht="19.5" customHeight="1">
      <c r="A12" s="89" t="s">
        <v>370</v>
      </c>
      <c r="B12" s="90" t="s">
        <v>371</v>
      </c>
      <c r="C12" s="63">
        <f>외기온도_시간분포!B5</f>
        <v>-9.1999999999999993</v>
      </c>
      <c r="D12" s="63">
        <f>외기온도_시간분포!C5</f>
        <v>-6.3</v>
      </c>
      <c r="E12" s="63">
        <f>외기온도_시간분포!D5</f>
        <v>0.3</v>
      </c>
      <c r="F12" s="63">
        <f>외기온도_시간분포!E5</f>
        <v>8.4</v>
      </c>
      <c r="G12" s="63">
        <f>외기온도_시간분포!F5</f>
        <v>15</v>
      </c>
      <c r="H12" s="63">
        <f>외기온도_시간분포!G5</f>
        <v>19.600000000000001</v>
      </c>
      <c r="I12" s="63">
        <f>외기온도_시간분포!H5</f>
        <v>24.1</v>
      </c>
      <c r="J12" s="63">
        <f>외기온도_시간분포!I5</f>
        <v>24.3</v>
      </c>
      <c r="K12" s="63">
        <f>외기온도_시간분포!J5</f>
        <v>17.8</v>
      </c>
      <c r="L12" s="63">
        <f>외기온도_시간분포!K5</f>
        <v>9.8000000000000007</v>
      </c>
      <c r="M12" s="63">
        <f>외기온도_시간분포!L5</f>
        <v>1.5</v>
      </c>
      <c r="N12" s="63">
        <f>외기온도_시간분포!M5</f>
        <v>-6.8</v>
      </c>
      <c r="O12" s="63">
        <f>AVERAGE(C12:N12)</f>
        <v>8.2083333333333339</v>
      </c>
      <c r="P12" s="182">
        <f>IFERROR(SUMPRODUCT(C13:N13,C14:N14)/SUM(C13:N13),0)</f>
        <v>2.8965836910861085</v>
      </c>
      <c r="Q12" s="183">
        <f>$D$7</f>
        <v>3</v>
      </c>
      <c r="R12" s="184" t="str">
        <f>IF(P12&gt;=$D$7,"✓ 달성","✗ 미달")</f>
        <v>✗ 미달</v>
      </c>
    </row>
    <row r="13" spans="1:18" ht="19.5" customHeight="1">
      <c r="A13" s="91"/>
      <c r="B13" s="92" t="s">
        <v>372</v>
      </c>
      <c r="C13" s="93">
        <f>MAX(0,$D$6-C12)*31</f>
        <v>843.19999999999993</v>
      </c>
      <c r="D13" s="93">
        <f>MAX(0,$D$6-D12)*28</f>
        <v>680.4</v>
      </c>
      <c r="E13" s="93">
        <f>MAX(0,$D$6-E12)*31</f>
        <v>548.69999999999993</v>
      </c>
      <c r="F13" s="93">
        <f>MAX(0,$D$6-F12)*30</f>
        <v>288</v>
      </c>
      <c r="G13" s="93">
        <f>MAX(0,$D$6-G12)*31</f>
        <v>93</v>
      </c>
      <c r="H13" s="93">
        <f>MAX(0,$D$6-H12)*30</f>
        <v>0</v>
      </c>
      <c r="I13" s="93">
        <f>MAX(0,$D$6-I12)*31</f>
        <v>0</v>
      </c>
      <c r="J13" s="93">
        <f>MAX(0,$D$6-J12)*31</f>
        <v>0</v>
      </c>
      <c r="K13" s="93">
        <f>MAX(0,$D$6-K12)*30</f>
        <v>5.9999999999999787</v>
      </c>
      <c r="L13" s="93">
        <f>MAX(0,$D$6-L12)*31</f>
        <v>254.2</v>
      </c>
      <c r="M13" s="93">
        <f>MAX(0,$D$6-M12)*30</f>
        <v>495</v>
      </c>
      <c r="N13" s="93">
        <f>MAX(0,$D$6-N12)*31</f>
        <v>768.80000000000007</v>
      </c>
      <c r="O13" s="94">
        <f>SUM(C13:N13)</f>
        <v>3977.2999999999997</v>
      </c>
      <c r="P13" s="182"/>
      <c r="Q13" s="183"/>
      <c r="R13" s="183"/>
    </row>
    <row r="14" spans="1:18" ht="21.75" customHeight="1">
      <c r="A14" s="91"/>
      <c r="B14" s="92" t="s">
        <v>373</v>
      </c>
      <c r="C14" s="95">
        <f t="shared" ref="C14:N14" si="0">$D$5*($D$4+273)/MAX(1,$D$4-C12)</f>
        <v>2.5545171339563861</v>
      </c>
      <c r="D14" s="95">
        <f t="shared" si="0"/>
        <v>2.67536704730832</v>
      </c>
      <c r="E14" s="95">
        <f t="shared" si="0"/>
        <v>2.9981718464351004</v>
      </c>
      <c r="F14" s="95">
        <f>$D$5*($D$4+273)/MAX(1,$D$4-F12)</f>
        <v>3.5193133047210301</v>
      </c>
      <c r="G14" s="95">
        <f t="shared" si="0"/>
        <v>4.0999999999999996</v>
      </c>
      <c r="H14" s="95">
        <f t="shared" si="0"/>
        <v>4.6327683615819213</v>
      </c>
      <c r="I14" s="95">
        <f t="shared" si="0"/>
        <v>5.3074433656957929</v>
      </c>
      <c r="J14" s="95">
        <f t="shared" si="0"/>
        <v>5.3420195439739411</v>
      </c>
      <c r="K14" s="95">
        <f t="shared" si="0"/>
        <v>4.408602150537634</v>
      </c>
      <c r="L14" s="95">
        <f t="shared" si="0"/>
        <v>3.6283185840707963</v>
      </c>
      <c r="M14" s="95">
        <f t="shared" si="0"/>
        <v>3.0654205607476634</v>
      </c>
      <c r="N14" s="95">
        <f t="shared" si="0"/>
        <v>2.6537216828478964</v>
      </c>
      <c r="O14" s="96">
        <f>AVERAGE(C14:N14)</f>
        <v>3.7404719651563734</v>
      </c>
      <c r="P14" s="182"/>
      <c r="Q14" s="183"/>
      <c r="R14" s="183"/>
    </row>
    <row r="15" spans="1:18" ht="6" customHeight="1"/>
    <row r="16" spans="1:18" ht="19.5" customHeight="1">
      <c r="A16" s="97" t="s">
        <v>374</v>
      </c>
      <c r="B16" s="98" t="s">
        <v>371</v>
      </c>
      <c r="C16" s="70">
        <f>외기온도_시간분포!B32</f>
        <v>-1.8</v>
      </c>
      <c r="D16" s="70">
        <f>외기온도_시간분포!C32</f>
        <v>0.8</v>
      </c>
      <c r="E16" s="70">
        <f>외기온도_시간분포!D32</f>
        <v>6.5</v>
      </c>
      <c r="F16" s="70">
        <f>외기온도_시간분포!E32</f>
        <v>13.2</v>
      </c>
      <c r="G16" s="70">
        <f>외기온도_시간분포!F32</f>
        <v>18.5</v>
      </c>
      <c r="H16" s="70">
        <f>외기온도_시간분포!G32</f>
        <v>23</v>
      </c>
      <c r="I16" s="70">
        <f>외기온도_시간분포!H32</f>
        <v>26.4</v>
      </c>
      <c r="J16" s="70">
        <f>외기온도_시간분포!I32</f>
        <v>27.1</v>
      </c>
      <c r="K16" s="70">
        <f>외기온도_시간분포!J32</f>
        <v>22</v>
      </c>
      <c r="L16" s="70">
        <f>외기온도_시간분포!K32</f>
        <v>15.2</v>
      </c>
      <c r="M16" s="70">
        <f>외기온도_시간분포!L32</f>
        <v>7.5</v>
      </c>
      <c r="N16" s="70">
        <f>외기온도_시간분포!M32</f>
        <v>0.5</v>
      </c>
      <c r="O16" s="70">
        <f>AVERAGE(C16:N16)</f>
        <v>13.241666666666665</v>
      </c>
      <c r="P16" s="182">
        <f>IFERROR(SUMPRODUCT(C17:N17,C18:N18)/SUM(C17:N17),0)</f>
        <v>3.1799323891634077</v>
      </c>
      <c r="Q16" s="183">
        <f>$D$7</f>
        <v>3</v>
      </c>
      <c r="R16" s="184" t="str">
        <f>IF(P16&gt;=$D$7,"✓ 달성","✗ 미달")</f>
        <v>✓ 달성</v>
      </c>
    </row>
    <row r="17" spans="1:18" ht="19.5" customHeight="1">
      <c r="A17" s="99"/>
      <c r="B17" s="100" t="s">
        <v>372</v>
      </c>
      <c r="C17" s="101">
        <f>MAX(0,$D$6-C16)*31</f>
        <v>613.80000000000007</v>
      </c>
      <c r="D17" s="101">
        <f>MAX(0,$D$6-D16)*28</f>
        <v>481.59999999999997</v>
      </c>
      <c r="E17" s="101">
        <f>MAX(0,$D$6-E16)*31</f>
        <v>356.5</v>
      </c>
      <c r="F17" s="101">
        <f>MAX(0,$D$6-F16)*30</f>
        <v>144.00000000000003</v>
      </c>
      <c r="G17" s="101">
        <f>MAX(0,$D$6-G16)*31</f>
        <v>0</v>
      </c>
      <c r="H17" s="101">
        <f>MAX(0,$D$6-H16)*30</f>
        <v>0</v>
      </c>
      <c r="I17" s="101">
        <f>MAX(0,$D$6-I16)*31</f>
        <v>0</v>
      </c>
      <c r="J17" s="101">
        <f>MAX(0,$D$6-J16)*31</f>
        <v>0</v>
      </c>
      <c r="K17" s="101">
        <f>MAX(0,$D$6-K16)*30</f>
        <v>0</v>
      </c>
      <c r="L17" s="101">
        <f>MAX(0,$D$6-L16)*31</f>
        <v>86.800000000000026</v>
      </c>
      <c r="M17" s="101">
        <f>MAX(0,$D$6-M16)*30</f>
        <v>315</v>
      </c>
      <c r="N17" s="101">
        <f>MAX(0,$D$6-N16)*31</f>
        <v>542.5</v>
      </c>
      <c r="O17" s="102">
        <f>SUM(C17:N17)</f>
        <v>2540.1999999999998</v>
      </c>
      <c r="P17" s="182"/>
      <c r="Q17" s="183"/>
      <c r="R17" s="183"/>
    </row>
    <row r="18" spans="1:18" ht="21.75" customHeight="1">
      <c r="A18" s="99"/>
      <c r="B18" s="100" t="s">
        <v>373</v>
      </c>
      <c r="C18" s="103">
        <f t="shared" ref="C18:N18" si="1">$D$5*($D$4+273)/MAX(1,$D$4-C16)</f>
        <v>2.887323943661972</v>
      </c>
      <c r="D18" s="103">
        <f t="shared" si="1"/>
        <v>3.0258302583025829</v>
      </c>
      <c r="E18" s="103">
        <f t="shared" si="1"/>
        <v>3.3814432989690721</v>
      </c>
      <c r="F18" s="103">
        <f t="shared" si="1"/>
        <v>3.9234449760765555</v>
      </c>
      <c r="G18" s="103">
        <f t="shared" si="1"/>
        <v>4.493150684931507</v>
      </c>
      <c r="H18" s="103">
        <f t="shared" si="1"/>
        <v>5.125</v>
      </c>
      <c r="I18" s="103">
        <f t="shared" si="1"/>
        <v>5.7342657342657342</v>
      </c>
      <c r="J18" s="103">
        <f t="shared" si="1"/>
        <v>5.8781362007168463</v>
      </c>
      <c r="K18" s="103">
        <f t="shared" si="1"/>
        <v>4.9696969696969697</v>
      </c>
      <c r="L18" s="103">
        <f t="shared" si="1"/>
        <v>4.1206030150753774</v>
      </c>
      <c r="M18" s="103">
        <f t="shared" si="1"/>
        <v>3.4526315789473685</v>
      </c>
      <c r="N18" s="103">
        <f t="shared" si="1"/>
        <v>3.0091743119266057</v>
      </c>
      <c r="O18" s="104">
        <f>AVERAGE(C18:N18)</f>
        <v>4.1667250810475496</v>
      </c>
      <c r="P18" s="182"/>
      <c r="Q18" s="183"/>
      <c r="R18" s="183"/>
    </row>
    <row r="19" spans="1:18" ht="6" customHeight="1"/>
    <row r="20" spans="1:18" ht="19.5" customHeight="1">
      <c r="A20" s="105" t="s">
        <v>375</v>
      </c>
      <c r="B20" s="106" t="s">
        <v>371</v>
      </c>
      <c r="C20" s="75">
        <f>외기온도_시간분포!B59</f>
        <v>3.8</v>
      </c>
      <c r="D20" s="75">
        <f>외기온도_시간분포!C59</f>
        <v>5.4</v>
      </c>
      <c r="E20" s="75">
        <f>외기온도_시간분포!D59</f>
        <v>9.5</v>
      </c>
      <c r="F20" s="75">
        <f>외기온도_시간분포!E59</f>
        <v>15.2</v>
      </c>
      <c r="G20" s="75">
        <f>외기온도_시간분포!F59</f>
        <v>19.5</v>
      </c>
      <c r="H20" s="75">
        <f>외기온도_시간분포!G59</f>
        <v>22.5</v>
      </c>
      <c r="I20" s="75">
        <f>외기온도_시간분포!H59</f>
        <v>26</v>
      </c>
      <c r="J20" s="75">
        <f>외기온도_시간분포!I59</f>
        <v>27.2</v>
      </c>
      <c r="K20" s="75">
        <f>외기온도_시간분포!J59</f>
        <v>23.2</v>
      </c>
      <c r="L20" s="75">
        <f>외기온도_시간분포!K59</f>
        <v>17.5</v>
      </c>
      <c r="M20" s="75">
        <f>외기온도_시간분포!L59</f>
        <v>11.2</v>
      </c>
      <c r="N20" s="75">
        <f>외기온도_시간분포!M59</f>
        <v>5.5</v>
      </c>
      <c r="O20" s="75">
        <f>AVERAGE(C20:N20)</f>
        <v>15.541666666666664</v>
      </c>
      <c r="P20" s="182">
        <f>IFERROR(SUMPRODUCT(C21:N21,C22:N22)/SUM(C21:N21),0)</f>
        <v>3.4265415256081484</v>
      </c>
      <c r="Q20" s="183">
        <f>$D$7</f>
        <v>3</v>
      </c>
      <c r="R20" s="184" t="str">
        <f>IF(P20&gt;=$D$7,"✓ 달성","✗ 미달")</f>
        <v>✓ 달성</v>
      </c>
    </row>
    <row r="21" spans="1:18" ht="19.5" customHeight="1">
      <c r="A21" s="107"/>
      <c r="B21" s="108" t="s">
        <v>372</v>
      </c>
      <c r="C21" s="109">
        <f>MAX(0,$D$6-C20)*31</f>
        <v>440.2</v>
      </c>
      <c r="D21" s="109">
        <f>MAX(0,$D$6-D20)*28</f>
        <v>352.8</v>
      </c>
      <c r="E21" s="109">
        <f>MAX(0,$D$6-E20)*31</f>
        <v>263.5</v>
      </c>
      <c r="F21" s="109">
        <f>MAX(0,$D$6-F20)*30</f>
        <v>84.000000000000028</v>
      </c>
      <c r="G21" s="109">
        <f>MAX(0,$D$6-G20)*31</f>
        <v>0</v>
      </c>
      <c r="H21" s="109">
        <f>MAX(0,$D$6-H20)*30</f>
        <v>0</v>
      </c>
      <c r="I21" s="109">
        <f>MAX(0,$D$6-I20)*31</f>
        <v>0</v>
      </c>
      <c r="J21" s="109">
        <f>MAX(0,$D$6-J20)*31</f>
        <v>0</v>
      </c>
      <c r="K21" s="109">
        <f>MAX(0,$D$6-K20)*30</f>
        <v>0</v>
      </c>
      <c r="L21" s="109">
        <f>MAX(0,$D$6-L20)*31</f>
        <v>15.5</v>
      </c>
      <c r="M21" s="109">
        <f>MAX(0,$D$6-M20)*30</f>
        <v>204.00000000000003</v>
      </c>
      <c r="N21" s="109">
        <f>MAX(0,$D$6-N20)*31</f>
        <v>387.5</v>
      </c>
      <c r="O21" s="110">
        <f>SUM(C21:N21)</f>
        <v>1747.5</v>
      </c>
      <c r="P21" s="182"/>
      <c r="Q21" s="183"/>
      <c r="R21" s="183"/>
    </row>
    <row r="22" spans="1:18" ht="21.75" customHeight="1">
      <c r="A22" s="107"/>
      <c r="B22" s="108" t="s">
        <v>373</v>
      </c>
      <c r="C22" s="111">
        <f t="shared" ref="C22:N22" si="2">$D$5*($D$4+273)/MAX(1,$D$4-C20)</f>
        <v>3.203125</v>
      </c>
      <c r="D22" s="111">
        <f t="shared" si="2"/>
        <v>3.3064516129032255</v>
      </c>
      <c r="E22" s="111">
        <f t="shared" si="2"/>
        <v>3.6043956043956045</v>
      </c>
      <c r="F22" s="111">
        <f t="shared" si="2"/>
        <v>4.1206030150753774</v>
      </c>
      <c r="G22" s="111">
        <f t="shared" si="2"/>
        <v>4.619718309859155</v>
      </c>
      <c r="H22" s="111">
        <f t="shared" si="2"/>
        <v>5.046153846153846</v>
      </c>
      <c r="I22" s="111">
        <f t="shared" si="2"/>
        <v>5.6551724137931032</v>
      </c>
      <c r="J22" s="111">
        <f t="shared" si="2"/>
        <v>5.8992805755395681</v>
      </c>
      <c r="K22" s="111">
        <f t="shared" si="2"/>
        <v>5.1572327044025155</v>
      </c>
      <c r="L22" s="111">
        <f t="shared" si="2"/>
        <v>4.3733333333333331</v>
      </c>
      <c r="M22" s="111">
        <f t="shared" si="2"/>
        <v>3.7442922374429228</v>
      </c>
      <c r="N22" s="111">
        <f t="shared" si="2"/>
        <v>3.3131313131313131</v>
      </c>
      <c r="O22" s="112">
        <f>AVERAGE(C22:N22)</f>
        <v>4.3369074971691637</v>
      </c>
      <c r="P22" s="182"/>
      <c r="Q22" s="183"/>
      <c r="R22" s="183"/>
    </row>
    <row r="23" spans="1:18" ht="6" customHeight="1"/>
    <row r="24" spans="1:18" ht="19.5" customHeight="1">
      <c r="A24" s="113" t="s">
        <v>376</v>
      </c>
      <c r="B24" s="114" t="s">
        <v>371</v>
      </c>
      <c r="C24" s="80">
        <f>외기온도_시간분포!B86</f>
        <v>6.2</v>
      </c>
      <c r="D24" s="80">
        <f>외기온도_시간분포!C86</f>
        <v>7</v>
      </c>
      <c r="E24" s="80">
        <f>외기온도_시간분포!D86</f>
        <v>10.5</v>
      </c>
      <c r="F24" s="80">
        <f>외기온도_시간분포!E86</f>
        <v>15.2</v>
      </c>
      <c r="G24" s="80">
        <f>외기온도_시간분포!F86</f>
        <v>19.5</v>
      </c>
      <c r="H24" s="80">
        <f>외기온도_시간분포!G86</f>
        <v>23</v>
      </c>
      <c r="I24" s="80">
        <f>외기온도_시간분포!H86</f>
        <v>27.2</v>
      </c>
      <c r="J24" s="80">
        <f>외기온도_시간분포!I86</f>
        <v>28</v>
      </c>
      <c r="K24" s="80">
        <f>외기온도_시간분포!J86</f>
        <v>24</v>
      </c>
      <c r="L24" s="80">
        <f>외기온도_시간분포!K86</f>
        <v>19</v>
      </c>
      <c r="M24" s="80">
        <f>외기온도_시간분포!L86</f>
        <v>13.5</v>
      </c>
      <c r="N24" s="80">
        <f>외기온도_시간분포!M86</f>
        <v>8.1999999999999993</v>
      </c>
      <c r="O24" s="80">
        <f>AVERAGE(C24:N24)</f>
        <v>16.775000000000002</v>
      </c>
      <c r="P24" s="182">
        <f>IFERROR(SUMPRODUCT(C25:N25,C26:N26)/SUM(C25:N25),0)</f>
        <v>3.5566006959193195</v>
      </c>
      <c r="Q24" s="183">
        <f>$D$7</f>
        <v>3</v>
      </c>
      <c r="R24" s="184" t="str">
        <f>IF(P24&gt;=$D$7,"✓ 달성","✗ 미달")</f>
        <v>✓ 달성</v>
      </c>
    </row>
    <row r="25" spans="1:18" ht="19.5" customHeight="1">
      <c r="A25" s="115"/>
      <c r="B25" s="116" t="s">
        <v>372</v>
      </c>
      <c r="C25" s="117">
        <f>MAX(0,$D$6-C24)*31</f>
        <v>365.8</v>
      </c>
      <c r="D25" s="117">
        <f>MAX(0,$D$6-D24)*28</f>
        <v>308</v>
      </c>
      <c r="E25" s="117">
        <f>MAX(0,$D$6-E24)*31</f>
        <v>232.5</v>
      </c>
      <c r="F25" s="117">
        <f>MAX(0,$D$6-F24)*30</f>
        <v>84.000000000000028</v>
      </c>
      <c r="G25" s="117">
        <f>MAX(0,$D$6-G24)*31</f>
        <v>0</v>
      </c>
      <c r="H25" s="117">
        <f>MAX(0,$D$6-H24)*30</f>
        <v>0</v>
      </c>
      <c r="I25" s="117">
        <f>MAX(0,$D$6-I24)*31</f>
        <v>0</v>
      </c>
      <c r="J25" s="117">
        <f>MAX(0,$D$6-J24)*31</f>
        <v>0</v>
      </c>
      <c r="K25" s="117">
        <f>MAX(0,$D$6-K24)*30</f>
        <v>0</v>
      </c>
      <c r="L25" s="117">
        <f>MAX(0,$D$6-L24)*31</f>
        <v>0</v>
      </c>
      <c r="M25" s="117">
        <f>MAX(0,$D$6-M24)*30</f>
        <v>135</v>
      </c>
      <c r="N25" s="117">
        <f>MAX(0,$D$6-N24)*31</f>
        <v>303.8</v>
      </c>
      <c r="O25" s="118">
        <f>SUM(C25:N25)</f>
        <v>1429.1</v>
      </c>
      <c r="P25" s="182"/>
      <c r="Q25" s="183"/>
      <c r="R25" s="183"/>
    </row>
    <row r="26" spans="1:18" ht="21.75" customHeight="1">
      <c r="A26" s="115"/>
      <c r="B26" s="116" t="s">
        <v>373</v>
      </c>
      <c r="C26" s="119">
        <f t="shared" ref="C26:N26" si="3">$D$5*($D$4+273)/MAX(1,$D$4-C24)</f>
        <v>3.3606557377049184</v>
      </c>
      <c r="D26" s="119">
        <f t="shared" si="3"/>
        <v>3.4166666666666665</v>
      </c>
      <c r="E26" s="119">
        <f t="shared" si="3"/>
        <v>3.6853932584269664</v>
      </c>
      <c r="F26" s="119">
        <f t="shared" si="3"/>
        <v>4.1206030150753774</v>
      </c>
      <c r="G26" s="119">
        <f t="shared" si="3"/>
        <v>4.619718309859155</v>
      </c>
      <c r="H26" s="119">
        <f t="shared" si="3"/>
        <v>5.125</v>
      </c>
      <c r="I26" s="119">
        <f t="shared" si="3"/>
        <v>5.8992805755395681</v>
      </c>
      <c r="J26" s="119">
        <f t="shared" si="3"/>
        <v>6.0740740740740744</v>
      </c>
      <c r="K26" s="119">
        <f t="shared" si="3"/>
        <v>5.290322580645161</v>
      </c>
      <c r="L26" s="119">
        <f t="shared" si="3"/>
        <v>4.5555555555555554</v>
      </c>
      <c r="M26" s="119">
        <f t="shared" si="3"/>
        <v>3.9518072289156625</v>
      </c>
      <c r="N26" s="119">
        <f t="shared" si="3"/>
        <v>3.5042735042735047</v>
      </c>
      <c r="O26" s="120">
        <f>AVERAGE(C26:N26)</f>
        <v>4.4669458755613842</v>
      </c>
      <c r="P26" s="182"/>
      <c r="Q26" s="183"/>
      <c r="R26" s="183"/>
    </row>
    <row r="27" spans="1:18" ht="6" customHeight="1"/>
  </sheetData>
  <mergeCells count="23">
    <mergeCell ref="A1:R1"/>
    <mergeCell ref="A3:D3"/>
    <mergeCell ref="A4:C4"/>
    <mergeCell ref="E4:R4"/>
    <mergeCell ref="A5:C5"/>
    <mergeCell ref="E5:R5"/>
    <mergeCell ref="A6:C6"/>
    <mergeCell ref="E6:R6"/>
    <mergeCell ref="A7:C7"/>
    <mergeCell ref="E7:R7"/>
    <mergeCell ref="A9:R9"/>
    <mergeCell ref="P12:P14"/>
    <mergeCell ref="Q12:Q14"/>
    <mergeCell ref="R12:R14"/>
    <mergeCell ref="P16:P18"/>
    <mergeCell ref="Q16:Q18"/>
    <mergeCell ref="R16:R18"/>
    <mergeCell ref="P20:P22"/>
    <mergeCell ref="Q20:Q22"/>
    <mergeCell ref="R20:R22"/>
    <mergeCell ref="P24:P26"/>
    <mergeCell ref="Q24:Q26"/>
    <mergeCell ref="R24:R26"/>
  </mergeCells>
  <phoneticPr fontId="52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X264"/>
  <sheetViews>
    <sheetView topLeftCell="H151" zoomScale="60" zoomScaleNormal="60" workbookViewId="0">
      <selection activeCell="G161" sqref="A161:XFD161"/>
    </sheetView>
  </sheetViews>
  <sheetFormatPr defaultColWidth="8.5" defaultRowHeight="16.5"/>
  <cols>
    <col min="2" max="2" width="16.25" style="1" customWidth="1"/>
    <col min="3" max="3" width="43.75" customWidth="1"/>
    <col min="4" max="4" width="15.75" style="1" customWidth="1"/>
    <col min="7" max="7" width="18.375" bestFit="1" customWidth="1"/>
    <col min="8" max="8" width="27.875" customWidth="1"/>
    <col min="9" max="9" width="27.3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bestFit="1" customWidth="1"/>
  </cols>
  <sheetData>
    <row r="3" spans="2:50">
      <c r="AK3" t="s">
        <v>415</v>
      </c>
    </row>
    <row r="4" spans="2:50">
      <c r="C4" s="6" t="s">
        <v>377</v>
      </c>
      <c r="S4" t="s">
        <v>378</v>
      </c>
      <c r="T4" s="6" t="s">
        <v>379</v>
      </c>
      <c r="U4" s="6" t="s">
        <v>380</v>
      </c>
      <c r="AK4" t="s">
        <v>416</v>
      </c>
      <c r="AM4" t="s">
        <v>417</v>
      </c>
      <c r="AN4" t="s">
        <v>418</v>
      </c>
      <c r="AO4" t="s">
        <v>419</v>
      </c>
      <c r="AP4" t="s">
        <v>420</v>
      </c>
      <c r="AQ4" t="s">
        <v>421</v>
      </c>
      <c r="AR4" t="s">
        <v>422</v>
      </c>
      <c r="AS4" t="s">
        <v>423</v>
      </c>
      <c r="AT4" t="s">
        <v>424</v>
      </c>
      <c r="AU4" t="s">
        <v>425</v>
      </c>
      <c r="AV4" t="s">
        <v>426</v>
      </c>
      <c r="AW4" t="s">
        <v>427</v>
      </c>
      <c r="AX4" t="s">
        <v>428</v>
      </c>
    </row>
    <row r="5" spans="2:50">
      <c r="B5" s="6" t="s">
        <v>381</v>
      </c>
      <c r="D5" s="6" t="s">
        <v>382</v>
      </c>
      <c r="H5" s="138" t="s">
        <v>413</v>
      </c>
      <c r="I5" s="139" t="s">
        <v>383</v>
      </c>
      <c r="J5" s="139" t="s">
        <v>384</v>
      </c>
      <c r="K5" s="139" t="s">
        <v>385</v>
      </c>
      <c r="L5" s="139" t="s">
        <v>386</v>
      </c>
      <c r="M5" s="139" t="s">
        <v>387</v>
      </c>
      <c r="N5" s="139" t="s">
        <v>388</v>
      </c>
      <c r="O5" s="139" t="s">
        <v>389</v>
      </c>
      <c r="P5" s="139" t="s">
        <v>390</v>
      </c>
      <c r="Q5" s="139" t="s">
        <v>391</v>
      </c>
      <c r="R5" s="139" t="s">
        <v>412</v>
      </c>
      <c r="S5" s="140">
        <f>SUM(R6:R17)</f>
        <v>851493.48313805694</v>
      </c>
      <c r="T5" s="140">
        <f>Sheet2!O18</f>
        <v>1157329.3336407086</v>
      </c>
      <c r="U5" s="141">
        <f>(T5-S5)/T5</f>
        <v>0.26426000068671723</v>
      </c>
      <c r="AK5" s="9" t="s">
        <v>93</v>
      </c>
      <c r="AM5">
        <v>53.059104000000012</v>
      </c>
      <c r="AN5">
        <v>79.802604000000002</v>
      </c>
      <c r="AO5">
        <v>92.616561000000019</v>
      </c>
      <c r="AP5">
        <v>104.98734000000002</v>
      </c>
      <c r="AQ5">
        <v>98.064594000000014</v>
      </c>
      <c r="AR5">
        <v>96.96429000000002</v>
      </c>
      <c r="AS5">
        <v>95.222142000000005</v>
      </c>
      <c r="AT5">
        <v>72.719397000000015</v>
      </c>
      <c r="AU5">
        <v>56.619810000000015</v>
      </c>
      <c r="AV5">
        <v>67.745106000000007</v>
      </c>
      <c r="AW5">
        <v>65.559780000000003</v>
      </c>
      <c r="AX5">
        <v>49.979781000000003</v>
      </c>
    </row>
    <row r="6" spans="2:50">
      <c r="B6" t="s">
        <v>392</v>
      </c>
      <c r="C6" s="121">
        <v>910</v>
      </c>
      <c r="D6" s="6" t="s">
        <v>393</v>
      </c>
      <c r="E6">
        <v>120</v>
      </c>
      <c r="H6" s="142"/>
      <c r="I6">
        <v>1</v>
      </c>
      <c r="J6">
        <f>IF((Sheet2!C54+C23)&lt;=200, 910, IF((Sheet2!C54+C23)&lt;=400, 1600, 7300))</f>
        <v>7300</v>
      </c>
      <c r="K6" s="143">
        <f>INT(IF((Sheet2!C54+C23)&lt;=200, (Sheet2!C54+C23)*120, IF((Sheet2!C54+C23)&lt;=400, 24000+((Sheet2!C54+C23)-200)*214.6, 66920+((Sheet2!C54+C23)-400)*307.3)))</f>
        <v>225172</v>
      </c>
      <c r="L6" s="143">
        <f>INT((Sheet2!C54+C23)*9)</f>
        <v>8234</v>
      </c>
      <c r="M6" s="143">
        <f>INT((Sheet2!C54+C23)*5)</f>
        <v>4574</v>
      </c>
      <c r="N6" s="143">
        <f t="shared" ref="N6:N17" si="0">SUM(J6:M6)</f>
        <v>245280</v>
      </c>
      <c r="O6" s="143">
        <f t="shared" ref="O6:O17" si="1">ROUND(N6*0.1, 0)</f>
        <v>24528</v>
      </c>
      <c r="P6" s="143">
        <f t="shared" ref="P6:P17" si="2">FLOOR(N6*0.027, 10)</f>
        <v>6620</v>
      </c>
      <c r="Q6" s="143">
        <f t="shared" ref="Q6:Q17" si="3">FLOOR(N6+O6+P6, 10)</f>
        <v>276420</v>
      </c>
      <c r="R6" s="143">
        <f>Q6*(Sheet2!C54/(Sheet2!C54+C23))</f>
        <v>184126.65801198245</v>
      </c>
      <c r="S6" s="144"/>
      <c r="T6" s="144"/>
      <c r="U6" s="145"/>
      <c r="AK6" s="9" t="s">
        <v>98</v>
      </c>
      <c r="AM6">
        <v>53.059104000000012</v>
      </c>
      <c r="AN6">
        <v>79.802604000000002</v>
      </c>
      <c r="AO6">
        <v>92.616561000000019</v>
      </c>
      <c r="AP6">
        <v>104.98734000000002</v>
      </c>
      <c r="AQ6">
        <v>98.064594000000014</v>
      </c>
      <c r="AR6">
        <v>96.96429000000002</v>
      </c>
      <c r="AS6">
        <v>95.222142000000005</v>
      </c>
      <c r="AT6">
        <v>72.719397000000015</v>
      </c>
      <c r="AU6">
        <v>56.619810000000015</v>
      </c>
      <c r="AV6">
        <v>67.745106000000007</v>
      </c>
      <c r="AW6">
        <v>65.559780000000003</v>
      </c>
      <c r="AX6">
        <v>49.979781000000003</v>
      </c>
    </row>
    <row r="7" spans="2:50">
      <c r="B7" t="s">
        <v>394</v>
      </c>
      <c r="C7" s="121">
        <v>1600</v>
      </c>
      <c r="D7" s="6" t="s">
        <v>395</v>
      </c>
      <c r="E7">
        <v>214.6</v>
      </c>
      <c r="H7" s="142"/>
      <c r="I7">
        <v>2</v>
      </c>
      <c r="J7">
        <f>IF((Sheet2!D54+C24)&lt;=200, 910, IF((Sheet2!D54+C24)&lt;=400, 1600, 7300))</f>
        <v>7300</v>
      </c>
      <c r="K7" s="143">
        <f>INT(IF((Sheet2!D54+C24)&lt;=200, (Sheet2!D54+C24)*120, IF((Sheet2!D54+C24)&lt;=400, 24000+((Sheet2!D54+C24)-200)*214.6, 66920+((Sheet2!D54+C24)-400)*307.3)))</f>
        <v>251452</v>
      </c>
      <c r="L7" s="143">
        <f>INT((Sheet2!D54+C24)*9)</f>
        <v>9004</v>
      </c>
      <c r="M7" s="143">
        <f>INT((Sheet2!D54+C24)*5)</f>
        <v>5002</v>
      </c>
      <c r="N7" s="143">
        <f t="shared" si="0"/>
        <v>272758</v>
      </c>
      <c r="O7" s="143">
        <f t="shared" si="1"/>
        <v>27276</v>
      </c>
      <c r="P7" s="143">
        <f t="shared" si="2"/>
        <v>7360</v>
      </c>
      <c r="Q7" s="143">
        <f t="shared" si="3"/>
        <v>307390</v>
      </c>
      <c r="R7" s="143">
        <f>Q7*(Sheet2!D$54/(Sheet2!D$54+$C24))</f>
        <v>215003.56772835727</v>
      </c>
      <c r="S7" s="144"/>
      <c r="T7" s="144"/>
      <c r="U7" s="145"/>
      <c r="AK7" s="6" t="s">
        <v>106</v>
      </c>
      <c r="AM7">
        <v>53.295975000000013</v>
      </c>
      <c r="AN7">
        <v>80.016552000000019</v>
      </c>
      <c r="AO7">
        <v>89.537238000000002</v>
      </c>
      <c r="AP7">
        <v>109.34271</v>
      </c>
      <c r="AQ7">
        <v>100.67017500000001</v>
      </c>
      <c r="AR7">
        <v>99.02736000000003</v>
      </c>
      <c r="AS7">
        <v>102.56514300000001</v>
      </c>
      <c r="AT7">
        <v>69.166332000000011</v>
      </c>
      <c r="AU7">
        <v>55.015200000000007</v>
      </c>
      <c r="AV7">
        <v>69.876945000000006</v>
      </c>
      <c r="AW7">
        <v>67.622850000000014</v>
      </c>
      <c r="AX7">
        <v>50.216652000000003</v>
      </c>
    </row>
    <row r="8" spans="2:50">
      <c r="B8" t="s">
        <v>396</v>
      </c>
      <c r="C8" s="121">
        <v>7300</v>
      </c>
      <c r="D8" t="s">
        <v>397</v>
      </c>
      <c r="E8">
        <v>307.3</v>
      </c>
      <c r="G8">
        <f>(120*200)+(214.6*200)</f>
        <v>66920</v>
      </c>
      <c r="H8" s="142"/>
      <c r="I8">
        <v>3</v>
      </c>
      <c r="J8">
        <f>IF((Sheet2!E54+C25)&lt;=200, 910, IF((Sheet2!E54+C25)&lt;=400, 1600, 7300))</f>
        <v>7300</v>
      </c>
      <c r="K8" s="143">
        <f>INT(IF((Sheet2!E54+C25)&lt;=200, (Sheet2!E54+C25)*120, IF((Sheet2!E54+C25)&lt;=400, 24000+((Sheet2!E54+C25)-200)*214.6, 66920+((Sheet2!E54+C25)-400)*307.3)))</f>
        <v>112519</v>
      </c>
      <c r="L8" s="143">
        <f>INT((Sheet2!E54+C25)*9)</f>
        <v>4935</v>
      </c>
      <c r="M8" s="143">
        <f>INT((Sheet2!E54+C25)*5)</f>
        <v>2741</v>
      </c>
      <c r="N8" s="143">
        <f t="shared" si="0"/>
        <v>127495</v>
      </c>
      <c r="O8" s="143">
        <f t="shared" si="1"/>
        <v>12750</v>
      </c>
      <c r="P8" s="143">
        <f t="shared" si="2"/>
        <v>3440</v>
      </c>
      <c r="Q8" s="143">
        <f t="shared" si="3"/>
        <v>143680</v>
      </c>
      <c r="R8" s="143">
        <f>Q8*(Sheet2!E$54/(Sheet2!E$54+$C25))</f>
        <v>70895.281529542815</v>
      </c>
      <c r="S8" s="144"/>
      <c r="T8" s="144"/>
      <c r="U8" s="145"/>
      <c r="AK8" s="9" t="s">
        <v>102</v>
      </c>
      <c r="AM8">
        <v>55.427814000000005</v>
      </c>
      <c r="AN8">
        <v>81.300240000000002</v>
      </c>
      <c r="AO8">
        <v>97.353981000000019</v>
      </c>
      <c r="AP8">
        <v>110.71809000000002</v>
      </c>
      <c r="AQ8">
        <v>99.012078000000002</v>
      </c>
      <c r="AR8">
        <v>99.485820000000004</v>
      </c>
      <c r="AS8">
        <v>106.35507900000002</v>
      </c>
      <c r="AT8">
        <v>72.008784000000006</v>
      </c>
      <c r="AU8">
        <v>62.350560000000016</v>
      </c>
      <c r="AV8">
        <v>72.956268000000009</v>
      </c>
      <c r="AW8">
        <v>70.602840000000015</v>
      </c>
      <c r="AX8">
        <v>55.901556000000006</v>
      </c>
    </row>
    <row r="9" spans="2:50">
      <c r="H9" s="142"/>
      <c r="I9">
        <v>4</v>
      </c>
      <c r="J9">
        <f>IF((Sheet2!F54+C26)&lt;=200, 910, IF((Sheet2!F54+C26)&lt;=400, 1600, 7300))</f>
        <v>7300</v>
      </c>
      <c r="K9" s="143">
        <f>INT(IF((Sheet2!F54+C26)&lt;=200, (Sheet2!F54+C26)*120, IF((Sheet2!F54+C26)&lt;=400, 24000+((Sheet2!F54+C26)-200)*214.6, 66920+((Sheet2!F54+C26)-400)*307.3)))</f>
        <v>73060</v>
      </c>
      <c r="L9" s="143">
        <f>INT((Sheet2!F54+C26)*9)</f>
        <v>3779</v>
      </c>
      <c r="M9" s="143">
        <f>INT((Sheet2!F54+C26)*5)</f>
        <v>2099</v>
      </c>
      <c r="N9" s="143">
        <f t="shared" si="0"/>
        <v>86238</v>
      </c>
      <c r="O9" s="143">
        <f t="shared" si="1"/>
        <v>8624</v>
      </c>
      <c r="P9" s="143">
        <f t="shared" si="2"/>
        <v>2320</v>
      </c>
      <c r="Q9" s="143">
        <f t="shared" si="3"/>
        <v>97180</v>
      </c>
      <c r="R9" s="143">
        <f>Q9*(Sheet2!F$54/(Sheet2!F$54+$C26))</f>
        <v>38036.392811910751</v>
      </c>
      <c r="S9" s="144"/>
      <c r="T9" s="144"/>
      <c r="U9" s="145"/>
      <c r="AK9" s="9" t="s">
        <v>96</v>
      </c>
      <c r="AM9">
        <v>64.902654000000027</v>
      </c>
      <c r="AN9">
        <v>88.14657600000001</v>
      </c>
      <c r="AO9">
        <v>90.721593000000013</v>
      </c>
      <c r="AP9">
        <v>111.86424000000001</v>
      </c>
      <c r="AQ9">
        <v>102.80201400000001</v>
      </c>
      <c r="AR9">
        <v>102.69504000000001</v>
      </c>
      <c r="AS9">
        <v>110.61875700000003</v>
      </c>
      <c r="AT9">
        <v>70.350687000000008</v>
      </c>
      <c r="AU9">
        <v>51.576750000000004</v>
      </c>
      <c r="AV9">
        <v>75.798720000000017</v>
      </c>
      <c r="AW9">
        <v>73.3536</v>
      </c>
      <c r="AX9">
        <v>60.638976000000007</v>
      </c>
    </row>
    <row r="10" spans="2:50">
      <c r="B10" t="s">
        <v>398</v>
      </c>
      <c r="H10" s="142"/>
      <c r="I10">
        <v>5</v>
      </c>
      <c r="J10">
        <f>IF((Sheet2!G54+C27)&lt;=200, 910, IF((Sheet2!G54+C27)&lt;=400, 1600, 7300))</f>
        <v>1600</v>
      </c>
      <c r="K10" s="143">
        <f>INT(IF((Sheet2!G54+C27)&lt;=200, (Sheet2!G54+C27)*120, IF((Sheet2!G54+C27)&lt;=400, 24000+((Sheet2!G54+C27)-200)*214.6, 66920+((Sheet2!G54+C27)-400)*307.3)))</f>
        <v>62677</v>
      </c>
      <c r="L10" s="143">
        <f>INT((Sheet2!G54+C27)*9)</f>
        <v>3422</v>
      </c>
      <c r="M10" s="143">
        <f>INT((Sheet2!G54+C27)*5)</f>
        <v>1901</v>
      </c>
      <c r="N10" s="143">
        <f t="shared" si="0"/>
        <v>69600</v>
      </c>
      <c r="O10" s="143">
        <f t="shared" si="1"/>
        <v>6960</v>
      </c>
      <c r="P10" s="143">
        <f t="shared" si="2"/>
        <v>1870</v>
      </c>
      <c r="Q10" s="143">
        <f t="shared" si="3"/>
        <v>78430</v>
      </c>
      <c r="R10" s="143">
        <f>Q10*(Sheet2!G$54/(Sheet2!G$54+$C27))</f>
        <v>28203.267133944275</v>
      </c>
      <c r="S10" s="144"/>
      <c r="T10" s="144"/>
      <c r="U10" s="145"/>
      <c r="AK10" s="9" t="s">
        <v>94</v>
      </c>
      <c r="AM10">
        <v>68.455719000000016</v>
      </c>
      <c r="AN10">
        <v>84.081564000000014</v>
      </c>
      <c r="AO10">
        <v>90.484722000000005</v>
      </c>
      <c r="AP10">
        <v>105.21657</v>
      </c>
      <c r="AQ10">
        <v>96.643368000000009</v>
      </c>
      <c r="AR10">
        <v>97.651980000000009</v>
      </c>
      <c r="AS10">
        <v>107.30256300000002</v>
      </c>
      <c r="AT10">
        <v>70.113816000000014</v>
      </c>
      <c r="AU10">
        <v>59.141340000000007</v>
      </c>
      <c r="AV10">
        <v>74.140623000000005</v>
      </c>
      <c r="AW10">
        <v>71.748990000000006</v>
      </c>
      <c r="AX10">
        <v>61.112718000000015</v>
      </c>
    </row>
    <row r="11" spans="2:50">
      <c r="B11" t="s">
        <v>399</v>
      </c>
      <c r="H11" s="142"/>
      <c r="I11">
        <v>6</v>
      </c>
      <c r="J11">
        <f>IF((Sheet2!H54+C28)&lt;=200, 910, IF((Sheet2!H54+C28)&lt;=400, 1600, 7300))</f>
        <v>1600</v>
      </c>
      <c r="K11" s="143">
        <f>INT(IF((Sheet2!H54+C28)&lt;=200, (Sheet2!H54+C28)*120, IF((Sheet2!H54+C28)&lt;=400, 24000+((Sheet2!H54+C28)-200)*214.6, 66920+((Sheet2!H54+C28)-400)*307.3)))</f>
        <v>60149</v>
      </c>
      <c r="L11" s="143">
        <f>INT((Sheet2!H54+C28)*9)</f>
        <v>3316</v>
      </c>
      <c r="M11" s="143">
        <f>INT((Sheet2!H54+C28)*5)</f>
        <v>1842</v>
      </c>
      <c r="N11" s="143">
        <f t="shared" si="0"/>
        <v>66907</v>
      </c>
      <c r="O11" s="143">
        <f t="shared" si="1"/>
        <v>6691</v>
      </c>
      <c r="P11" s="143">
        <f t="shared" si="2"/>
        <v>1800</v>
      </c>
      <c r="Q11" s="143">
        <f t="shared" si="3"/>
        <v>75390</v>
      </c>
      <c r="R11" s="143">
        <f>Q11*(Sheet2!H$54/(Sheet2!H$54+$C28))</f>
        <v>25218.594719983445</v>
      </c>
      <c r="S11" s="144"/>
      <c r="T11" s="144"/>
      <c r="U11" s="145"/>
      <c r="AK11" s="9" t="s">
        <v>104</v>
      </c>
      <c r="AM11">
        <v>68.455719000000016</v>
      </c>
      <c r="AN11">
        <v>84.081564000000014</v>
      </c>
      <c r="AO11">
        <v>90.484722000000005</v>
      </c>
      <c r="AP11">
        <v>105.21657</v>
      </c>
      <c r="AQ11">
        <v>96.643368000000009</v>
      </c>
      <c r="AR11">
        <v>97.651980000000009</v>
      </c>
      <c r="AS11">
        <v>107.30256300000002</v>
      </c>
      <c r="AT11">
        <v>70.113816000000014</v>
      </c>
      <c r="AU11">
        <v>59.141340000000007</v>
      </c>
      <c r="AV11">
        <v>74.140623000000005</v>
      </c>
      <c r="AW11">
        <v>71.748990000000006</v>
      </c>
      <c r="AX11">
        <v>61.112718000000015</v>
      </c>
    </row>
    <row r="12" spans="2:50">
      <c r="H12" s="142"/>
      <c r="I12">
        <v>7</v>
      </c>
      <c r="J12">
        <f>IF((Sheet2!I54+C29)&lt;=300, 910, IF((Sheet2!I54+C29)&lt;=450, 1600, 7300))</f>
        <v>1600</v>
      </c>
      <c r="K12">
        <f>INT(IF((Sheet2!I54+C29)&lt;=300, (Sheet2!I54+C29)*120, IF((Sheet2!I54+C29)&lt;=450, 36000+((Sheet2!I54+C29)-300)*214.6, 68190+((Sheet2!I54+C29)-450)*307.3)))</f>
        <v>51177</v>
      </c>
      <c r="L12" s="143">
        <f>INT((Sheet2!I54+C29)*9)</f>
        <v>3336</v>
      </c>
      <c r="M12" s="143">
        <f>INT((Sheet2!I54+C29)*5)</f>
        <v>1853</v>
      </c>
      <c r="N12" s="143">
        <f t="shared" si="0"/>
        <v>57966</v>
      </c>
      <c r="O12" s="143">
        <f t="shared" si="1"/>
        <v>5797</v>
      </c>
      <c r="P12" s="143">
        <f t="shared" si="2"/>
        <v>1560</v>
      </c>
      <c r="Q12" s="143">
        <f t="shared" si="3"/>
        <v>65320</v>
      </c>
      <c r="R12" s="143">
        <f>Q12*(Sheet2!I$54/(Sheet2!I$54+$C29))</f>
        <v>9994.4250114546867</v>
      </c>
      <c r="S12" s="144"/>
      <c r="T12" s="144"/>
      <c r="U12" s="145"/>
      <c r="AK12" s="9" t="s">
        <v>100</v>
      </c>
      <c r="AM12">
        <v>66.323880000000003</v>
      </c>
      <c r="AN12">
        <v>73.598112000000015</v>
      </c>
      <c r="AO12">
        <v>90.958464000000006</v>
      </c>
      <c r="AP12">
        <v>107.96733000000002</v>
      </c>
      <c r="AQ12">
        <v>94.748400000000018</v>
      </c>
      <c r="AR12">
        <v>97.651980000000009</v>
      </c>
      <c r="AS12">
        <v>109.43440200000001</v>
      </c>
      <c r="AT12">
        <v>73.666881000000004</v>
      </c>
      <c r="AU12">
        <v>68.769000000000005</v>
      </c>
      <c r="AV12">
        <v>75.088107000000008</v>
      </c>
      <c r="AW12">
        <v>72.665910000000011</v>
      </c>
      <c r="AX12">
        <v>62.770815000000006</v>
      </c>
    </row>
    <row r="13" spans="2:50">
      <c r="C13" s="6" t="s">
        <v>400</v>
      </c>
      <c r="H13" s="142"/>
      <c r="I13">
        <v>8</v>
      </c>
      <c r="J13">
        <f>IF((Sheet2!J54+C30)&lt;=300, 910, IF((Sheet2!J54+C30)&lt;=450, 1600, 7300))</f>
        <v>1600</v>
      </c>
      <c r="K13">
        <f>INT(IF((Sheet2!J54+C30)&lt;=300, (Sheet2!J54+C30)*120, IF((Sheet2!J54+C30)&lt;=450, 36000+((Sheet2!J54+C30)-300)*214.6, 68190+((Sheet2!J54+C30)-450)*307.3)))</f>
        <v>58560</v>
      </c>
      <c r="L13" s="143">
        <f>INT((Sheet2!J54+C30)*9)</f>
        <v>3646</v>
      </c>
      <c r="M13" s="143">
        <f>INT((Sheet2!J54+C30)*5)</f>
        <v>2025</v>
      </c>
      <c r="N13" s="143">
        <f t="shared" si="0"/>
        <v>65831</v>
      </c>
      <c r="O13" s="143">
        <f t="shared" si="1"/>
        <v>6583</v>
      </c>
      <c r="P13" s="143">
        <f t="shared" si="2"/>
        <v>1770</v>
      </c>
      <c r="Q13" s="143">
        <f t="shared" si="3"/>
        <v>74180</v>
      </c>
      <c r="R13" s="143">
        <f>Q13*(Sheet2!J$54/(Sheet2!J$54+$C30))</f>
        <v>9398.5125046970988</v>
      </c>
      <c r="S13" s="144"/>
      <c r="T13" s="144"/>
      <c r="U13" s="145"/>
      <c r="AK13" t="s">
        <v>108</v>
      </c>
      <c r="AM13">
        <v>58.954560000000015</v>
      </c>
      <c r="AN13">
        <v>88.669560000000004</v>
      </c>
      <c r="AO13">
        <v>102.90729000000002</v>
      </c>
      <c r="AP13">
        <v>116.65260000000002</v>
      </c>
      <c r="AQ13">
        <v>108.96066000000002</v>
      </c>
      <c r="AR13">
        <v>107.73810000000002</v>
      </c>
      <c r="AS13">
        <v>105.80238</v>
      </c>
      <c r="AT13">
        <v>80.799330000000012</v>
      </c>
      <c r="AU13">
        <v>62.910900000000012</v>
      </c>
      <c r="AV13">
        <v>75.27234</v>
      </c>
      <c r="AW13">
        <v>72.844200000000001</v>
      </c>
      <c r="AX13">
        <v>55.533090000000001</v>
      </c>
    </row>
    <row r="14" spans="2:50">
      <c r="B14" s="6" t="s">
        <v>381</v>
      </c>
      <c r="D14" s="6" t="s">
        <v>382</v>
      </c>
      <c r="H14" s="142"/>
      <c r="I14">
        <v>9</v>
      </c>
      <c r="J14">
        <f>IF((Sheet2!K54+C31)&lt;=200, 910, IF((Sheet2!K54+C31)&lt;=400, 1600, 7300))</f>
        <v>1600</v>
      </c>
      <c r="K14" s="143">
        <f>INT(IF((Sheet2!K54+C31)&lt;=200, (Sheet2!K54+C31)*120, IF((Sheet2!K54+C31)&lt;=400, 24000+((Sheet2!K54+C31)-200)*214.6, 66920+((Sheet2!K54+C31)-400)*307.3)))</f>
        <v>58209</v>
      </c>
      <c r="L14" s="143">
        <f>INT((Sheet2!K54+C31)*9)</f>
        <v>3234</v>
      </c>
      <c r="M14" s="143">
        <f>INT((Sheet2!K54+C31)*5)</f>
        <v>1797</v>
      </c>
      <c r="N14" s="143">
        <f t="shared" si="0"/>
        <v>64840</v>
      </c>
      <c r="O14" s="143">
        <f t="shared" si="1"/>
        <v>6484</v>
      </c>
      <c r="P14" s="143">
        <f t="shared" si="2"/>
        <v>1750</v>
      </c>
      <c r="Q14" s="143">
        <f t="shared" si="3"/>
        <v>73070</v>
      </c>
      <c r="R14" s="143">
        <f>Q14*(Sheet2!K$54/(Sheet2!K$54+$C31))</f>
        <v>15493.780784434128</v>
      </c>
      <c r="S14" s="144"/>
      <c r="T14" s="144"/>
      <c r="U14" s="145"/>
      <c r="AK14" s="9" t="s">
        <v>110</v>
      </c>
      <c r="AM14">
        <v>56.585850000000001</v>
      </c>
      <c r="AN14">
        <v>96.03888000000002</v>
      </c>
      <c r="AO14">
        <v>94.222020000000015</v>
      </c>
      <c r="AP14">
        <v>118.1808</v>
      </c>
      <c r="AQ14">
        <v>108.17109000000002</v>
      </c>
      <c r="AR14">
        <v>108.5022</v>
      </c>
      <c r="AS14">
        <v>104.22324000000002</v>
      </c>
      <c r="AT14">
        <v>79.220190000000002</v>
      </c>
      <c r="AU14">
        <v>57.816900000000004</v>
      </c>
      <c r="AV14">
        <v>78.16743000000001</v>
      </c>
      <c r="AW14">
        <v>75.645900000000012</v>
      </c>
      <c r="AX14">
        <v>54.480330000000009</v>
      </c>
    </row>
    <row r="15" spans="2:50">
      <c r="B15" t="s">
        <v>401</v>
      </c>
      <c r="C15">
        <v>910</v>
      </c>
      <c r="D15" s="6" t="s">
        <v>402</v>
      </c>
      <c r="E15">
        <v>120</v>
      </c>
      <c r="H15" s="142"/>
      <c r="I15">
        <v>10</v>
      </c>
      <c r="J15">
        <f>IF((Sheet2!L54+C32)&lt;=200, 910, IF((Sheet2!L54+C32)&lt;=400, 1600, 7300))</f>
        <v>1600</v>
      </c>
      <c r="K15" s="143">
        <f>INT(IF((Sheet2!L54+C32)&lt;=200, (Sheet2!L54+C32)*120, IF((Sheet2!L54+C32)&lt;=400, 24000+((Sheet2!L54+C32)-200)*214.6, 66920+((Sheet2!L54+C32)-400)*307.3)))</f>
        <v>49484</v>
      </c>
      <c r="L15" s="143">
        <f>INT((Sheet2!L54+C32)*9)</f>
        <v>2868</v>
      </c>
      <c r="M15" s="143">
        <f>INT((Sheet2!L54+C32)*5)</f>
        <v>1593</v>
      </c>
      <c r="N15" s="143">
        <f t="shared" si="0"/>
        <v>55545</v>
      </c>
      <c r="O15" s="143">
        <f t="shared" si="1"/>
        <v>5555</v>
      </c>
      <c r="P15" s="143">
        <f t="shared" si="2"/>
        <v>1490</v>
      </c>
      <c r="Q15" s="143">
        <f t="shared" si="3"/>
        <v>62590</v>
      </c>
      <c r="R15" s="143">
        <f>Q15*(Sheet2!L$54/(Sheet2!L$54+$C32))</f>
        <v>14423.40065906676</v>
      </c>
      <c r="S15" s="144"/>
      <c r="T15" s="144"/>
      <c r="U15" s="145"/>
      <c r="AK15" t="s">
        <v>112</v>
      </c>
      <c r="AM15">
        <v>59.217750000000009</v>
      </c>
      <c r="AN15">
        <v>88.907280000000014</v>
      </c>
      <c r="AO15">
        <v>99.485820000000004</v>
      </c>
      <c r="AP15">
        <v>121.4919</v>
      </c>
      <c r="AQ15">
        <v>111.85575000000001</v>
      </c>
      <c r="AR15">
        <v>110.03040000000003</v>
      </c>
      <c r="AS15">
        <v>113.96127</v>
      </c>
      <c r="AT15">
        <v>76.851480000000009</v>
      </c>
      <c r="AU15">
        <v>61.128000000000007</v>
      </c>
      <c r="AV15">
        <v>77.641050000000007</v>
      </c>
      <c r="AW15">
        <v>75.136500000000012</v>
      </c>
      <c r="AX15">
        <v>55.796280000000003</v>
      </c>
    </row>
    <row r="16" spans="2:50">
      <c r="B16" t="s">
        <v>403</v>
      </c>
      <c r="C16" s="122">
        <v>1600</v>
      </c>
      <c r="D16" s="6" t="s">
        <v>404</v>
      </c>
      <c r="E16">
        <v>214.6</v>
      </c>
      <c r="H16" s="142"/>
      <c r="I16">
        <v>11</v>
      </c>
      <c r="J16">
        <f>IF((Sheet2!M54+C33)&lt;=200, 910, IF((Sheet2!M54+C33)&lt;=400, 1600, 7300))</f>
        <v>7300</v>
      </c>
      <c r="K16" s="143">
        <f>INT(IF((Sheet2!M54+C33)&lt;=200, (Sheet2!M54+C33)*120, IF((Sheet2!M54+C33)&lt;=400, 24000+((Sheet2!M54+C33)-200)*214.6, 66920+((Sheet2!M54+C33)-400)*307.3)))</f>
        <v>109037</v>
      </c>
      <c r="L16" s="143">
        <f>INT((Sheet2!M54+C33)*9)</f>
        <v>4833</v>
      </c>
      <c r="M16" s="143">
        <f>INT((Sheet2!M54+C33)*5)</f>
        <v>2685</v>
      </c>
      <c r="N16" s="143">
        <f t="shared" si="0"/>
        <v>123855</v>
      </c>
      <c r="O16" s="143">
        <f t="shared" si="1"/>
        <v>12386</v>
      </c>
      <c r="P16" s="143">
        <f t="shared" si="2"/>
        <v>3340</v>
      </c>
      <c r="Q16" s="143">
        <f t="shared" si="3"/>
        <v>139580</v>
      </c>
      <c r="R16" s="143">
        <f>Q16*(Sheet2!M$54/(Sheet2!M$54+$C33))</f>
        <v>73097.884125301891</v>
      </c>
      <c r="S16" s="144"/>
      <c r="T16" s="144"/>
      <c r="U16" s="145"/>
      <c r="AK16" t="s">
        <v>114</v>
      </c>
      <c r="AM16">
        <v>61.586460000000002</v>
      </c>
      <c r="AN16">
        <v>90.333600000000004</v>
      </c>
      <c r="AO16">
        <v>108.17109000000002</v>
      </c>
      <c r="AP16">
        <v>123.02010000000001</v>
      </c>
      <c r="AQ16">
        <v>110.01342</v>
      </c>
      <c r="AR16">
        <v>110.5398</v>
      </c>
      <c r="AS16">
        <v>118.17231000000001</v>
      </c>
      <c r="AT16">
        <v>80.00976</v>
      </c>
      <c r="AU16">
        <v>69.278400000000019</v>
      </c>
      <c r="AV16">
        <v>81.062520000000006</v>
      </c>
      <c r="AW16">
        <v>78.447600000000008</v>
      </c>
      <c r="AX16">
        <v>62.112840000000006</v>
      </c>
    </row>
    <row r="17" spans="2:50">
      <c r="B17" t="s">
        <v>405</v>
      </c>
      <c r="C17" s="122">
        <v>7300</v>
      </c>
      <c r="D17" t="s">
        <v>406</v>
      </c>
      <c r="E17">
        <v>307.3</v>
      </c>
      <c r="G17" s="136">
        <f>(120*300)+(150*214.6)</f>
        <v>68190</v>
      </c>
      <c r="H17" s="142"/>
      <c r="I17">
        <v>12</v>
      </c>
      <c r="J17">
        <f>IF((Sheet2!N54+C34)&lt;=200, 910, IF((Sheet2!N54+C34)&lt;=400, 1600, 7300))</f>
        <v>7300</v>
      </c>
      <c r="K17" s="143">
        <f>INT(IF((Sheet2!N54+C34)&lt;=200, (Sheet2!N54+C34)*120, IF((Sheet2!N54+C34)&lt;=400, 24000+((Sheet2!N54+C34)-200)*214.6, 66920+((Sheet2!N54+C34)-400)*307.3)))</f>
        <v>201805</v>
      </c>
      <c r="L17" s="143">
        <f>INT((Sheet2!N54+C34)*9)</f>
        <v>7550</v>
      </c>
      <c r="M17" s="143">
        <f>INT((Sheet2!N54+C34)*5)</f>
        <v>4194</v>
      </c>
      <c r="N17" s="143">
        <f t="shared" si="0"/>
        <v>220849</v>
      </c>
      <c r="O17" s="143">
        <f t="shared" si="1"/>
        <v>22085</v>
      </c>
      <c r="P17" s="143">
        <f t="shared" si="2"/>
        <v>5960</v>
      </c>
      <c r="Q17" s="143">
        <f t="shared" si="3"/>
        <v>248890</v>
      </c>
      <c r="R17" s="143">
        <f>Q17*(Sheet2!N$54/(Sheet2!N$54+$C34))</f>
        <v>167601.71811738139</v>
      </c>
      <c r="S17" s="144"/>
      <c r="T17" s="144"/>
      <c r="U17" s="145"/>
      <c r="AK17" t="s">
        <v>120</v>
      </c>
      <c r="AM17">
        <v>72.114060000000023</v>
      </c>
      <c r="AN17">
        <v>97.940640000000016</v>
      </c>
      <c r="AO17">
        <v>100.80177000000002</v>
      </c>
      <c r="AP17">
        <v>124.29360000000001</v>
      </c>
      <c r="AQ17">
        <v>114.22446000000001</v>
      </c>
      <c r="AR17">
        <v>114.10560000000001</v>
      </c>
      <c r="AS17">
        <v>122.90973000000002</v>
      </c>
      <c r="AT17">
        <v>78.16743000000001</v>
      </c>
      <c r="AU17">
        <v>57.307500000000005</v>
      </c>
      <c r="AV17">
        <v>84.220800000000011</v>
      </c>
      <c r="AW17">
        <v>81.504000000000005</v>
      </c>
      <c r="AX17">
        <v>67.376640000000009</v>
      </c>
    </row>
    <row r="18" spans="2:50">
      <c r="H18" s="142"/>
      <c r="I18" s="6" t="s">
        <v>407</v>
      </c>
      <c r="J18" s="6" t="s">
        <v>384</v>
      </c>
      <c r="K18" s="6" t="s">
        <v>385</v>
      </c>
      <c r="L18" s="6" t="s">
        <v>386</v>
      </c>
      <c r="M18" s="6" t="s">
        <v>387</v>
      </c>
      <c r="N18" s="6" t="s">
        <v>388</v>
      </c>
      <c r="O18" s="6" t="s">
        <v>389</v>
      </c>
      <c r="P18" s="6" t="s">
        <v>390</v>
      </c>
      <c r="Q18" s="6" t="s">
        <v>391</v>
      </c>
      <c r="R18" s="6" t="s">
        <v>412</v>
      </c>
      <c r="S18" s="146">
        <f>SUM(R19:R30)</f>
        <v>756874.31781696563</v>
      </c>
      <c r="T18" s="146">
        <f>Sheet2!O18</f>
        <v>1157329.3336407086</v>
      </c>
      <c r="U18" s="147">
        <f>(T18-S18)/T18</f>
        <v>0.34601647446712319</v>
      </c>
      <c r="AK18" s="6" t="s">
        <v>116</v>
      </c>
      <c r="AM18">
        <v>61.060080000000006</v>
      </c>
      <c r="AN18">
        <v>83.439720000000008</v>
      </c>
      <c r="AO18">
        <v>105.53919</v>
      </c>
      <c r="AP18">
        <v>122.0013</v>
      </c>
      <c r="AQ18">
        <v>108.17109000000002</v>
      </c>
      <c r="AR18">
        <v>113.34150000000001</v>
      </c>
      <c r="AS18">
        <v>117.90912000000003</v>
      </c>
      <c r="AT18">
        <v>81.58890000000001</v>
      </c>
      <c r="AU18">
        <v>72.080100000000016</v>
      </c>
      <c r="AV18">
        <v>82.115280000000013</v>
      </c>
      <c r="AW18">
        <v>79.466400000000021</v>
      </c>
      <c r="AX18">
        <v>63.428790000000014</v>
      </c>
    </row>
    <row r="19" spans="2:50">
      <c r="B19" t="s">
        <v>408</v>
      </c>
      <c r="H19" s="142"/>
      <c r="I19">
        <v>1</v>
      </c>
      <c r="J19">
        <f>IF((Sheet2!C55+C23)&lt;=200, 910, IF((Sheet2!C55+C23)&lt;=400, 1600, 7300))</f>
        <v>7300</v>
      </c>
      <c r="K19" s="143">
        <f>INT(IF((Sheet2!C55+C23)&lt;=200, (Sheet2!C55+C23)*120, IF((Sheet2!C55+C23)&lt;=400, 24000+((Sheet2!C55+C23)-200)*214.6, 66920+((Sheet2!C55+C23)-400)*307.3)))</f>
        <v>206850</v>
      </c>
      <c r="L19" s="143">
        <f>INT((Sheet2!C55+C23)*9)</f>
        <v>7698</v>
      </c>
      <c r="M19" s="143">
        <f>INT((Sheet2!C55+C23)*5)</f>
        <v>4276</v>
      </c>
      <c r="N19" s="143">
        <f t="shared" ref="N19:N30" si="4">SUM(J19:M19)</f>
        <v>226124</v>
      </c>
      <c r="O19" s="143">
        <f t="shared" ref="O19:O30" si="5">ROUND(N19*0.1, 0)</f>
        <v>22612</v>
      </c>
      <c r="P19" s="143">
        <f t="shared" ref="P19:P30" si="6">FLOOR(N19*0.027, 10)</f>
        <v>6100</v>
      </c>
      <c r="Q19" s="143">
        <f t="shared" ref="Q19:Q30" si="7">FLOOR(N19+O19+P19, 10)</f>
        <v>254830</v>
      </c>
      <c r="R19" s="143">
        <f>Q19*(Sheet2!C55/(Sheet2!C55+C23))</f>
        <v>163814.44368390011</v>
      </c>
      <c r="S19" s="144"/>
      <c r="T19" s="144"/>
      <c r="U19" s="145"/>
      <c r="AK19" t="s">
        <v>32</v>
      </c>
      <c r="AM19">
        <v>76.061910000000012</v>
      </c>
      <c r="AN19">
        <v>93.423960000000008</v>
      </c>
      <c r="AO19">
        <v>100.53858000000001</v>
      </c>
      <c r="AP19">
        <v>116.90730000000001</v>
      </c>
      <c r="AQ19">
        <v>107.38152000000001</v>
      </c>
      <c r="AR19">
        <v>108.5022</v>
      </c>
      <c r="AS19">
        <v>119.22507000000002</v>
      </c>
      <c r="AT19">
        <v>77.904240000000016</v>
      </c>
      <c r="AU19">
        <v>65.712600000000009</v>
      </c>
      <c r="AV19">
        <v>82.378470000000007</v>
      </c>
      <c r="AW19">
        <v>79.721100000000007</v>
      </c>
      <c r="AX19">
        <v>67.903020000000012</v>
      </c>
    </row>
    <row r="20" spans="2:50">
      <c r="B20" t="s">
        <v>409</v>
      </c>
      <c r="H20" s="142"/>
      <c r="I20">
        <v>2</v>
      </c>
      <c r="J20">
        <f>IF((Sheet2!D55+C24)&lt;=200, 910, IF((Sheet2!D55+C24)&lt;=400, 1600, 7300))</f>
        <v>7300</v>
      </c>
      <c r="K20" s="143">
        <f>INT(IF((Sheet2!D55+C24)&lt;=200, (Sheet2!D55+C24)*120, IF((Sheet2!D55+C24)&lt;=400, 24000+((Sheet2!D55+C24)-200)*214.6, 66920+((Sheet2!D55+C24)-400)*307.3)))</f>
        <v>230414</v>
      </c>
      <c r="L20" s="143">
        <f>INT((Sheet2!D55+C24)*9)</f>
        <v>8388</v>
      </c>
      <c r="M20" s="143">
        <f>INT((Sheet2!D55+C24)*5)</f>
        <v>4660</v>
      </c>
      <c r="N20" s="143">
        <f t="shared" si="4"/>
        <v>250762</v>
      </c>
      <c r="O20" s="143">
        <f t="shared" si="5"/>
        <v>25076</v>
      </c>
      <c r="P20" s="143">
        <f t="shared" si="6"/>
        <v>6770</v>
      </c>
      <c r="Q20" s="143">
        <f t="shared" si="7"/>
        <v>282600</v>
      </c>
      <c r="R20" s="143">
        <f>Q20*(Sheet2!D55/(Sheet2!D55+C24))</f>
        <v>191425.68994493663</v>
      </c>
      <c r="S20" s="144"/>
      <c r="T20" s="144"/>
      <c r="U20" s="145"/>
      <c r="AK20" t="s">
        <v>118</v>
      </c>
      <c r="AM20">
        <v>73.693200000000004</v>
      </c>
      <c r="AN20">
        <v>81.775680000000008</v>
      </c>
      <c r="AO20">
        <v>101.06496</v>
      </c>
      <c r="AP20">
        <v>119.96370000000002</v>
      </c>
      <c r="AQ20">
        <v>105.27600000000001</v>
      </c>
      <c r="AR20">
        <v>108.5022</v>
      </c>
      <c r="AS20">
        <v>121.59378000000001</v>
      </c>
      <c r="AT20">
        <v>81.852090000000004</v>
      </c>
      <c r="AU20">
        <v>76.410000000000011</v>
      </c>
      <c r="AV20">
        <v>83.431229999999999</v>
      </c>
      <c r="AW20">
        <v>80.739900000000006</v>
      </c>
      <c r="AX20">
        <v>69.745350000000002</v>
      </c>
    </row>
    <row r="21" spans="2:50">
      <c r="H21" s="142"/>
      <c r="I21">
        <v>3</v>
      </c>
      <c r="J21">
        <f>IF((Sheet2!E55+C25)&lt;=200, 910, IF((Sheet2!E55+C25)&lt;=400, 1600, 7300))</f>
        <v>7300</v>
      </c>
      <c r="K21" s="143">
        <f>INT(IF((Sheet2!E55+C25)&lt;=200, (Sheet2!E55+C25)*120, IF((Sheet2!E55+C25)&lt;=400, 24000+((Sheet2!E55+C25)-200)*214.6, 66920+((Sheet2!E55+C25)-400)*307.3)))</f>
        <v>104385</v>
      </c>
      <c r="L21" s="143">
        <f>INT((Sheet2!E55+C25)*9)</f>
        <v>4697</v>
      </c>
      <c r="M21" s="143">
        <f>INT((Sheet2!E55+C25)*5)</f>
        <v>2609</v>
      </c>
      <c r="N21" s="143">
        <f t="shared" si="4"/>
        <v>118991</v>
      </c>
      <c r="O21" s="143">
        <f t="shared" si="5"/>
        <v>11899</v>
      </c>
      <c r="P21" s="143">
        <f t="shared" si="6"/>
        <v>3210</v>
      </c>
      <c r="Q21" s="143">
        <f t="shared" si="7"/>
        <v>134100</v>
      </c>
      <c r="R21" s="143">
        <f>Q21*(Sheet2!E55/(Sheet2!E55+C25))</f>
        <v>62722.912230744747</v>
      </c>
      <c r="S21" s="144"/>
      <c r="T21" s="144"/>
      <c r="U21" s="145"/>
      <c r="AK21" s="6" t="s">
        <v>123</v>
      </c>
      <c r="AM21">
        <v>64.218360000000004</v>
      </c>
      <c r="AN21">
        <v>66.799320000000009</v>
      </c>
      <c r="AO21">
        <v>87.115890000000007</v>
      </c>
      <c r="AP21">
        <v>116.14319999999999</v>
      </c>
      <c r="AQ21">
        <v>104.48643000000001</v>
      </c>
      <c r="AR21">
        <v>92.965500000000006</v>
      </c>
      <c r="AS21">
        <v>107.64471</v>
      </c>
      <c r="AT21">
        <v>84.747180000000014</v>
      </c>
      <c r="AU21">
        <v>78.957000000000008</v>
      </c>
      <c r="AV21">
        <v>81.852090000000004</v>
      </c>
      <c r="AW21">
        <v>79.211700000000008</v>
      </c>
      <c r="AX21">
        <v>66.587069999999997</v>
      </c>
    </row>
    <row r="22" spans="2:50">
      <c r="C22" t="s">
        <v>411</v>
      </c>
      <c r="H22" s="142"/>
      <c r="I22">
        <v>4</v>
      </c>
      <c r="J22">
        <f>IF((Sheet2!F55+C26)&lt;=200, 910, IF((Sheet2!F55+C26)&lt;=400, 1600, 7300))</f>
        <v>7300</v>
      </c>
      <c r="K22" s="143">
        <f>INT(IF((Sheet2!F55+C26)&lt;=200, (Sheet2!F55+C26)*120, IF((Sheet2!F55+C26)&lt;=400, 24000+((Sheet2!F55+C26)-200)*214.6, 66920+((Sheet2!F55+C26)-400)*307.3)))</f>
        <v>68118</v>
      </c>
      <c r="L22" s="143">
        <f>INT((Sheet2!F55+C26)*9)</f>
        <v>3635</v>
      </c>
      <c r="M22" s="143">
        <f>INT((Sheet2!F55+C26)*5)</f>
        <v>2019</v>
      </c>
      <c r="N22" s="143">
        <f t="shared" si="4"/>
        <v>81072</v>
      </c>
      <c r="O22" s="143">
        <f t="shared" si="5"/>
        <v>8107</v>
      </c>
      <c r="P22" s="143">
        <f t="shared" si="6"/>
        <v>2180</v>
      </c>
      <c r="Q22" s="143">
        <f t="shared" si="7"/>
        <v>91350</v>
      </c>
      <c r="R22" s="143">
        <f>Q22*(Sheet2!F55/(Sheet2!F55+C26))</f>
        <v>33541.060131112841</v>
      </c>
      <c r="S22" s="144"/>
      <c r="T22" s="144"/>
      <c r="U22" s="145"/>
    </row>
    <row r="23" spans="2:50">
      <c r="B23" s="124">
        <v>1</v>
      </c>
      <c r="C23" s="126">
        <v>305.5</v>
      </c>
      <c r="D23" s="127">
        <v>1</v>
      </c>
      <c r="H23" s="142"/>
      <c r="I23">
        <v>5</v>
      </c>
      <c r="J23">
        <f>IF((Sheet2!G55+C27)&lt;=200, 910, IF((Sheet2!G55+C27)&lt;=400, 1600, 7300))</f>
        <v>1600</v>
      </c>
      <c r="K23" s="143">
        <f>INT(IF((Sheet2!G55+C27)&lt;=200, (Sheet2!G55+C27)*120, IF((Sheet2!G55+C27)&lt;=400, 24000+((Sheet2!G55+C27)-200)*214.6, 66920+((Sheet2!G55+C27)-400)*307.3)))</f>
        <v>59806</v>
      </c>
      <c r="L23" s="143">
        <f>INT((Sheet2!G55+C27)*9)</f>
        <v>3301</v>
      </c>
      <c r="M23" s="143">
        <f>INT((Sheet2!G55+C27)*5)</f>
        <v>1834</v>
      </c>
      <c r="N23" s="143">
        <f t="shared" si="4"/>
        <v>66541</v>
      </c>
      <c r="O23" s="143">
        <f t="shared" si="5"/>
        <v>6654</v>
      </c>
      <c r="P23" s="143">
        <f t="shared" si="6"/>
        <v>1790</v>
      </c>
      <c r="Q23" s="143">
        <f t="shared" si="7"/>
        <v>74980</v>
      </c>
      <c r="R23" s="143">
        <f>Q23*(Sheet2!G55/(Sheet2!G55+C27))</f>
        <v>25211.90931912668</v>
      </c>
      <c r="S23" s="144"/>
      <c r="T23" s="144"/>
      <c r="U23" s="145"/>
    </row>
    <row r="24" spans="2:50">
      <c r="B24" s="124">
        <v>2</v>
      </c>
      <c r="C24" s="125">
        <v>300.7</v>
      </c>
      <c r="D24" s="127">
        <v>2</v>
      </c>
      <c r="H24" s="142"/>
      <c r="I24">
        <v>6</v>
      </c>
      <c r="J24">
        <f>IF((Sheet2!H55+C28)&lt;=200, 910, IF((Sheet2!H55+C28)&lt;=400, 1600, 7300))</f>
        <v>1600</v>
      </c>
      <c r="K24" s="143">
        <f>INT(IF((Sheet2!H55+C28)&lt;=200, (Sheet2!H55+C28)*120, IF((Sheet2!H55+C28)&lt;=400, 24000+((Sheet2!H55+C28)-200)*214.6, 66920+((Sheet2!H55+C28)-400)*307.3)))</f>
        <v>57561</v>
      </c>
      <c r="L24" s="143">
        <f>INT((Sheet2!H55+C28)*9)</f>
        <v>3207</v>
      </c>
      <c r="M24" s="143">
        <f>INT((Sheet2!H55+C28)*5)</f>
        <v>1781</v>
      </c>
      <c r="N24" s="143">
        <f t="shared" si="4"/>
        <v>64149</v>
      </c>
      <c r="O24" s="143">
        <f t="shared" si="5"/>
        <v>6415</v>
      </c>
      <c r="P24" s="143">
        <f t="shared" si="6"/>
        <v>1730</v>
      </c>
      <c r="Q24" s="143">
        <f t="shared" si="7"/>
        <v>72290</v>
      </c>
      <c r="R24" s="143">
        <f>Q24*(Sheet2!H55/(Sheet2!H55+C28))</f>
        <v>22554.077176345676</v>
      </c>
      <c r="S24" s="144"/>
      <c r="T24" s="144"/>
      <c r="U24" s="145"/>
    </row>
    <row r="25" spans="2:50">
      <c r="B25" s="124">
        <v>3</v>
      </c>
      <c r="C25" s="125">
        <v>277.8</v>
      </c>
      <c r="D25" s="127">
        <v>3</v>
      </c>
      <c r="H25" s="142"/>
      <c r="I25">
        <v>7</v>
      </c>
      <c r="J25">
        <f>IF((Sheet2!I55+C29)&lt;=300, 910, IF((Sheet2!I55+C29)&lt;=450, 1600, 7300))</f>
        <v>1600</v>
      </c>
      <c r="K25">
        <f>INT(IF((Sheet2!I55+C29)&lt;=300, (Sheet2!I55+C29)*120, IF((Sheet2!I55+C29)&lt;=450, 36000+((Sheet2!I55+C29)-300)*214.6, 68190+((Sheet2!I55+C29)-450)*307.3)))</f>
        <v>49986</v>
      </c>
      <c r="L25" s="143">
        <f>INT((Sheet2!I55+C29)*9)</f>
        <v>3286</v>
      </c>
      <c r="M25" s="143">
        <f>INT((Sheet2!I55+C29)*5)</f>
        <v>1825</v>
      </c>
      <c r="N25" s="143">
        <f t="shared" si="4"/>
        <v>56697</v>
      </c>
      <c r="O25" s="143">
        <f t="shared" si="5"/>
        <v>5670</v>
      </c>
      <c r="P25" s="143">
        <f t="shared" si="6"/>
        <v>1530</v>
      </c>
      <c r="Q25" s="143">
        <f t="shared" si="7"/>
        <v>63890</v>
      </c>
      <c r="R25" s="143">
        <f>Q25*(Sheet2!I55/(Sheet2!I55+C29))</f>
        <v>8953.3279040227026</v>
      </c>
      <c r="S25" s="144"/>
      <c r="T25" s="144"/>
      <c r="U25" s="145"/>
    </row>
    <row r="26" spans="2:50">
      <c r="B26" s="124">
        <v>4</v>
      </c>
      <c r="C26" s="125">
        <v>255.6</v>
      </c>
      <c r="D26" s="127">
        <v>4</v>
      </c>
      <c r="H26" s="142"/>
      <c r="I26">
        <v>8</v>
      </c>
      <c r="J26">
        <f>IF((Sheet2!J55+C30)&lt;=300, 910, IF((Sheet2!J55+C30)&lt;=450, 1600, 7300))</f>
        <v>1600</v>
      </c>
      <c r="K26">
        <f>INT(IF((Sheet2!J55+C30)&lt;=300, (Sheet2!J55+C30)*120, IF((Sheet2!J55+C30)&lt;=450, 36000+((Sheet2!J55+C30)-300)*214.6, 68190+((Sheet2!J55+C30)-450)*307.3)))</f>
        <v>57483</v>
      </c>
      <c r="L26" s="143">
        <f>INT((Sheet2!J55+C30)*9)</f>
        <v>3600</v>
      </c>
      <c r="M26" s="143">
        <f>INT((Sheet2!J55+C30)*5)</f>
        <v>2000</v>
      </c>
      <c r="N26" s="143">
        <f t="shared" si="4"/>
        <v>64683</v>
      </c>
      <c r="O26" s="143">
        <f t="shared" si="5"/>
        <v>6468</v>
      </c>
      <c r="P26" s="143">
        <f t="shared" si="6"/>
        <v>1740</v>
      </c>
      <c r="Q26" s="143">
        <f t="shared" si="7"/>
        <v>72890</v>
      </c>
      <c r="R26" s="143">
        <f>Q26*(Sheet2!J55/(Sheet2!J55+C30))</f>
        <v>8436.2022782762033</v>
      </c>
      <c r="S26" s="144"/>
      <c r="T26" s="144"/>
      <c r="U26" s="145"/>
    </row>
    <row r="27" spans="2:50">
      <c r="B27" s="124">
        <v>5</v>
      </c>
      <c r="C27" s="125">
        <v>243.5</v>
      </c>
      <c r="D27" s="127">
        <v>5</v>
      </c>
      <c r="H27" s="142"/>
      <c r="I27">
        <v>9</v>
      </c>
      <c r="J27">
        <f>IF((Sheet2!K55+C31)&lt;=200, 910, IF((Sheet2!K55+C31)&lt;=400, 1600, 7300))</f>
        <v>1600</v>
      </c>
      <c r="K27" s="143">
        <f>INT(IF((Sheet2!K55+C31)&lt;=200, (Sheet2!K55+C31)*120, IF((Sheet2!K55+C31)&lt;=400, 24000+((Sheet2!K55+C31)-200)*214.6, 66920+((Sheet2!K55+C31)-400)*307.3)))</f>
        <v>56609</v>
      </c>
      <c r="L27" s="143">
        <f>INT((Sheet2!K55+C31)*9)</f>
        <v>3167</v>
      </c>
      <c r="M27" s="143">
        <f>INT((Sheet2!K55+C31)*5)</f>
        <v>1759</v>
      </c>
      <c r="N27" s="143">
        <f t="shared" si="4"/>
        <v>63135</v>
      </c>
      <c r="O27" s="143">
        <f t="shared" si="5"/>
        <v>6314</v>
      </c>
      <c r="P27" s="143">
        <f t="shared" si="6"/>
        <v>1700</v>
      </c>
      <c r="Q27" s="143">
        <f t="shared" si="7"/>
        <v>71140</v>
      </c>
      <c r="R27" s="143">
        <f>Q27*(Sheet2!K55/(Sheet2!K55+C31))</f>
        <v>13897.150821820496</v>
      </c>
      <c r="S27" s="144"/>
      <c r="T27" s="144"/>
      <c r="U27" s="145"/>
      <c r="AK27" s="9"/>
    </row>
    <row r="28" spans="2:50">
      <c r="B28" s="124">
        <v>6</v>
      </c>
      <c r="C28" s="125">
        <v>245.2</v>
      </c>
      <c r="D28" s="127">
        <v>6</v>
      </c>
      <c r="H28" s="142"/>
      <c r="I28">
        <v>10</v>
      </c>
      <c r="J28">
        <f>IF((Sheet2!L55+C32)&lt;=200, 910, IF((Sheet2!L55+C32)&lt;=400, 1600, 7300))</f>
        <v>1600</v>
      </c>
      <c r="K28" s="143">
        <f>INT(IF((Sheet2!L55+C32)&lt;=200, (Sheet2!L55+C32)*120, IF((Sheet2!L55+C32)&lt;=400, 24000+((Sheet2!L55+C32)-200)*214.6, 66920+((Sheet2!L55+C32)-400)*307.3)))</f>
        <v>47942</v>
      </c>
      <c r="L28" s="143">
        <f>INT((Sheet2!L55+C32)*9)</f>
        <v>2804</v>
      </c>
      <c r="M28" s="143">
        <f>INT((Sheet2!L55+C32)*5)</f>
        <v>1557</v>
      </c>
      <c r="N28" s="143">
        <f t="shared" si="4"/>
        <v>53903</v>
      </c>
      <c r="O28" s="143">
        <f t="shared" si="5"/>
        <v>5390</v>
      </c>
      <c r="P28" s="143">
        <f t="shared" si="6"/>
        <v>1450</v>
      </c>
      <c r="Q28" s="143">
        <f t="shared" si="7"/>
        <v>60740</v>
      </c>
      <c r="R28" s="143">
        <f>Q28*(Sheet2!L55/(Sheet2!L55+C32))</f>
        <v>12919.039877388854</v>
      </c>
      <c r="S28" s="144"/>
      <c r="T28" s="144"/>
      <c r="U28" s="145"/>
      <c r="AK28" s="129"/>
    </row>
    <row r="29" spans="2:50">
      <c r="B29" s="124">
        <v>7</v>
      </c>
      <c r="C29" s="125">
        <v>314</v>
      </c>
      <c r="D29" s="127">
        <v>7</v>
      </c>
      <c r="H29" s="142"/>
      <c r="I29">
        <v>11</v>
      </c>
      <c r="J29">
        <f>IF((Sheet2!M55+C33)&lt;=200, 910, IF((Sheet2!M55+C33)&lt;=400, 1600, 7300))</f>
        <v>7300</v>
      </c>
      <c r="K29" s="143">
        <f>INT(IF((Sheet2!M55+C33)&lt;=200, (Sheet2!M55+C33)*120, IF((Sheet2!M55+C33)&lt;=400, 24000+((Sheet2!M55+C33)-200)*214.6, 66920+((Sheet2!M55+C33)-400)*307.3)))</f>
        <v>100581</v>
      </c>
      <c r="L29" s="143">
        <f>INT((Sheet2!M55+C33)*9)</f>
        <v>4585</v>
      </c>
      <c r="M29" s="143">
        <f>INT((Sheet2!M55+C33)*5)</f>
        <v>2547</v>
      </c>
      <c r="N29" s="143">
        <f t="shared" si="4"/>
        <v>115013</v>
      </c>
      <c r="O29" s="143">
        <f t="shared" si="5"/>
        <v>11501</v>
      </c>
      <c r="P29" s="143">
        <f t="shared" si="6"/>
        <v>3100</v>
      </c>
      <c r="Q29" s="143">
        <f t="shared" si="7"/>
        <v>129610</v>
      </c>
      <c r="R29" s="143">
        <f>Q29*(Sheet2!M55/(Sheet2!M55+C33))</f>
        <v>64543.139807255364</v>
      </c>
      <c r="S29" s="144"/>
      <c r="T29" s="144"/>
      <c r="U29" s="145"/>
      <c r="AK29" s="129"/>
    </row>
    <row r="30" spans="2:50">
      <c r="B30" s="124">
        <v>8</v>
      </c>
      <c r="C30" s="125">
        <v>353.8</v>
      </c>
      <c r="D30" s="127">
        <v>8</v>
      </c>
      <c r="H30" s="142"/>
      <c r="I30">
        <v>12</v>
      </c>
      <c r="J30">
        <f>IF((Sheet2!N55+C34)&lt;=200, 910, IF((Sheet2!N55+C34)&lt;=400, 1600, 7300))</f>
        <v>7300</v>
      </c>
      <c r="K30" s="143">
        <f>INT(IF((Sheet2!N55+C34)&lt;=200, (Sheet2!N55+C34)*120, IF((Sheet2!N55+C34)&lt;=400, 24000+((Sheet2!N55+C34)-200)*214.6, 66920+((Sheet2!N55+C34)-400)*307.3)))</f>
        <v>184822</v>
      </c>
      <c r="L30" s="143">
        <f>INT((Sheet2!N55+C34)*9)</f>
        <v>7053</v>
      </c>
      <c r="M30" s="143">
        <f>INT((Sheet2!N55+C34)*5)</f>
        <v>3918</v>
      </c>
      <c r="N30" s="143">
        <f t="shared" si="4"/>
        <v>203093</v>
      </c>
      <c r="O30" s="143">
        <f t="shared" si="5"/>
        <v>20309</v>
      </c>
      <c r="P30" s="143">
        <f t="shared" si="6"/>
        <v>5480</v>
      </c>
      <c r="Q30" s="143">
        <f t="shared" si="7"/>
        <v>228880</v>
      </c>
      <c r="R30" s="143">
        <f>Q30*(Sheet2!N55/(Sheet2!N55+C34))</f>
        <v>148855.36464203536</v>
      </c>
      <c r="S30" s="144"/>
      <c r="T30" s="144"/>
      <c r="U30" s="145"/>
      <c r="AK30" s="129"/>
    </row>
    <row r="31" spans="2:50">
      <c r="B31" s="124">
        <v>9</v>
      </c>
      <c r="C31" s="125">
        <v>283.2</v>
      </c>
      <c r="D31" s="127">
        <v>9</v>
      </c>
      <c r="H31" s="142"/>
      <c r="I31" s="148" t="s">
        <v>410</v>
      </c>
      <c r="J31" s="6" t="s">
        <v>384</v>
      </c>
      <c r="K31" s="6" t="s">
        <v>385</v>
      </c>
      <c r="L31" s="6" t="s">
        <v>386</v>
      </c>
      <c r="M31" s="6" t="s">
        <v>387</v>
      </c>
      <c r="N31" s="6" t="s">
        <v>388</v>
      </c>
      <c r="O31" s="6" t="s">
        <v>389</v>
      </c>
      <c r="P31" s="6" t="s">
        <v>390</v>
      </c>
      <c r="Q31" s="6" t="s">
        <v>391</v>
      </c>
      <c r="R31" s="6" t="s">
        <v>412</v>
      </c>
      <c r="S31" s="146">
        <f>SUM(R32:R43)</f>
        <v>486104.98142944288</v>
      </c>
      <c r="T31" s="146">
        <f>Sheet2!O18</f>
        <v>1157329.3336407086</v>
      </c>
      <c r="U31" s="147">
        <f>(T31-S31)/T31</f>
        <v>0.57997696308252955</v>
      </c>
      <c r="AK31" s="129"/>
    </row>
    <row r="32" spans="2:50">
      <c r="B32" s="124">
        <v>10</v>
      </c>
      <c r="C32" s="125">
        <v>245.3</v>
      </c>
      <c r="D32" s="127">
        <v>10</v>
      </c>
      <c r="H32" s="142"/>
      <c r="I32">
        <v>1</v>
      </c>
      <c r="J32">
        <f>IF((Sheet2!C56+C23)&lt;=200, 910, IF((Sheet2!C56+C23)&lt;=400, 1600, 7300))</f>
        <v>7300</v>
      </c>
      <c r="K32" s="143">
        <f>INT(IF((Sheet2!C56+C23)&lt;=200, (Sheet2!C56+C23)*120, IF((Sheet2!C56+C23)&lt;=400, 24000+((Sheet2!C56+C23)-200)*214.6, 66920+((Sheet2!C56+C23)-400)*307.3)))</f>
        <v>153105</v>
      </c>
      <c r="L32" s="143">
        <f>INT((Sheet2!C56+C23)*9)</f>
        <v>6124</v>
      </c>
      <c r="M32" s="143">
        <f>INT((Sheet2!C56+C23)*5)</f>
        <v>3402</v>
      </c>
      <c r="N32" s="143">
        <f t="shared" ref="N32:N43" si="8">SUM(J32:M32)</f>
        <v>169931</v>
      </c>
      <c r="O32" s="143">
        <f t="shared" ref="O32:O43" si="9">ROUND(N32*0.1, 0)</f>
        <v>16993</v>
      </c>
      <c r="P32" s="143">
        <f t="shared" ref="P32:P43" si="10">FLOOR(N32*0.027, 10)</f>
        <v>4580</v>
      </c>
      <c r="Q32" s="143">
        <f t="shared" ref="Q32:Q43" si="11">FLOOR(N32+O32+P32, 10)</f>
        <v>191500</v>
      </c>
      <c r="R32" s="143">
        <f>Q32*(Sheet2!C56/(Sheet2!C56+C23))</f>
        <v>105524.08937276388</v>
      </c>
      <c r="S32" s="144"/>
      <c r="T32" s="144"/>
      <c r="U32" s="145"/>
      <c r="AK32" s="129"/>
    </row>
    <row r="33" spans="2:37">
      <c r="B33" s="124">
        <v>11</v>
      </c>
      <c r="C33" s="125">
        <v>255.8</v>
      </c>
      <c r="D33" s="127">
        <v>11</v>
      </c>
      <c r="H33" s="142"/>
      <c r="I33">
        <v>2</v>
      </c>
      <c r="J33">
        <f>IF((Sheet2!D56+C24)&lt;=200, 910, IF((Sheet2!D56+C24)&lt;=400, 1600, 7300))</f>
        <v>7300</v>
      </c>
      <c r="K33" s="143">
        <f>INT(IF((Sheet2!D56+C24)&lt;=200, (Sheet2!D56+C24)*120, IF((Sheet2!D56+C24)&lt;=400, 24000+((Sheet2!D56+C24)-200)*214.6, 66920+((Sheet2!D56+C24)-400)*307.3)))</f>
        <v>168705</v>
      </c>
      <c r="L33" s="143">
        <f>INT((Sheet2!D56+C24)*9)</f>
        <v>6581</v>
      </c>
      <c r="M33" s="143">
        <f>INT((Sheet2!D56+C24)*5)</f>
        <v>3656</v>
      </c>
      <c r="N33" s="143">
        <f t="shared" si="8"/>
        <v>186242</v>
      </c>
      <c r="O33" s="143">
        <f t="shared" si="9"/>
        <v>18624</v>
      </c>
      <c r="P33" s="143">
        <f t="shared" si="10"/>
        <v>5020</v>
      </c>
      <c r="Q33" s="143">
        <f t="shared" si="11"/>
        <v>209880</v>
      </c>
      <c r="R33" s="143">
        <f>Q33*(Sheet2!D56/(Sheet2!D56+C24))</f>
        <v>123571.64640264657</v>
      </c>
      <c r="S33" s="144"/>
      <c r="T33" s="144"/>
      <c r="U33" s="145"/>
      <c r="AK33" s="129"/>
    </row>
    <row r="34" spans="2:37">
      <c r="B34" s="124">
        <v>12</v>
      </c>
      <c r="C34" s="125">
        <v>274</v>
      </c>
      <c r="D34" s="127">
        <v>12</v>
      </c>
      <c r="H34" s="142"/>
      <c r="I34">
        <v>3</v>
      </c>
      <c r="J34">
        <f>IF((Sheet2!E56+C25)&lt;=200, 910, IF((Sheet2!E56+C25)&lt;=400, 1600, 7300))</f>
        <v>7300</v>
      </c>
      <c r="K34" s="143">
        <f>INT(IF((Sheet2!E56+C25)&lt;=200, (Sheet2!E56+C25)*120, IF((Sheet2!E56+C25)&lt;=400, 24000+((Sheet2!E56+C25)-200)*214.6, 66920+((Sheet2!E56+C25)-400)*307.3)))</f>
        <v>80524</v>
      </c>
      <c r="L34" s="143">
        <f>INT((Sheet2!E56+C25)*9)</f>
        <v>3998</v>
      </c>
      <c r="M34" s="143">
        <f>INT((Sheet2!E56+C25)*5)</f>
        <v>2221</v>
      </c>
      <c r="N34" s="143">
        <f t="shared" si="8"/>
        <v>94043</v>
      </c>
      <c r="O34" s="143">
        <f t="shared" si="9"/>
        <v>9404</v>
      </c>
      <c r="P34" s="143">
        <f t="shared" si="10"/>
        <v>2530</v>
      </c>
      <c r="Q34" s="143">
        <f t="shared" si="11"/>
        <v>105970</v>
      </c>
      <c r="R34" s="143">
        <f>Q34*(Sheet2!E56/(Sheet2!E56+C25))</f>
        <v>39707.553053888281</v>
      </c>
      <c r="S34" s="144"/>
      <c r="T34" s="144"/>
      <c r="U34" s="145"/>
      <c r="AK34" s="129"/>
    </row>
    <row r="35" spans="2:37">
      <c r="H35" s="142"/>
      <c r="I35">
        <v>4</v>
      </c>
      <c r="J35">
        <f>IF((Sheet2!F56+C26)&lt;=200, 910, IF((Sheet2!F56+C26)&lt;=400, 1600, 7300))</f>
        <v>1600</v>
      </c>
      <c r="K35" s="143">
        <f>INT(IF((Sheet2!F56+C26)&lt;=200, (Sheet2!F56+C26)*120, IF((Sheet2!F56+C26)&lt;=400, 24000+((Sheet2!F56+C26)-200)*214.6, 66920+((Sheet2!F56+C26)-400)*307.3)))</f>
        <v>57634</v>
      </c>
      <c r="L35" s="143">
        <f>INT((Sheet2!F56+C26)*9)</f>
        <v>3210</v>
      </c>
      <c r="M35" s="143">
        <f>INT((Sheet2!F56+C26)*5)</f>
        <v>1783</v>
      </c>
      <c r="N35" s="143">
        <f t="shared" si="8"/>
        <v>64227</v>
      </c>
      <c r="O35" s="143">
        <f t="shared" si="9"/>
        <v>6423</v>
      </c>
      <c r="P35" s="143">
        <f t="shared" si="10"/>
        <v>1730</v>
      </c>
      <c r="Q35" s="143">
        <f t="shared" si="11"/>
        <v>72380</v>
      </c>
      <c r="R35" s="143">
        <f>Q35*(Sheet2!F56/(Sheet2!F56+C26))</f>
        <v>20519.160485246659</v>
      </c>
      <c r="S35" s="144"/>
      <c r="T35" s="144"/>
      <c r="U35" s="145"/>
      <c r="AK35" s="129"/>
    </row>
    <row r="36" spans="2:37">
      <c r="C36" t="s">
        <v>429</v>
      </c>
      <c r="H36" s="142"/>
      <c r="I36">
        <v>5</v>
      </c>
      <c r="J36">
        <f>IF((Sheet2!G56+C27)&lt;=200, 910, IF((Sheet2!G56+C27)&lt;=400, 1600, 7300))</f>
        <v>1600</v>
      </c>
      <c r="K36" s="143">
        <f>INT(IF((Sheet2!G56+C27)&lt;=200, (Sheet2!G56+C27)*120, IF((Sheet2!G56+C27)&lt;=400, 24000+((Sheet2!G56+C27)-200)*214.6, 66920+((Sheet2!G56+C27)-400)*307.3)))</f>
        <v>51386</v>
      </c>
      <c r="L36" s="143">
        <f>INT((Sheet2!G56+C27)*9)</f>
        <v>2948</v>
      </c>
      <c r="M36" s="143">
        <f>INT((Sheet2!G56+C27)*5)</f>
        <v>1638</v>
      </c>
      <c r="N36" s="143">
        <f t="shared" si="8"/>
        <v>57572</v>
      </c>
      <c r="O36" s="143">
        <f t="shared" si="9"/>
        <v>5757</v>
      </c>
      <c r="P36" s="143">
        <f t="shared" si="10"/>
        <v>1550</v>
      </c>
      <c r="Q36" s="143">
        <f t="shared" si="11"/>
        <v>64870</v>
      </c>
      <c r="R36" s="143">
        <f>Q36*(Sheet2!G56/(Sheet2!G56+C27))</f>
        <v>16655.87097346571</v>
      </c>
      <c r="S36" s="144"/>
      <c r="T36" s="144"/>
      <c r="U36" s="145"/>
      <c r="AK36" s="129"/>
    </row>
    <row r="37" spans="2:37">
      <c r="B37" s="124">
        <v>1</v>
      </c>
      <c r="C37" s="128">
        <f>IFERROR(INDEX($AM$5:$AM$21, MATCH(Sheet2!$B$19, $AK$5:$AK$21, 0)) * Sheet2!$C$29, 0)</f>
        <v>192.65508</v>
      </c>
      <c r="D37" s="127">
        <v>1</v>
      </c>
      <c r="H37" s="142"/>
      <c r="I37">
        <v>6</v>
      </c>
      <c r="J37">
        <f>IF((Sheet2!H56+C28)&lt;=200, 910, IF((Sheet2!H56+C28)&lt;=400, 1600, 7300))</f>
        <v>1600</v>
      </c>
      <c r="K37" s="143">
        <f>INT(IF((Sheet2!H56+C28)&lt;=200, (Sheet2!H56+C28)*120, IF((Sheet2!H56+C28)&lt;=400, 24000+((Sheet2!H56+C28)-200)*214.6, 66920+((Sheet2!H56+C28)-400)*307.3)))</f>
        <v>49972</v>
      </c>
      <c r="L37" s="143">
        <f>INT((Sheet2!H56+C28)*9)</f>
        <v>2889</v>
      </c>
      <c r="M37" s="143">
        <f>INT((Sheet2!H56+C28)*5)</f>
        <v>1605</v>
      </c>
      <c r="N37" s="143">
        <f t="shared" si="8"/>
        <v>56066</v>
      </c>
      <c r="O37" s="143">
        <f t="shared" si="9"/>
        <v>5607</v>
      </c>
      <c r="P37" s="143">
        <f t="shared" si="10"/>
        <v>1510</v>
      </c>
      <c r="Q37" s="143">
        <f t="shared" si="11"/>
        <v>63180</v>
      </c>
      <c r="R37" s="143">
        <f>Q37*(Sheet2!H56/(Sheet2!H56+C28))</f>
        <v>14922.929863169371</v>
      </c>
      <c r="S37" s="144"/>
      <c r="T37" s="144"/>
      <c r="U37" s="145"/>
      <c r="AK37" s="129"/>
    </row>
    <row r="38" spans="2:37">
      <c r="B38" s="124">
        <v>2</v>
      </c>
      <c r="C38" s="128">
        <f>IFERROR(INDEX($AN$5:$AN$21, MATCH(Sheet2!$B$19, $AK$5:$AK$21, 0)) * Sheet2!$C$29, 0)</f>
        <v>200.39796000000001</v>
      </c>
      <c r="D38" s="127">
        <v>2</v>
      </c>
      <c r="H38" s="142"/>
      <c r="I38">
        <v>7</v>
      </c>
      <c r="J38">
        <f>IF((Sheet2!I56+C29)&lt;=300, 910, IF((Sheet2!I56+C29)&lt;=450, 1600, 7300))</f>
        <v>1600</v>
      </c>
      <c r="K38">
        <f>INT(IF((Sheet2!I56+C29)&lt;=300, (Sheet2!I56+C29)*120, IF((Sheet2!I56+C29)&lt;=450, 36000+((Sheet2!I56+C29)-300)*214.6, 68190+((Sheet2!I56+C29)-450)*307.3)))</f>
        <v>46493</v>
      </c>
      <c r="L38" s="143">
        <f>INT((Sheet2!I56+C29)*9)</f>
        <v>3140</v>
      </c>
      <c r="M38" s="143">
        <f>INT((Sheet2!I56+C29)*5)</f>
        <v>1744</v>
      </c>
      <c r="N38" s="143">
        <f t="shared" si="8"/>
        <v>52977</v>
      </c>
      <c r="O38" s="143">
        <f t="shared" si="9"/>
        <v>5298</v>
      </c>
      <c r="P38" s="143">
        <f t="shared" si="10"/>
        <v>1430</v>
      </c>
      <c r="Q38" s="143">
        <f t="shared" si="11"/>
        <v>59700</v>
      </c>
      <c r="R38" s="143">
        <f>Q38*(Sheet2!I56/(Sheet2!I56+C29))</f>
        <v>5971.2733937654384</v>
      </c>
      <c r="S38" s="144"/>
      <c r="T38" s="144"/>
      <c r="U38" s="145"/>
      <c r="AK38" s="129"/>
    </row>
    <row r="39" spans="2:37">
      <c r="B39" s="124">
        <v>3</v>
      </c>
      <c r="C39" s="128">
        <f>IFERROR(INDEX($AO$5:$AO$21, MATCH(Sheet2!$B$19, $AK$5:$AK$21, 0)) * Sheet2!$C$29, 0)</f>
        <v>261.34766999999999</v>
      </c>
      <c r="D39" s="127">
        <v>3</v>
      </c>
      <c r="H39" s="142"/>
      <c r="I39">
        <v>8</v>
      </c>
      <c r="J39">
        <f>IF((Sheet2!J56+C30)&lt;=300, 910, IF((Sheet2!J56+C30)&lt;=450, 1600, 7300))</f>
        <v>1600</v>
      </c>
      <c r="K39">
        <f>INT(IF((Sheet2!J56+C30)&lt;=300, (Sheet2!J56+C30)*120, IF((Sheet2!J56+C30)&lt;=450, 36000+((Sheet2!J56+C30)-300)*214.6, 68190+((Sheet2!J56+C30)-450)*307.3)))</f>
        <v>54322</v>
      </c>
      <c r="L39" s="143">
        <f>INT((Sheet2!J56+C30)*9)</f>
        <v>3468</v>
      </c>
      <c r="M39" s="143">
        <f>INT((Sheet2!J56+C30)*5)</f>
        <v>1926</v>
      </c>
      <c r="N39" s="143">
        <f t="shared" si="8"/>
        <v>61316</v>
      </c>
      <c r="O39" s="143">
        <f t="shared" si="9"/>
        <v>6132</v>
      </c>
      <c r="P39" s="143">
        <f t="shared" si="10"/>
        <v>1650</v>
      </c>
      <c r="Q39" s="143">
        <f t="shared" si="11"/>
        <v>69090</v>
      </c>
      <c r="R39" s="143">
        <f>Q39*(Sheet2!J56/(Sheet2!J56+C30))</f>
        <v>5661.3763420419245</v>
      </c>
      <c r="S39" s="144"/>
      <c r="T39" s="144"/>
      <c r="U39" s="145"/>
      <c r="AK39" s="129"/>
    </row>
    <row r="40" spans="2:37">
      <c r="B40" s="124">
        <v>4</v>
      </c>
      <c r="C40" s="128">
        <f>IFERROR(INDEX($AP$5:$AP$21, MATCH(Sheet2!$B$19, $AK$5:$AK$21, 0)) * Sheet2!$C$29, 0)</f>
        <v>348.42959999999999</v>
      </c>
      <c r="D40" s="127">
        <v>4</v>
      </c>
      <c r="H40" s="142"/>
      <c r="I40">
        <v>9</v>
      </c>
      <c r="J40">
        <f>IF((Sheet2!K56+C31)&lt;=200, 910, IF((Sheet2!K56+C31)&lt;=400, 1600, 7300))</f>
        <v>1600</v>
      </c>
      <c r="K40" s="143">
        <f>INT(IF((Sheet2!K56+C31)&lt;=200, (Sheet2!K56+C31)*120, IF((Sheet2!K56+C31)&lt;=400, 24000+((Sheet2!K56+C31)-200)*214.6, 66920+((Sheet2!K56+C31)-400)*307.3)))</f>
        <v>51916</v>
      </c>
      <c r="L40" s="143">
        <f>INT((Sheet2!K56+C31)*9)</f>
        <v>2970</v>
      </c>
      <c r="M40" s="143">
        <f>INT((Sheet2!K56+C31)*5)</f>
        <v>1650</v>
      </c>
      <c r="N40" s="143">
        <f t="shared" si="8"/>
        <v>58136</v>
      </c>
      <c r="O40" s="143">
        <f t="shared" si="9"/>
        <v>5814</v>
      </c>
      <c r="P40" s="143">
        <f t="shared" si="10"/>
        <v>1560</v>
      </c>
      <c r="Q40" s="143">
        <f t="shared" si="11"/>
        <v>65510</v>
      </c>
      <c r="R40" s="143">
        <f>Q40*(Sheet2!K56/(Sheet2!K56+C31))</f>
        <v>9305.0251625355322</v>
      </c>
      <c r="S40" s="144"/>
      <c r="T40" s="144"/>
      <c r="U40" s="145"/>
      <c r="AK40" s="9"/>
    </row>
    <row r="41" spans="2:37">
      <c r="B41" s="124">
        <v>5</v>
      </c>
      <c r="C41" s="128">
        <f>IFERROR(INDEX($AQ$5:$AQ$21, MATCH(Sheet2!$B$19, $AK$5:$AK$21, 0)) * Sheet2!$C$29, 0)</f>
        <v>313.45929000000001</v>
      </c>
      <c r="D41" s="127">
        <v>5</v>
      </c>
      <c r="H41" s="142"/>
      <c r="I41">
        <v>10</v>
      </c>
      <c r="J41">
        <f>IF((Sheet2!L56+C32)&lt;=200, 910, IF((Sheet2!L56+C32)&lt;=400, 1600, 7300))</f>
        <v>1600</v>
      </c>
      <c r="K41" s="143">
        <f>INT(IF((Sheet2!L56+C32)&lt;=200, (Sheet2!L56+C32)*120, IF((Sheet2!L56+C32)&lt;=400, 24000+((Sheet2!L56+C32)-200)*214.6, 66920+((Sheet2!L56+C32)-400)*307.3)))</f>
        <v>43419</v>
      </c>
      <c r="L41" s="143">
        <f>INT((Sheet2!L56+C32)*9)</f>
        <v>2614</v>
      </c>
      <c r="M41" s="143">
        <f>INT((Sheet2!L56+C32)*5)</f>
        <v>1452</v>
      </c>
      <c r="N41" s="143">
        <f t="shared" si="8"/>
        <v>49085</v>
      </c>
      <c r="O41" s="143">
        <f t="shared" si="9"/>
        <v>4909</v>
      </c>
      <c r="P41" s="143">
        <f t="shared" si="10"/>
        <v>1320</v>
      </c>
      <c r="Q41" s="143">
        <f t="shared" si="11"/>
        <v>55310</v>
      </c>
      <c r="R41" s="143">
        <f>Q41*(Sheet2!L56/(Sheet2!L56+C32))</f>
        <v>8604.376188119475</v>
      </c>
      <c r="S41" s="144"/>
      <c r="T41" s="144"/>
      <c r="U41" s="145"/>
      <c r="AK41" s="9"/>
    </row>
    <row r="42" spans="2:37">
      <c r="B42" s="124">
        <v>6</v>
      </c>
      <c r="C42" s="128">
        <f>IFERROR(INDEX($AR$5:$AR$21, MATCH(Sheet2!$B$19, $AK$5:$AK$21, 0)) * Sheet2!$C$29, 0)</f>
        <v>278.8965</v>
      </c>
      <c r="D42" s="127">
        <v>6</v>
      </c>
      <c r="H42" s="142"/>
      <c r="I42">
        <v>11</v>
      </c>
      <c r="J42">
        <f>IF((Sheet2!M56+C33)&lt;=200, 910, IF((Sheet2!M56+C33)&lt;=400, 1600, 7300))</f>
        <v>7300</v>
      </c>
      <c r="K42" s="143">
        <f>INT(IF((Sheet2!M56+C33)&lt;=200, (Sheet2!M56+C33)*120, IF((Sheet2!M56+C33)&lt;=400, 24000+((Sheet2!M56+C33)-200)*214.6, 66920+((Sheet2!M56+C33)-400)*307.3)))</f>
        <v>75780</v>
      </c>
      <c r="L42" s="143">
        <f>INT((Sheet2!M56+C33)*9)</f>
        <v>3859</v>
      </c>
      <c r="M42" s="143">
        <f>INT((Sheet2!M56+C33)*5)</f>
        <v>2144</v>
      </c>
      <c r="N42" s="143">
        <f t="shared" si="8"/>
        <v>89083</v>
      </c>
      <c r="O42" s="143">
        <f t="shared" si="9"/>
        <v>8908</v>
      </c>
      <c r="P42" s="143">
        <f t="shared" si="10"/>
        <v>2400</v>
      </c>
      <c r="Q42" s="143">
        <f t="shared" si="11"/>
        <v>100390</v>
      </c>
      <c r="R42" s="143">
        <f>Q42*(Sheet2!M56/(Sheet2!M56+C33))</f>
        <v>40507.109768678311</v>
      </c>
      <c r="S42" s="144"/>
      <c r="T42" s="144"/>
      <c r="U42" s="145"/>
      <c r="AK42" s="6"/>
    </row>
    <row r="43" spans="2:37">
      <c r="B43" s="124">
        <v>7</v>
      </c>
      <c r="C43" s="128">
        <f>IFERROR(INDEX($AS$5:$AS$21, MATCH(Sheet2!$B$19, $AK$5:$AK$21, 0)) * Sheet2!$C$29, 0)</f>
        <v>322.93412999999998</v>
      </c>
      <c r="D43" s="127">
        <v>7</v>
      </c>
      <c r="H43" s="142"/>
      <c r="I43">
        <v>12</v>
      </c>
      <c r="J43">
        <f>IF((Sheet2!N56+C34)&lt;=200, 910, IF((Sheet2!N56+C34)&lt;=400, 1600, 7300))</f>
        <v>7300</v>
      </c>
      <c r="K43" s="143">
        <f>INT(IF((Sheet2!N56+C34)&lt;=200, (Sheet2!N56+C34)*120, IF((Sheet2!N56+C34)&lt;=400, 24000+((Sheet2!N56+C34)-200)*214.6, 66920+((Sheet2!N56+C34)-400)*307.3)))</f>
        <v>135005</v>
      </c>
      <c r="L43" s="143">
        <f>INT((Sheet2!N56+C34)*9)</f>
        <v>5594</v>
      </c>
      <c r="M43" s="143">
        <f>INT((Sheet2!N56+C34)*5)</f>
        <v>3107</v>
      </c>
      <c r="N43" s="143">
        <f t="shared" si="8"/>
        <v>151006</v>
      </c>
      <c r="O43" s="143">
        <f t="shared" si="9"/>
        <v>15101</v>
      </c>
      <c r="P43" s="143">
        <f t="shared" si="10"/>
        <v>4070</v>
      </c>
      <c r="Q43" s="143">
        <f t="shared" si="11"/>
        <v>170170</v>
      </c>
      <c r="R43" s="143">
        <f>Q43*(Sheet2!N56/(Sheet2!N56+C34))</f>
        <v>95154.570423121695</v>
      </c>
      <c r="S43" s="144"/>
      <c r="T43" s="144"/>
      <c r="U43" s="145"/>
      <c r="AK43" s="6"/>
    </row>
    <row r="44" spans="2:37">
      <c r="B44" s="124">
        <v>8</v>
      </c>
      <c r="C44" s="128">
        <f>IFERROR(INDEX($AT$5:$AT$21, MATCH(Sheet2!$B$19, $AK$5:$AK$21, 0)) * Sheet2!$C$29, 0)</f>
        <v>254.24154000000004</v>
      </c>
      <c r="D44" s="127">
        <v>8</v>
      </c>
      <c r="H44" s="142"/>
      <c r="I44" t="s">
        <v>79</v>
      </c>
      <c r="J44" s="6" t="s">
        <v>384</v>
      </c>
      <c r="K44" s="6" t="s">
        <v>385</v>
      </c>
      <c r="L44" s="6" t="s">
        <v>386</v>
      </c>
      <c r="M44" s="6" t="s">
        <v>387</v>
      </c>
      <c r="N44" s="6" t="s">
        <v>388</v>
      </c>
      <c r="O44" s="6" t="s">
        <v>389</v>
      </c>
      <c r="P44" s="6" t="s">
        <v>390</v>
      </c>
      <c r="Q44" s="6" t="s">
        <v>391</v>
      </c>
      <c r="R44" s="6" t="s">
        <v>412</v>
      </c>
      <c r="S44" s="146">
        <f>SUM(R45:R56)</f>
        <v>380978.2774811433</v>
      </c>
      <c r="T44" s="146">
        <f>Sheet2!O18</f>
        <v>1157329.3336407086</v>
      </c>
      <c r="U44" s="147">
        <f>(T44-S44)/T44</f>
        <v>0.67081256267594302</v>
      </c>
    </row>
    <row r="45" spans="2:37">
      <c r="B45" s="124">
        <v>9</v>
      </c>
      <c r="C45" s="128">
        <f>IFERROR(INDEX($AU$5:$AU$21, MATCH(Sheet2!$B$19, $AK$5:$AK$21, 0)) * Sheet2!$C$29, 0)</f>
        <v>236.87100000000004</v>
      </c>
      <c r="D45" s="127">
        <v>9</v>
      </c>
      <c r="H45" s="142"/>
      <c r="I45">
        <v>1</v>
      </c>
      <c r="J45">
        <f>IF((Sheet2!C57+C23)&lt;=200, 910, IF((Sheet2!C57+C23)&lt;=400, 1600, 7300))</f>
        <v>7300</v>
      </c>
      <c r="K45" s="143">
        <f>INT(IF((Sheet2!C57+C23)&lt;=200, (Sheet2!C57+C23)*120, IF((Sheet2!C57+C23)&lt;=400, 24000+((Sheet2!C57+C23)-200)*214.6, 66920+((Sheet2!C57+C23)-400)*307.3)))</f>
        <v>131662</v>
      </c>
      <c r="L45" s="143">
        <f>INT((Sheet2!C57+C23)*9)</f>
        <v>5496</v>
      </c>
      <c r="M45" s="143">
        <f>INT((Sheet2!C57+C23)*5)</f>
        <v>3053</v>
      </c>
      <c r="N45" s="143">
        <f t="shared" ref="N45:N56" si="12">SUM(J45:M45)</f>
        <v>147511</v>
      </c>
      <c r="O45" s="143">
        <f t="shared" ref="O45:O56" si="13">ROUND(N45*0.1, 0)</f>
        <v>14751</v>
      </c>
      <c r="P45" s="143">
        <f t="shared" ref="P45:P56" si="14">FLOOR(N45*0.027, 10)</f>
        <v>3980</v>
      </c>
      <c r="Q45" s="143">
        <f t="shared" ref="Q45:Q56" si="15">FLOOR(N45+O45+P45, 10)</f>
        <v>166240</v>
      </c>
      <c r="R45" s="143">
        <f>Q45*(Sheet2!C57/(Sheet2!C57+C23))</f>
        <v>83076.549197270288</v>
      </c>
      <c r="S45" s="144"/>
      <c r="T45" s="144"/>
      <c r="U45" s="145"/>
    </row>
    <row r="46" spans="2:37">
      <c r="B46" s="124">
        <v>10</v>
      </c>
      <c r="C46" s="128">
        <f>IFERROR(INDEX($AV$5:$AV$21, MATCH(Sheet2!$B$19, $AK$5:$AK$21, 0)) * Sheet2!$C$29, 0)</f>
        <v>245.55627000000001</v>
      </c>
      <c r="D46" s="127">
        <v>10</v>
      </c>
      <c r="H46" s="142"/>
      <c r="I46">
        <v>2</v>
      </c>
      <c r="J46">
        <f>IF((Sheet2!D57+C24)&lt;=200, 910, IF((Sheet2!D57+C24)&lt;=400, 1600, 7300))</f>
        <v>7300</v>
      </c>
      <c r="K46" s="143">
        <f>INT(IF((Sheet2!D57+C24)&lt;=200, (Sheet2!D57+C24)*120, IF((Sheet2!D57+C24)&lt;=400, 24000+((Sheet2!D57+C24)-200)*214.6, 66920+((Sheet2!D57+C24)-400)*307.3)))</f>
        <v>144084</v>
      </c>
      <c r="L46" s="143">
        <f>INT((Sheet2!D57+C24)*9)</f>
        <v>5859</v>
      </c>
      <c r="M46" s="143">
        <f>INT((Sheet2!D57+C24)*5)</f>
        <v>3255</v>
      </c>
      <c r="N46" s="143">
        <f t="shared" si="12"/>
        <v>160498</v>
      </c>
      <c r="O46" s="143">
        <f t="shared" si="13"/>
        <v>16050</v>
      </c>
      <c r="P46" s="143">
        <f t="shared" si="14"/>
        <v>4330</v>
      </c>
      <c r="Q46" s="143">
        <f t="shared" si="15"/>
        <v>180870</v>
      </c>
      <c r="R46" s="143">
        <f>Q46*(Sheet2!D57/(Sheet2!D57+C24))</f>
        <v>97338.784647929104</v>
      </c>
      <c r="S46" s="144"/>
      <c r="T46" s="144"/>
      <c r="U46" s="145"/>
    </row>
    <row r="47" spans="2:37">
      <c r="B47" s="124">
        <v>11</v>
      </c>
      <c r="C47" s="128">
        <f>IFERROR(INDEX($AW$5:$AW$21, MATCH(Sheet2!$B$19, $AK$5:$AK$21, 0)) * Sheet2!$C$29, 0)</f>
        <v>237.63510000000002</v>
      </c>
      <c r="D47" s="127">
        <v>11</v>
      </c>
      <c r="H47" s="142"/>
      <c r="I47">
        <v>3</v>
      </c>
      <c r="J47">
        <f>IF((Sheet2!E57+C25)&lt;=200, 910, IF((Sheet2!E57+C25)&lt;=400, 1600, 7300))</f>
        <v>7300</v>
      </c>
      <c r="K47" s="143">
        <f>INT(IF((Sheet2!E57+C25)&lt;=200, (Sheet2!E57+C25)*120, IF((Sheet2!E57+C25)&lt;=400, 24000+((Sheet2!E57+C25)-200)*214.6, 66920+((Sheet2!E57+C25)-400)*307.3)))</f>
        <v>71004</v>
      </c>
      <c r="L47" s="143">
        <f>INT((Sheet2!E57+C25)*9)</f>
        <v>3719</v>
      </c>
      <c r="M47" s="143">
        <f>INT((Sheet2!E57+C25)*5)</f>
        <v>2066</v>
      </c>
      <c r="N47" s="143">
        <f t="shared" si="12"/>
        <v>84089</v>
      </c>
      <c r="O47" s="143">
        <f t="shared" si="13"/>
        <v>8409</v>
      </c>
      <c r="P47" s="143">
        <f t="shared" si="14"/>
        <v>2270</v>
      </c>
      <c r="Q47" s="143">
        <f t="shared" si="15"/>
        <v>94760</v>
      </c>
      <c r="R47" s="143">
        <f>Q47*(Sheet2!E57/(Sheet2!E57+C25))</f>
        <v>31065.51723127134</v>
      </c>
      <c r="S47" s="144"/>
      <c r="T47" s="144"/>
      <c r="U47" s="145"/>
    </row>
    <row r="48" spans="2:37">
      <c r="B48" s="124">
        <v>12</v>
      </c>
      <c r="C48" s="128">
        <f>IFERROR(INDEX($AX$5:$AX$21, MATCH(Sheet2!$B$19, $AK$5:$AK$21, 0)) * Sheet2!$C$29, 0)</f>
        <v>199.76121000000001</v>
      </c>
      <c r="D48" s="127">
        <v>12</v>
      </c>
      <c r="H48" s="142"/>
      <c r="I48">
        <v>4</v>
      </c>
      <c r="J48">
        <f>IF((Sheet2!F57+C26)&lt;=200, 910, IF((Sheet2!F57+C26)&lt;=400, 1600, 7300))</f>
        <v>1600</v>
      </c>
      <c r="K48" s="143">
        <f>INT(IF((Sheet2!F57+C26)&lt;=200, (Sheet2!F57+C26)*120, IF((Sheet2!F57+C26)&lt;=400, 24000+((Sheet2!F57+C26)-200)*214.6, 66920+((Sheet2!F57+C26)-400)*307.3)))</f>
        <v>53595</v>
      </c>
      <c r="L48" s="143">
        <f>INT((Sheet2!F57+C26)*9)</f>
        <v>3041</v>
      </c>
      <c r="M48" s="143">
        <f>INT((Sheet2!F57+C26)*5)</f>
        <v>1689</v>
      </c>
      <c r="N48" s="143">
        <f t="shared" si="12"/>
        <v>59925</v>
      </c>
      <c r="O48" s="143">
        <f t="shared" si="13"/>
        <v>5993</v>
      </c>
      <c r="P48" s="143">
        <f t="shared" si="14"/>
        <v>1610</v>
      </c>
      <c r="Q48" s="143">
        <f t="shared" si="15"/>
        <v>67520</v>
      </c>
      <c r="R48" s="143">
        <f>Q48*(Sheet2!F57/(Sheet2!F57+C26))</f>
        <v>16446.880836851458</v>
      </c>
      <c r="S48" s="144"/>
      <c r="T48" s="144"/>
      <c r="U48" s="145"/>
    </row>
    <row r="49" spans="7:21">
      <c r="H49" s="142"/>
      <c r="I49">
        <v>5</v>
      </c>
      <c r="J49">
        <f>IF((Sheet2!G57+C27)&lt;=200, 910, IF((Sheet2!G57+C27)&lt;=400, 1600, 7300))</f>
        <v>1600</v>
      </c>
      <c r="K49" s="143">
        <f>INT(IF((Sheet2!G57+C27)&lt;=200, (Sheet2!G57+C27)*120, IF((Sheet2!G57+C27)&lt;=400, 24000+((Sheet2!G57+C27)-200)*214.6, 66920+((Sheet2!G57+C27)-400)*307.3)))</f>
        <v>48027</v>
      </c>
      <c r="L49" s="143">
        <f>INT((Sheet2!G57+C27)*9)</f>
        <v>2807</v>
      </c>
      <c r="M49" s="143">
        <f>INT((Sheet2!G57+C27)*5)</f>
        <v>1559</v>
      </c>
      <c r="N49" s="143">
        <f t="shared" si="12"/>
        <v>53993</v>
      </c>
      <c r="O49" s="143">
        <f t="shared" si="13"/>
        <v>5399</v>
      </c>
      <c r="P49" s="143">
        <f t="shared" si="14"/>
        <v>1450</v>
      </c>
      <c r="Q49" s="143">
        <f t="shared" si="15"/>
        <v>60840</v>
      </c>
      <c r="R49" s="143">
        <f>Q49*(Sheet2!G57/(Sheet2!G57+C27))</f>
        <v>13352.040698135701</v>
      </c>
      <c r="S49" s="144"/>
      <c r="T49" s="144"/>
      <c r="U49" s="145"/>
    </row>
    <row r="50" spans="7:21">
      <c r="H50" s="142"/>
      <c r="I50">
        <v>6</v>
      </c>
      <c r="J50">
        <f>IF((Sheet2!H57+C28)&lt;=200, 910, IF((Sheet2!H57+C28)&lt;=400, 1600, 7300))</f>
        <v>1600</v>
      </c>
      <c r="K50" s="143">
        <f>INT(IF((Sheet2!H57+C28)&lt;=200, (Sheet2!H57+C28)*120, IF((Sheet2!H57+C28)&lt;=400, 24000+((Sheet2!H57+C28)-200)*214.6, 66920+((Sheet2!H57+C28)-400)*307.3)))</f>
        <v>46943</v>
      </c>
      <c r="L50" s="143">
        <f>INT((Sheet2!H57+C28)*9)</f>
        <v>2762</v>
      </c>
      <c r="M50" s="143">
        <f>INT((Sheet2!H57+C28)*5)</f>
        <v>1534</v>
      </c>
      <c r="N50" s="143">
        <f t="shared" si="12"/>
        <v>52839</v>
      </c>
      <c r="O50" s="143">
        <f t="shared" si="13"/>
        <v>5284</v>
      </c>
      <c r="P50" s="143">
        <f t="shared" si="14"/>
        <v>1420</v>
      </c>
      <c r="Q50" s="143">
        <f t="shared" si="15"/>
        <v>59540</v>
      </c>
      <c r="R50" s="143">
        <f>Q50*(Sheet2!H57/(Sheet2!H57+C28))</f>
        <v>11972.274175051663</v>
      </c>
      <c r="S50" s="144"/>
      <c r="T50" s="144"/>
      <c r="U50" s="145"/>
    </row>
    <row r="51" spans="7:21">
      <c r="H51" s="142"/>
      <c r="I51">
        <v>7</v>
      </c>
      <c r="J51">
        <f>IF((Sheet2!I57+C29)&lt;=300, 910, IF((Sheet2!I57+C29)&lt;=450, 1600, 7300))</f>
        <v>1600</v>
      </c>
      <c r="K51">
        <f>INT(IF((Sheet2!I57+C29)&lt;=300, (Sheet2!I57+C29)*120, IF((Sheet2!I57+C29)&lt;=450, 36000+((Sheet2!I57+C29)-300)*214.6, 68190+((Sheet2!I57+C29)-450)*307.3)))</f>
        <v>45099</v>
      </c>
      <c r="L51" s="143">
        <f>INT((Sheet2!I57+C29)*9)</f>
        <v>3081</v>
      </c>
      <c r="M51" s="143">
        <f>INT((Sheet2!I57+C29)*5)</f>
        <v>1712</v>
      </c>
      <c r="N51" s="143">
        <f t="shared" si="12"/>
        <v>51492</v>
      </c>
      <c r="O51" s="143">
        <f t="shared" si="13"/>
        <v>5149</v>
      </c>
      <c r="P51" s="143">
        <f t="shared" si="14"/>
        <v>1390</v>
      </c>
      <c r="Q51" s="143">
        <f t="shared" si="15"/>
        <v>58030</v>
      </c>
      <c r="R51" s="143">
        <f>Q51*(Sheet2!I57/(Sheet2!I57+C29))</f>
        <v>4813.6713512380475</v>
      </c>
      <c r="S51" s="144"/>
      <c r="T51" s="144"/>
      <c r="U51" s="145"/>
    </row>
    <row r="52" spans="7:21">
      <c r="H52" s="142"/>
      <c r="I52">
        <v>8</v>
      </c>
      <c r="J52">
        <f>IF((Sheet2!J57+C30)&lt;=300, 910, IF((Sheet2!J57+C30)&lt;=450, 1600, 7300))</f>
        <v>1600</v>
      </c>
      <c r="K52">
        <f>INT(IF((Sheet2!J57+C30)&lt;=300, (Sheet2!J57+C30)*120, IF((Sheet2!J57+C30)&lt;=450, 36000+((Sheet2!J57+C30)-300)*214.6, 68190+((Sheet2!J57+C30)-450)*307.3)))</f>
        <v>53061</v>
      </c>
      <c r="L52" s="143">
        <f>INT((Sheet2!J57+C30)*9)</f>
        <v>3415</v>
      </c>
      <c r="M52" s="143">
        <f>INT((Sheet2!J57+C30)*5)</f>
        <v>1897</v>
      </c>
      <c r="N52" s="143">
        <f t="shared" si="12"/>
        <v>59973</v>
      </c>
      <c r="O52" s="143">
        <f t="shared" si="13"/>
        <v>5997</v>
      </c>
      <c r="P52" s="143">
        <f t="shared" si="14"/>
        <v>1610</v>
      </c>
      <c r="Q52" s="143">
        <f t="shared" si="15"/>
        <v>67580</v>
      </c>
      <c r="R52" s="143">
        <f>Q52*(Sheet2!J57/(Sheet2!J57+C30))</f>
        <v>4576.8838042444822</v>
      </c>
      <c r="S52" s="144"/>
      <c r="T52" s="144"/>
      <c r="U52" s="145"/>
    </row>
    <row r="53" spans="7:21">
      <c r="H53" s="142"/>
      <c r="I53">
        <v>9</v>
      </c>
      <c r="J53">
        <f>IF((Sheet2!K57+C31)&lt;=200, 910, IF((Sheet2!K57+C31)&lt;=400, 1600, 7300))</f>
        <v>1600</v>
      </c>
      <c r="K53" s="143">
        <f>INT(IF((Sheet2!K57+C31)&lt;=200, (Sheet2!K57+C31)*120, IF((Sheet2!K57+C31)&lt;=400, 24000+((Sheet2!K57+C31)-200)*214.6, 66920+((Sheet2!K57+C31)-400)*307.3)))</f>
        <v>50043</v>
      </c>
      <c r="L53" s="143">
        <f>INT((Sheet2!K57+C31)*9)</f>
        <v>2892</v>
      </c>
      <c r="M53" s="143">
        <f>INT((Sheet2!K57+C31)*5)</f>
        <v>1606</v>
      </c>
      <c r="N53" s="143">
        <f t="shared" si="12"/>
        <v>56141</v>
      </c>
      <c r="O53" s="143">
        <f t="shared" si="13"/>
        <v>5614</v>
      </c>
      <c r="P53" s="143">
        <f t="shared" si="14"/>
        <v>1510</v>
      </c>
      <c r="Q53" s="143">
        <f t="shared" si="15"/>
        <v>63260</v>
      </c>
      <c r="R53" s="143">
        <f>Q53*(Sheet2!K57/(Sheet2!K57+C31))</f>
        <v>7511.8113626901541</v>
      </c>
      <c r="S53" s="144"/>
      <c r="T53" s="144"/>
      <c r="U53" s="145"/>
    </row>
    <row r="54" spans="7:21">
      <c r="H54" s="142"/>
      <c r="I54">
        <v>10</v>
      </c>
      <c r="J54">
        <f>IF((Sheet2!L57+C32)&lt;=200, 910, IF((Sheet2!L57+C32)&lt;=400, 1600, 7300))</f>
        <v>1600</v>
      </c>
      <c r="K54" s="143">
        <f>INT(IF((Sheet2!L57+C32)&lt;=200, (Sheet2!L57+C32)*120, IF((Sheet2!L57+C32)&lt;=400, 24000+((Sheet2!L57+C32)-200)*214.6, 66920+((Sheet2!L57+C32)-400)*307.3)))</f>
        <v>41614</v>
      </c>
      <c r="L54" s="143">
        <f>INT((Sheet2!L57+C32)*9)</f>
        <v>2538</v>
      </c>
      <c r="M54" s="143">
        <f>INT((Sheet2!L57+C32)*5)</f>
        <v>1410</v>
      </c>
      <c r="N54" s="143">
        <f t="shared" si="12"/>
        <v>47162</v>
      </c>
      <c r="O54" s="143">
        <f t="shared" si="13"/>
        <v>4716</v>
      </c>
      <c r="P54" s="143">
        <f t="shared" si="14"/>
        <v>1270</v>
      </c>
      <c r="Q54" s="143">
        <f t="shared" si="15"/>
        <v>53140</v>
      </c>
      <c r="R54" s="143">
        <f>Q54*(Sheet2!L57/(Sheet2!L57+C32))</f>
        <v>6928.9463951126745</v>
      </c>
      <c r="S54" s="144"/>
      <c r="T54" s="144"/>
      <c r="U54" s="145"/>
    </row>
    <row r="55" spans="7:21">
      <c r="H55" s="142"/>
      <c r="I55">
        <v>11</v>
      </c>
      <c r="J55">
        <f>IF((Sheet2!M57+C33)&lt;=200, 910, IF((Sheet2!M57+C33)&lt;=400, 1600, 7300))</f>
        <v>1600</v>
      </c>
      <c r="K55" s="143">
        <f>INT(IF((Sheet2!M57+C33)&lt;=200, (Sheet2!M57+C33)*120, IF((Sheet2!M57+C33)&lt;=400, 24000+((Sheet2!M57+C33)-200)*214.6, 66920+((Sheet2!M57+C33)-400)*307.3)))</f>
        <v>66197</v>
      </c>
      <c r="L55" s="143">
        <f>INT((Sheet2!M57+C33)*9)</f>
        <v>3569</v>
      </c>
      <c r="M55" s="143">
        <f>INT((Sheet2!M57+C33)*5)</f>
        <v>1983</v>
      </c>
      <c r="N55" s="143">
        <f t="shared" si="12"/>
        <v>73349</v>
      </c>
      <c r="O55" s="143">
        <f t="shared" si="13"/>
        <v>7335</v>
      </c>
      <c r="P55" s="143">
        <f t="shared" si="14"/>
        <v>1980</v>
      </c>
      <c r="Q55" s="143">
        <f t="shared" si="15"/>
        <v>82660</v>
      </c>
      <c r="R55" s="143">
        <f>Q55*(Sheet2!M57/(Sheet2!M57+C33))</f>
        <v>29350.008664225585</v>
      </c>
      <c r="S55" s="144"/>
      <c r="T55" s="144"/>
      <c r="U55" s="145"/>
    </row>
    <row r="56" spans="7:21">
      <c r="H56" s="149"/>
      <c r="I56" s="54">
        <v>12</v>
      </c>
      <c r="J56" s="54">
        <f>IF((Sheet2!N57+C34)&lt;=200, 910, IF((Sheet2!N57+C34)&lt;=400, 1600, 7300))</f>
        <v>7300</v>
      </c>
      <c r="K56" s="150">
        <f>INT(IF((Sheet2!N57+C34)&lt;=200, (Sheet2!N57+C34)*120, IF((Sheet2!N57+C34)&lt;=400, 24000+((Sheet2!N57+C34)-200)*214.6, 66920+((Sheet2!N57+C34)-400)*307.3)))</f>
        <v>115128</v>
      </c>
      <c r="L56" s="150">
        <f>INT((Sheet2!N57+C34)*9)</f>
        <v>5011</v>
      </c>
      <c r="M56" s="150">
        <f>INT((Sheet2!N57+C34)*5)</f>
        <v>2784</v>
      </c>
      <c r="N56" s="150">
        <f t="shared" si="12"/>
        <v>130223</v>
      </c>
      <c r="O56" s="150">
        <f t="shared" si="13"/>
        <v>13022</v>
      </c>
      <c r="P56" s="150">
        <f t="shared" si="14"/>
        <v>3510</v>
      </c>
      <c r="Q56" s="150">
        <f t="shared" si="15"/>
        <v>146750</v>
      </c>
      <c r="R56" s="150">
        <f>Q56*(Sheet2!N57/(Sheet2!N57+C34))</f>
        <v>74544.909117122836</v>
      </c>
      <c r="S56" s="151"/>
      <c r="T56" s="151"/>
      <c r="U56" s="152"/>
    </row>
    <row r="57" spans="7:21">
      <c r="H57" s="138" t="s">
        <v>414</v>
      </c>
      <c r="I57" s="153" t="s">
        <v>76</v>
      </c>
      <c r="J57" s="153" t="s">
        <v>384</v>
      </c>
      <c r="K57" s="153" t="s">
        <v>385</v>
      </c>
      <c r="L57" s="153" t="s">
        <v>386</v>
      </c>
      <c r="M57" s="153" t="s">
        <v>387</v>
      </c>
      <c r="N57" s="153" t="s">
        <v>388</v>
      </c>
      <c r="O57" s="153" t="s">
        <v>389</v>
      </c>
      <c r="P57" s="153" t="s">
        <v>390</v>
      </c>
      <c r="Q57" s="153" t="s">
        <v>391</v>
      </c>
      <c r="R57" s="153" t="s">
        <v>430</v>
      </c>
      <c r="S57" s="140">
        <f>SUM(R58:R69)</f>
        <v>502486.34462945501</v>
      </c>
      <c r="T57" s="140">
        <f>Sheet2!O18</f>
        <v>1157329.3336407086</v>
      </c>
      <c r="U57" s="141">
        <f>(T57-S57)/T57</f>
        <v>0.56582251047872323</v>
      </c>
    </row>
    <row r="58" spans="7:21">
      <c r="G58" s="135"/>
      <c r="H58" s="154"/>
      <c r="I58">
        <v>1</v>
      </c>
      <c r="J58" s="1">
        <f>IF(MAX(Sheet2!C54+C23-C37,0)&lt;=200, 910, IF(MAX(Sheet2!C54+C23-C37,0)&lt;=400, 1600, 7300))</f>
        <v>7300</v>
      </c>
      <c r="K58" s="1">
        <f>INT(IF(MAX(Sheet2!C54+C23-C37,0)&lt;=200, MAX(Sheet2!C54+C23-C37,0)*120, IF(MAX(Sheet2!C54+C23-C37,0)&lt;=400, 24000+(MAX(Sheet2!C54+C23-C37,0)-200)*214.6, 66920+(MAX(Sheet2!C54+C23-C37,0)-400)*307.3)))</f>
        <v>165969</v>
      </c>
      <c r="L58" s="1">
        <f>INT(MAX(Sheet2!C54+C23-C37,0)*9)</f>
        <v>6500</v>
      </c>
      <c r="M58" s="1">
        <f>INT(MAX(Sheet2!C54+C23-C37,0)*5)</f>
        <v>3611</v>
      </c>
      <c r="N58" s="1">
        <f t="shared" ref="N58" si="16">SUM(J58:M58)</f>
        <v>183380</v>
      </c>
      <c r="O58" s="1">
        <f t="shared" ref="O58" si="17">ROUND(N58*0.1, 0)</f>
        <v>18338</v>
      </c>
      <c r="P58" s="1">
        <f t="shared" ref="P58:P69" si="18">FLOOR(N58*0.027, 10)</f>
        <v>4950</v>
      </c>
      <c r="Q58" s="1">
        <f t="shared" ref="Q58" si="19">FLOOR(N58+O58+P58, 10)</f>
        <v>206660</v>
      </c>
      <c r="R58" s="144">
        <f>Q58*(Sheet2!C54/(Sheet2!C54+C23))</f>
        <v>137658.69019881447</v>
      </c>
      <c r="S58" s="144"/>
      <c r="T58" s="144"/>
      <c r="U58" s="145"/>
    </row>
    <row r="59" spans="7:21">
      <c r="G59" s="137"/>
      <c r="H59" s="142"/>
      <c r="I59">
        <v>2</v>
      </c>
      <c r="J59" s="1">
        <f>IF(MAX(Sheet2!D54+C24-C38,0)&lt;=200, 910, IF(MAX(Sheet2!D54+C24-C38,0)&lt;=400, 1600, 7300))</f>
        <v>7300</v>
      </c>
      <c r="K59" s="1">
        <f>INT(IF(MAX(Sheet2!D54+C24-C38,0)&lt;=200, MAX(Sheet2!D54+C24-C38,0)*120, IF(MAX(Sheet2!D54+C24-C38,0)&lt;=400, 24000+(MAX(Sheet2!D54+C24-C38,0)-200)*214.6, 66920+(MAX(Sheet2!D54+C24-C38,0)-400)*307.3)))</f>
        <v>189869</v>
      </c>
      <c r="L59" s="1">
        <f>INT(MAX(Sheet2!D54+C24-C38,0)*9)</f>
        <v>7200</v>
      </c>
      <c r="M59" s="1">
        <f>INT(MAX(Sheet2!D54+C24-C38,0)*5)</f>
        <v>4000</v>
      </c>
      <c r="N59" s="1">
        <f t="shared" ref="N59" si="20">SUM(J59:M59)</f>
        <v>208369</v>
      </c>
      <c r="O59" s="1">
        <f t="shared" ref="O59" si="21">ROUND(N59*0.1, 0)</f>
        <v>20837</v>
      </c>
      <c r="P59" s="1">
        <f t="shared" si="18"/>
        <v>5620</v>
      </c>
      <c r="Q59" s="1">
        <f t="shared" ref="Q59" si="22">FLOOR(N59+O59+P59, 10)</f>
        <v>234820</v>
      </c>
      <c r="R59" s="144">
        <f>Q59*(Sheet2!D54/(Sheet2!D54+C24))</f>
        <v>164244.56805352436</v>
      </c>
      <c r="S59" s="144"/>
      <c r="T59" s="144"/>
      <c r="U59" s="145"/>
    </row>
    <row r="60" spans="7:21">
      <c r="H60" s="142"/>
      <c r="I60">
        <v>3</v>
      </c>
      <c r="J60" s="1">
        <f>IF(MAX(Sheet2!E54+C25-C39,0)&lt;=200, 910, IF(MAX(Sheet2!E54+C25-C39,0)&lt;=400, 1600, 7300))</f>
        <v>1600</v>
      </c>
      <c r="K60" s="1">
        <f>INT(IF(MAX(Sheet2!E54+C25-C39,0)&lt;=200, MAX(Sheet2!E54+C25-C39,0)*120, IF(MAX(Sheet2!E54+C25-C39,0)&lt;=400, 24000+(MAX(Sheet2!E54+C25-C39,0)-200)*214.6, 66920+(MAX(Sheet2!E54+C25-C39,0)-400)*307.3)))</f>
        <v>42678</v>
      </c>
      <c r="L60" s="1">
        <f>INT(MAX(Sheet2!E54+C25-C39,0)*9)</f>
        <v>2583</v>
      </c>
      <c r="M60" s="1">
        <f>INT(MAX(Sheet2!E54+C25-C39,0)*5)</f>
        <v>1435</v>
      </c>
      <c r="N60" s="1">
        <f t="shared" ref="N60" si="23">SUM(J60:M60)</f>
        <v>48296</v>
      </c>
      <c r="O60" s="1">
        <f t="shared" ref="O60" si="24">ROUND(N60*0.1, 0)</f>
        <v>4830</v>
      </c>
      <c r="P60" s="1">
        <f t="shared" si="18"/>
        <v>1300</v>
      </c>
      <c r="Q60" s="1">
        <f t="shared" ref="Q60" si="25">FLOOR(N60+O60+P60, 10)</f>
        <v>54420</v>
      </c>
      <c r="R60" s="144">
        <f>Q60*(Sheet2!E54/(Sheet2!E54+C25))</f>
        <v>26852.179989126667</v>
      </c>
      <c r="S60" s="144"/>
      <c r="T60" s="144"/>
      <c r="U60" s="145"/>
    </row>
    <row r="61" spans="7:21">
      <c r="H61" s="142"/>
      <c r="I61">
        <v>4</v>
      </c>
      <c r="J61" s="1">
        <f>IF(MAX(Sheet2!F54+C26-C40,0)&lt;=200, 910, IF(MAX(Sheet2!F54+C26-C40,0)&lt;=400, 1600, 7300))</f>
        <v>910</v>
      </c>
      <c r="K61" s="1">
        <f>INT(IF(MAX(Sheet2!F54+C26-C40,0)&lt;=200, MAX(Sheet2!F54+C26-C40,0)*120, IF(MAX(Sheet2!F54+C26-C40,0)&lt;=400, 24000+(MAX(Sheet2!F54+C26-C40,0)-200)*214.6, 66920+(MAX(Sheet2!F54+C26-C40,0)-400)*307.3)))</f>
        <v>8586</v>
      </c>
      <c r="L61" s="1">
        <f>INT(MAX(Sheet2!F54+C26-C40,0)*9)</f>
        <v>643</v>
      </c>
      <c r="M61" s="1">
        <f>INT(MAX(Sheet2!F54+C26-C40,0)*5)</f>
        <v>357</v>
      </c>
      <c r="N61" s="1">
        <f t="shared" ref="N61" si="26">SUM(J61:M61)</f>
        <v>10496</v>
      </c>
      <c r="O61" s="1">
        <f t="shared" ref="O61" si="27">ROUND(N61*0.1, 0)</f>
        <v>1050</v>
      </c>
      <c r="P61" s="1">
        <f t="shared" si="18"/>
        <v>280</v>
      </c>
      <c r="Q61" s="1">
        <f t="shared" ref="Q61" si="28">FLOOR(N61+O61+P61, 10)</f>
        <v>11820</v>
      </c>
      <c r="R61" s="144">
        <f>Q61*(Sheet2!F54/(Sheet2!F54+C26))</f>
        <v>4626.3651269477778</v>
      </c>
      <c r="S61" s="144"/>
      <c r="T61" s="144"/>
      <c r="U61" s="145"/>
    </row>
    <row r="62" spans="7:21">
      <c r="H62" s="142"/>
      <c r="I62">
        <v>5</v>
      </c>
      <c r="J62" s="1">
        <f>IF(MAX(Sheet2!G54+C27-C41,0)&lt;=200, 910, IF(MAX(Sheet2!G54+C27-C41,0)&lt;=400, 1600, 7300))</f>
        <v>910</v>
      </c>
      <c r="K62" s="1">
        <f>INT(IF(MAX(Sheet2!G54+C27-C41,0)&lt;=200, MAX(Sheet2!G54+C27-C41,0)*120, IF(MAX(Sheet2!G54+C27-C41,0)&lt;=400, 24000+(MAX(Sheet2!G54+C27-C41,0)-200)*214.6, 66920+(MAX(Sheet2!G54+C27-C41,0)-400)*307.3)))</f>
        <v>8012</v>
      </c>
      <c r="L62" s="1">
        <f>INT(MAX(Sheet2!G54+C27-C41,0)*9)</f>
        <v>600</v>
      </c>
      <c r="M62" s="1">
        <f>INT(MAX(Sheet2!G54+C27-C41,0)*5)</f>
        <v>333</v>
      </c>
      <c r="N62" s="1">
        <f t="shared" ref="N62" si="29">SUM(J62:M62)</f>
        <v>9855</v>
      </c>
      <c r="O62" s="1">
        <f t="shared" ref="O62" si="30">ROUND(N62*0.1, 0)</f>
        <v>986</v>
      </c>
      <c r="P62" s="1">
        <f t="shared" si="18"/>
        <v>260</v>
      </c>
      <c r="Q62" s="1">
        <f t="shared" ref="Q62" si="31">FLOOR(N62+O62+P62, 10)</f>
        <v>11100</v>
      </c>
      <c r="R62" s="144">
        <f>Q62*(Sheet2!G54/(Sheet2!G54+C27))</f>
        <v>3991.5372330330415</v>
      </c>
      <c r="S62" s="144"/>
      <c r="T62" s="144"/>
      <c r="U62" s="145"/>
    </row>
    <row r="63" spans="7:21">
      <c r="H63" s="142"/>
      <c r="I63">
        <v>6</v>
      </c>
      <c r="J63" s="1">
        <f>IF(MAX(Sheet2!H54+C28-C42,0)&lt;=200, 910, IF(MAX(Sheet2!H54+C28-C42,0)&lt;=400, 1600, 7300))</f>
        <v>910</v>
      </c>
      <c r="K63" s="1">
        <f>INT(IF(MAX(Sheet2!H54+C28-C42,0)&lt;=200, MAX(Sheet2!H54+C28-C42,0)*120, IF(MAX(Sheet2!H54+C28-C42,0)&lt;=400, 24000+(MAX(Sheet2!H54+C28-C42,0)-200)*214.6, 66920+(MAX(Sheet2!H54+C28-C42,0)-400)*307.3)))</f>
        <v>10746</v>
      </c>
      <c r="L63" s="1">
        <f>INT(MAX(Sheet2!H54+C28-C42,0)*9)</f>
        <v>805</v>
      </c>
      <c r="M63" s="1">
        <f>INT(MAX(Sheet2!H54+C28-C42,0)*5)</f>
        <v>447</v>
      </c>
      <c r="N63" s="1">
        <f t="shared" ref="N63" si="32">SUM(J63:M63)</f>
        <v>12908</v>
      </c>
      <c r="O63" s="1">
        <f t="shared" ref="O63" si="33">ROUND(N63*0.1, 0)</f>
        <v>1291</v>
      </c>
      <c r="P63" s="1">
        <f t="shared" si="18"/>
        <v>340</v>
      </c>
      <c r="Q63" s="1">
        <f t="shared" ref="Q63" si="34">FLOOR(N63+O63+P63, 10)</f>
        <v>14530</v>
      </c>
      <c r="R63" s="144">
        <f>Q63*(Sheet2!H54/(Sheet2!H54+C28))</f>
        <v>4860.4082939562204</v>
      </c>
      <c r="S63" s="144"/>
      <c r="T63" s="144"/>
      <c r="U63" s="145"/>
    </row>
    <row r="64" spans="7:21">
      <c r="H64" s="142"/>
      <c r="I64">
        <v>7</v>
      </c>
      <c r="J64" s="1">
        <f>IF(MAX(Sheet2!I54+C29-C43,0)&lt;=300, 910, IF(MAX(Sheet2!I54+C29-C43,0)&lt;=450, 1600, 7300))</f>
        <v>910</v>
      </c>
      <c r="K64" s="1">
        <f>INT(IF(MAX(Sheet2!I54+C29-C43,0)&lt;=300, MAX(Sheet2!I54+C29-C43,0)*120, IF(MAX(Sheet2!I54+C29-C43,0)&lt;=450, 36000+(MAX(Sheet2!I54+C29-C43,0)-300)*214.6, 68190+(MAX(Sheet2!I54+C29-C43,0)-450)*307.3)))</f>
        <v>5734</v>
      </c>
      <c r="L64" s="1">
        <f>INT(MAX(Sheet2!I54+C29-C43,0)*9)</f>
        <v>430</v>
      </c>
      <c r="M64" s="1">
        <f>INT(MAX(Sheet2!I54+C29-C43,0)*5)</f>
        <v>238</v>
      </c>
      <c r="N64" s="1">
        <f t="shared" ref="N64" si="35">SUM(J64:M64)</f>
        <v>7312</v>
      </c>
      <c r="O64" s="1">
        <f t="shared" ref="O64" si="36">ROUND(N64*0.1, 0)</f>
        <v>731</v>
      </c>
      <c r="P64" s="1">
        <f t="shared" si="18"/>
        <v>190</v>
      </c>
      <c r="Q64" s="1">
        <f t="shared" ref="Q64" si="37">FLOOR(N64+O64+P64, 10)</f>
        <v>8230</v>
      </c>
      <c r="R64" s="144">
        <f>Q64*(Sheet2!I54/(Sheet2!I54+C29))</f>
        <v>1259.2485891652184</v>
      </c>
      <c r="S64" s="144"/>
      <c r="T64" s="144"/>
      <c r="U64" s="145"/>
    </row>
    <row r="65" spans="8:21">
      <c r="H65" s="142"/>
      <c r="I65">
        <v>8</v>
      </c>
      <c r="J65" s="1">
        <f>IF(MAX(Sheet2!J54+C30-C44,0)&lt;=300, 910, IF(MAX(Sheet2!J54+C30-C44,0)&lt;=450, 1600, 7300))</f>
        <v>910</v>
      </c>
      <c r="K65" s="1">
        <f>INT(IF(MAX(Sheet2!J54+C30-C44,0)&lt;=300, MAX(Sheet2!J54+C30-C44,0)*120, IF(MAX(Sheet2!J54+C30-C44,0)&lt;=450, 36000+(MAX(Sheet2!J54+C30-C44,0)-300)*214.6, 68190+(MAX(Sheet2!J54+C30-C44,0)-450)*307.3)))</f>
        <v>18106</v>
      </c>
      <c r="L65" s="1">
        <f>INT(MAX(Sheet2!J54+C30-C44,0)*9)</f>
        <v>1357</v>
      </c>
      <c r="M65" s="1">
        <f>INT(MAX(Sheet2!J54+C30-C44,0)*5)</f>
        <v>754</v>
      </c>
      <c r="N65" s="1">
        <f t="shared" ref="N65:N66" si="38">SUM(J65:M65)</f>
        <v>21127</v>
      </c>
      <c r="O65" s="1">
        <f t="shared" ref="O65:O66" si="39">ROUND(N65*0.1, 0)</f>
        <v>2113</v>
      </c>
      <c r="P65" s="1">
        <f t="shared" si="18"/>
        <v>570</v>
      </c>
      <c r="Q65" s="1">
        <f t="shared" ref="Q65:Q66" si="40">FLOOR(N65+O65+P65, 10)</f>
        <v>23810</v>
      </c>
      <c r="R65" s="144">
        <f>Q65*(Sheet2!J54/(Sheet2!J54+C30))</f>
        <v>3016.6969902512528</v>
      </c>
      <c r="S65" s="144"/>
      <c r="T65" s="144"/>
      <c r="U65" s="145"/>
    </row>
    <row r="66" spans="8:21">
      <c r="H66" s="142"/>
      <c r="I66">
        <v>9</v>
      </c>
      <c r="J66" s="1">
        <f>IF(MAX(Sheet2!K54+C31-C45,0)&lt;=200, 910, IF(MAX(Sheet2!K54+C31-C45,0)&lt;=400, 1600, 7300))</f>
        <v>910</v>
      </c>
      <c r="K66" s="1">
        <f>INT(IF(MAX(Sheet2!K54+C31-C45,0)&lt;=200, MAX(Sheet2!K54+C31-C45,0)*120, IF(MAX(Sheet2!K54+C31-C45,0)&lt;=400, 24000+(MAX(Sheet2!K54+C31-C45,0)-200)*214.6, 66920+(MAX(Sheet2!K54+C31-C45,0)-400)*307.3)))</f>
        <v>14704</v>
      </c>
      <c r="L66" s="1">
        <f>INT(MAX(Sheet2!K54+C31-C45,0)*9)</f>
        <v>1102</v>
      </c>
      <c r="M66" s="1">
        <f>INT(MAX(Sheet2!K54+C31-C45,0)*5)</f>
        <v>612</v>
      </c>
      <c r="N66" s="1">
        <f t="shared" si="38"/>
        <v>17328</v>
      </c>
      <c r="O66" s="1">
        <f t="shared" si="39"/>
        <v>1733</v>
      </c>
      <c r="P66" s="1">
        <f t="shared" si="18"/>
        <v>460</v>
      </c>
      <c r="Q66" s="1">
        <f t="shared" si="40"/>
        <v>19520</v>
      </c>
      <c r="R66" s="144">
        <f>Q66*(Sheet2!K54/(Sheet2!K54+C31))</f>
        <v>4139.0256043814725</v>
      </c>
      <c r="S66" s="144"/>
      <c r="T66" s="144"/>
      <c r="U66" s="145"/>
    </row>
    <row r="67" spans="8:21">
      <c r="H67" s="142"/>
      <c r="I67">
        <v>10</v>
      </c>
      <c r="J67" s="1">
        <f>IF(MAX(Sheet2!L54+C32-C46,0)&lt;=200, 910, IF(MAX(Sheet2!L54+C32-C46,0)&lt;=400, 1600, 7300))</f>
        <v>910</v>
      </c>
      <c r="K67" s="1">
        <f>INT(IF(MAX(Sheet2!L54+C32-C46,0)&lt;=200, MAX(Sheet2!L54+C32-C46,0)*120, IF(MAX(Sheet2!L54+C32-C46,0)&lt;=400, 24000+(MAX(Sheet2!L54+C32-C46,0)-200)*214.6, 66920+(MAX(Sheet2!L54+C32-C46,0)-400)*307.3)))</f>
        <v>8783</v>
      </c>
      <c r="L67" s="1">
        <f>INT(MAX(Sheet2!L54+C32-C46,0)*9)</f>
        <v>658</v>
      </c>
      <c r="M67" s="1">
        <f>INT(MAX(Sheet2!L54+C32-C46,0)*5)</f>
        <v>365</v>
      </c>
      <c r="N67" s="1">
        <f t="shared" ref="N67" si="41">SUM(J67:M67)</f>
        <v>10716</v>
      </c>
      <c r="O67" s="1">
        <f t="shared" ref="O67" si="42">ROUND(N67*0.1, 0)</f>
        <v>1072</v>
      </c>
      <c r="P67" s="1">
        <f t="shared" si="18"/>
        <v>280</v>
      </c>
      <c r="Q67" s="1">
        <f t="shared" ref="Q67" si="43">FLOOR(N67+O67+P67, 10)</f>
        <v>12060</v>
      </c>
      <c r="R67" s="144">
        <f>Q67*(Sheet2!L54/(Sheet2!L54+C32))</f>
        <v>2779.1374332696137</v>
      </c>
      <c r="S67" s="144"/>
      <c r="T67" s="144"/>
      <c r="U67" s="145"/>
    </row>
    <row r="68" spans="8:21">
      <c r="H68" s="142"/>
      <c r="I68">
        <v>11</v>
      </c>
      <c r="J68" s="1">
        <f>IF(MAX(Sheet2!M54+C33-C47,0)&lt;=200, 910, IF(MAX(Sheet2!M54+C33-C47,0)&lt;=400, 1600, 7300))</f>
        <v>1600</v>
      </c>
      <c r="K68" s="1">
        <f>INT(IF(MAX(Sheet2!M54+C33-C47,0)&lt;=200, MAX(Sheet2!M54+C33-C47,0)*120, IF(MAX(Sheet2!M54+C33-C47,0)&lt;=400, 24000+(MAX(Sheet2!M54+C33-C47,0)-200)*214.6, 66920+(MAX(Sheet2!M54+C33-C47,0)-400)*307.3)))</f>
        <v>45335</v>
      </c>
      <c r="L68" s="1">
        <f>INT(MAX(Sheet2!M54+C33-C47,0)*9)</f>
        <v>2694</v>
      </c>
      <c r="M68" s="1">
        <f>INT(MAX(Sheet2!M54+C33-C47,0)*5)</f>
        <v>1497</v>
      </c>
      <c r="N68" s="1">
        <f t="shared" ref="N68" si="44">SUM(J68:M68)</f>
        <v>51126</v>
      </c>
      <c r="O68" s="1">
        <f t="shared" ref="O68" si="45">ROUND(N68*0.1, 0)</f>
        <v>5113</v>
      </c>
      <c r="P68" s="1">
        <f t="shared" si="18"/>
        <v>1380</v>
      </c>
      <c r="Q68" s="1">
        <f t="shared" ref="Q68" si="46">FLOOR(N68+O68+P68, 10)</f>
        <v>57610</v>
      </c>
      <c r="R68" s="144">
        <f>Q68*(Sheet2!M54/(Sheet2!M54+C33))</f>
        <v>30170.290188126106</v>
      </c>
      <c r="S68" s="144"/>
      <c r="T68" s="144"/>
      <c r="U68" s="145"/>
    </row>
    <row r="69" spans="8:21">
      <c r="H69" s="142"/>
      <c r="I69">
        <v>12</v>
      </c>
      <c r="J69" s="1">
        <f>IF(MAX(Sheet2!N54+C34-C48,0)&lt;=200, 910, IF(MAX(Sheet2!N54+C34-C48,0)&lt;=400, 1600, 7300))</f>
        <v>7300</v>
      </c>
      <c r="K69" s="1">
        <f>INT(IF(MAX(Sheet2!N54+C34-C48,0)&lt;=200, MAX(Sheet2!N54+C34-C48,0)*120, IF(MAX(Sheet2!N54+C34-C48,0)&lt;=400, 24000+(MAX(Sheet2!N54+C34-C48,0)-200)*214.6, 66920+(MAX(Sheet2!N54+C34-C48,0)-400)*307.3)))</f>
        <v>140419</v>
      </c>
      <c r="L69" s="1">
        <f>INT(MAX(Sheet2!N54+C34-C48,0)*9)</f>
        <v>5752</v>
      </c>
      <c r="M69" s="1">
        <f>INT(MAX(Sheet2!N54+C34-C48,0)*5)</f>
        <v>3195</v>
      </c>
      <c r="N69" s="1">
        <f t="shared" ref="N69" si="47">SUM(J69:M69)</f>
        <v>156666</v>
      </c>
      <c r="O69" s="1">
        <f t="shared" ref="O69" si="48">ROUND(N69*0.1, 0)</f>
        <v>15667</v>
      </c>
      <c r="P69" s="1">
        <f t="shared" si="18"/>
        <v>4220</v>
      </c>
      <c r="Q69" s="1">
        <f t="shared" ref="Q69" si="49">FLOOR(N69+O69+P69, 10)</f>
        <v>176550</v>
      </c>
      <c r="R69" s="144">
        <f>Q69*(Sheet2!N54/(Sheet2!N54+C34))</f>
        <v>118888.19692885887</v>
      </c>
      <c r="S69" s="144"/>
      <c r="T69" s="144"/>
      <c r="U69" s="145"/>
    </row>
    <row r="70" spans="8:21">
      <c r="H70" s="142"/>
      <c r="I70" s="6" t="s">
        <v>407</v>
      </c>
      <c r="J70" s="6" t="s">
        <v>384</v>
      </c>
      <c r="K70" s="6" t="s">
        <v>385</v>
      </c>
      <c r="L70" s="6" t="s">
        <v>386</v>
      </c>
      <c r="M70" s="6" t="s">
        <v>387</v>
      </c>
      <c r="N70" s="6" t="s">
        <v>388</v>
      </c>
      <c r="O70" s="6" t="s">
        <v>389</v>
      </c>
      <c r="P70" s="6" t="s">
        <v>390</v>
      </c>
      <c r="Q70" s="6" t="s">
        <v>391</v>
      </c>
      <c r="R70" s="6" t="s">
        <v>412</v>
      </c>
      <c r="S70" s="146">
        <f>SUM(R71:R82)</f>
        <v>430591.95351735008</v>
      </c>
      <c r="T70" s="146">
        <f>Sheet2!O18</f>
        <v>1157329.3336407086</v>
      </c>
      <c r="U70" s="147">
        <f>(T70-S70)/T70</f>
        <v>0.62794345481350522</v>
      </c>
    </row>
    <row r="71" spans="8:21">
      <c r="H71" s="142"/>
      <c r="I71">
        <v>1</v>
      </c>
      <c r="J71" s="1">
        <f>IF(MAX(Sheet2!C55+C23-C37,0)&lt;=200, 910, IF(MAX(Sheet2!C55+C23-C37,0)&lt;=400, 1600, 7300))</f>
        <v>7300</v>
      </c>
      <c r="K71" s="1">
        <f>INT(IF(MAX(Sheet2!C55+C23-C37,0)&lt;=200, MAX(Sheet2!C55+C23-C37,0)*120, IF(MAX(Sheet2!C55+C23-C37,0)&lt;=400, 24000+(MAX(Sheet2!C55+C23-C37,0)-200)*214.6, 66920+(MAX(Sheet2!C55+C23-C37,0)-400)*307.3)))</f>
        <v>147647</v>
      </c>
      <c r="L71" s="1">
        <f>INT(MAX(Sheet2!C55+C23-C37,0)*9)</f>
        <v>5964</v>
      </c>
      <c r="M71" s="1">
        <f>INT(MAX(Sheet2!C55+C23-C37,0)*5)</f>
        <v>3313</v>
      </c>
      <c r="N71" s="1">
        <f t="shared" ref="N71" si="50">SUM(J71:M71)</f>
        <v>164224</v>
      </c>
      <c r="O71" s="1">
        <f t="shared" ref="O71" si="51">ROUND(N71*0.1, 0)</f>
        <v>16422</v>
      </c>
      <c r="P71" s="1">
        <f t="shared" ref="P71:P82" si="52">FLOOR(N71*0.027, 10)</f>
        <v>4430</v>
      </c>
      <c r="Q71" s="1">
        <f t="shared" ref="Q71" si="53">FLOOR(N71+O71+P71, 10)</f>
        <v>185070</v>
      </c>
      <c r="R71" s="144">
        <f>Q71*(Sheet2!C55/(Sheet2!C55+C23))</f>
        <v>118970.05490946666</v>
      </c>
      <c r="S71" s="144"/>
      <c r="T71" s="144"/>
      <c r="U71" s="145"/>
    </row>
    <row r="72" spans="8:21">
      <c r="H72" s="142"/>
      <c r="I72">
        <v>2</v>
      </c>
      <c r="J72" s="1">
        <f>IF(MAX(Sheet2!D55+C24-C38,0)&lt;=200, 910, IF(MAX(Sheet2!D55+C24-C38,0)&lt;=400, 1600, 7300))</f>
        <v>7300</v>
      </c>
      <c r="K72" s="1">
        <f>INT(IF(MAX(Sheet2!D55+C24-C38,0)&lt;=200, MAX(Sheet2!D55+C24-C38,0)*120, IF(MAX(Sheet2!D55+C24-C38,0)&lt;=400, 24000+(MAX(Sheet2!D55+C24-C38,0)-200)*214.6, 66920+(MAX(Sheet2!D55+C24-C38,0)-400)*307.3)))</f>
        <v>168832</v>
      </c>
      <c r="L72" s="1">
        <f>INT(MAX(Sheet2!D55+C24-C38,0)*9)</f>
        <v>6584</v>
      </c>
      <c r="M72" s="1">
        <f>INT(MAX(Sheet2!D55+C24-C38,0)*5)</f>
        <v>3658</v>
      </c>
      <c r="N72" s="1">
        <f t="shared" ref="N72" si="54">SUM(J72:M72)</f>
        <v>186374</v>
      </c>
      <c r="O72" s="1">
        <f t="shared" ref="O72" si="55">ROUND(N72*0.1, 0)</f>
        <v>18637</v>
      </c>
      <c r="P72" s="1">
        <f t="shared" si="52"/>
        <v>5030</v>
      </c>
      <c r="Q72" s="1">
        <f t="shared" ref="Q72" si="56">FLOOR(N72+O72+P72, 10)</f>
        <v>210040</v>
      </c>
      <c r="R72" s="144">
        <f>Q72*(Sheet2!D55/(Sheet2!D55+C24))</f>
        <v>142275.48448702935</v>
      </c>
      <c r="S72" s="144"/>
      <c r="T72" s="144"/>
      <c r="U72" s="145"/>
    </row>
    <row r="73" spans="8:21">
      <c r="H73" s="142"/>
      <c r="I73">
        <v>3</v>
      </c>
      <c r="J73" s="1">
        <f>IF(MAX(Sheet2!E55+C25-C39,0)&lt;=200, 910, IF(MAX(Sheet2!E55+C25-C39,0)&lt;=400, 1600, 7300))</f>
        <v>1600</v>
      </c>
      <c r="K73" s="1">
        <f>INT(IF(MAX(Sheet2!E55+C25-C39,0)&lt;=200, MAX(Sheet2!E55+C25-C39,0)*120, IF(MAX(Sheet2!E55+C25-C39,0)&lt;=400, 24000+(MAX(Sheet2!E55+C25-C39,0)-200)*214.6, 66920+(MAX(Sheet2!E55+C25-C39,0)-400)*307.3)))</f>
        <v>36998</v>
      </c>
      <c r="L73" s="1">
        <f>INT(MAX(Sheet2!E55+C25-C39,0)*9)</f>
        <v>2345</v>
      </c>
      <c r="M73" s="1">
        <f>INT(MAX(Sheet2!E55+C25-C39,0)*5)</f>
        <v>1302</v>
      </c>
      <c r="N73" s="1">
        <f t="shared" ref="N73" si="57">SUM(J73:M73)</f>
        <v>42245</v>
      </c>
      <c r="O73" s="1">
        <f t="shared" ref="O73" si="58">ROUND(N73*0.1, 0)</f>
        <v>4225</v>
      </c>
      <c r="P73" s="1">
        <f t="shared" si="52"/>
        <v>1140</v>
      </c>
      <c r="Q73" s="1">
        <f t="shared" ref="Q73" si="59">FLOOR(N73+O73+P73, 10)</f>
        <v>47610</v>
      </c>
      <c r="R73" s="144">
        <f>Q73*(Sheet2!E55/(Sheet2!E55+C25))</f>
        <v>22268.738637626826</v>
      </c>
      <c r="S73" s="144"/>
      <c r="T73" s="144"/>
      <c r="U73" s="145"/>
    </row>
    <row r="74" spans="8:21">
      <c r="H74" s="142"/>
      <c r="I74">
        <v>4</v>
      </c>
      <c r="J74" s="1">
        <f>IF(MAX(Sheet2!F55+C26-C40,0)&lt;=200, 910, IF(MAX(Sheet2!F55+C26-C40,0)&lt;=400, 1600, 7300))</f>
        <v>910</v>
      </c>
      <c r="K74" s="1">
        <f>INT(IF(MAX(Sheet2!F55+C26-C40,0)&lt;=200, MAX(Sheet2!F55+C26-C40,0)*120, IF(MAX(Sheet2!F55+C26-C40,0)&lt;=400, 24000+(MAX(Sheet2!F55+C26-C40,0)-200)*214.6, 66920+(MAX(Sheet2!F55+C26-C40,0)-400)*307.3)))</f>
        <v>6656</v>
      </c>
      <c r="L74" s="1">
        <f>INT(MAX(Sheet2!F55+C26-C40,0)*9)</f>
        <v>499</v>
      </c>
      <c r="M74" s="1">
        <f>INT(MAX(Sheet2!F55+C26-C40,0)*5)</f>
        <v>277</v>
      </c>
      <c r="N74" s="1">
        <f t="shared" ref="N74" si="60">SUM(J74:M74)</f>
        <v>8342</v>
      </c>
      <c r="O74" s="1">
        <f t="shared" ref="O74" si="61">ROUND(N74*0.1, 0)</f>
        <v>834</v>
      </c>
      <c r="P74" s="1">
        <f t="shared" si="52"/>
        <v>220</v>
      </c>
      <c r="Q74" s="1">
        <f t="shared" ref="Q74" si="62">FLOOR(N74+O74+P74, 10)</f>
        <v>9390</v>
      </c>
      <c r="R74" s="144">
        <f>Q74*(Sheet2!F55/(Sheet2!F55+C26))</f>
        <v>3447.7345881899246</v>
      </c>
      <c r="S74" s="144"/>
      <c r="T74" s="144"/>
      <c r="U74" s="145"/>
    </row>
    <row r="75" spans="8:21">
      <c r="H75" s="142"/>
      <c r="I75">
        <v>5</v>
      </c>
      <c r="J75" s="1">
        <f>IF(MAX(Sheet2!G55+C27-C41,0)&lt;=200, 910, IF(MAX(Sheet2!G55+C27-C41,0)&lt;=400, 1600, 7300))</f>
        <v>910</v>
      </c>
      <c r="K75" s="1">
        <f>INT(IF(MAX(Sheet2!G55+C27-C41,0)&lt;=200, MAX(Sheet2!G55+C27-C41,0)*120, IF(MAX(Sheet2!G55+C27-C41,0)&lt;=400, 24000+(MAX(Sheet2!G55+C27-C41,0)-200)*214.6, 66920+(MAX(Sheet2!G55+C27-C41,0)-400)*307.3)))</f>
        <v>6407</v>
      </c>
      <c r="L75" s="1">
        <f>INT(MAX(Sheet2!G55+C27-C41,0)*9)</f>
        <v>480</v>
      </c>
      <c r="M75" s="1">
        <f>INT(MAX(Sheet2!G55+C27-C41,0)*5)</f>
        <v>266</v>
      </c>
      <c r="N75" s="1">
        <f t="shared" ref="N75" si="63">SUM(J75:M75)</f>
        <v>8063</v>
      </c>
      <c r="O75" s="1">
        <f t="shared" ref="O75" si="64">ROUND(N75*0.1, 0)</f>
        <v>806</v>
      </c>
      <c r="P75" s="1">
        <f t="shared" si="52"/>
        <v>210</v>
      </c>
      <c r="Q75" s="1">
        <f t="shared" ref="Q75" si="65">FLOOR(N75+O75+P75, 10)</f>
        <v>9070</v>
      </c>
      <c r="R75" s="144">
        <f>Q75*(Sheet2!G55/(Sheet2!G55+C27))</f>
        <v>3049.7735065948118</v>
      </c>
      <c r="S75" s="144"/>
      <c r="T75" s="144"/>
      <c r="U75" s="145"/>
    </row>
    <row r="76" spans="8:21">
      <c r="H76" s="142"/>
      <c r="I76">
        <v>6</v>
      </c>
      <c r="J76" s="1">
        <f>IF(MAX(Sheet2!H55+C28-C42,0)&lt;=200, 910, IF(MAX(Sheet2!H55+C28-C42,0)&lt;=400, 1600, 7300))</f>
        <v>910</v>
      </c>
      <c r="K76" s="1">
        <f>INT(IF(MAX(Sheet2!H55+C28-C42,0)&lt;=200, MAX(Sheet2!H55+C28-C42,0)*120, IF(MAX(Sheet2!H55+C28-C42,0)&lt;=400, 24000+(MAX(Sheet2!H55+C28-C42,0)-200)*214.6, 66920+(MAX(Sheet2!H55+C28-C42,0)-400)*307.3)))</f>
        <v>9299</v>
      </c>
      <c r="L76" s="1">
        <f>INT(MAX(Sheet2!H55+C28-C42,0)*9)</f>
        <v>697</v>
      </c>
      <c r="M76" s="1">
        <f>INT(MAX(Sheet2!H55+C28-C42,0)*5)</f>
        <v>387</v>
      </c>
      <c r="N76" s="1">
        <f t="shared" ref="N76:N77" si="66">SUM(J76:M76)</f>
        <v>11293</v>
      </c>
      <c r="O76" s="1">
        <f t="shared" ref="O76:O77" si="67">ROUND(N76*0.1, 0)</f>
        <v>1129</v>
      </c>
      <c r="P76" s="1">
        <f t="shared" si="52"/>
        <v>300</v>
      </c>
      <c r="Q76" s="1">
        <f t="shared" ref="Q76:Q77" si="68">FLOOR(N76+O76+P76, 10)</f>
        <v>12720</v>
      </c>
      <c r="R76" s="144">
        <f>Q76*(Sheet2!H55/(Sheet2!H55+C28))</f>
        <v>3968.5691199767184</v>
      </c>
      <c r="S76" s="144"/>
      <c r="T76" s="144"/>
      <c r="U76" s="145"/>
    </row>
    <row r="77" spans="8:21">
      <c r="H77" s="142"/>
      <c r="I77">
        <v>7</v>
      </c>
      <c r="J77" s="1">
        <f>IF(MAX(Sheet2!I55+C29-C43,0)&lt;=300, 910, IF(MAX(Sheet2!I55+C29-C43,0)&lt;=450, 1600, 7300))</f>
        <v>910</v>
      </c>
      <c r="K77" s="1">
        <f>INT(IF(MAX(Sheet2!I55+C29-C43,0)&lt;=300, MAX(Sheet2!I55+C29-C43,0)*120, IF(MAX(Sheet2!I55+C29-C43,0)&lt;=450, 36000+(MAX(Sheet2!I55+C29-C43,0)-300)*214.6, 68190+(MAX(Sheet2!I55+C29-C43,0)-450)*307.3)))</f>
        <v>5068</v>
      </c>
      <c r="L77" s="1">
        <f>INT(MAX(Sheet2!I55+C29-C43,0)*9)</f>
        <v>380</v>
      </c>
      <c r="M77" s="1">
        <f>INT(MAX(Sheet2!I55+C29-C43,0)*5)</f>
        <v>211</v>
      </c>
      <c r="N77" s="1">
        <f t="shared" si="66"/>
        <v>6569</v>
      </c>
      <c r="O77" s="1">
        <f t="shared" si="67"/>
        <v>657</v>
      </c>
      <c r="P77" s="1">
        <f t="shared" si="52"/>
        <v>170</v>
      </c>
      <c r="Q77" s="1">
        <f t="shared" si="68"/>
        <v>7390</v>
      </c>
      <c r="R77" s="144">
        <f>Q77*(Sheet2!I55/(Sheet2!I55+C29))</f>
        <v>1035.6095353064293</v>
      </c>
      <c r="S77" s="144"/>
      <c r="T77" s="144"/>
      <c r="U77" s="145"/>
    </row>
    <row r="78" spans="8:21">
      <c r="H78" s="142"/>
      <c r="I78">
        <v>8</v>
      </c>
      <c r="J78" s="1">
        <f>IF(MAX(Sheet2!J55+C30-C44,0)&lt;=300, 910, IF(MAX(Sheet2!J55+C30-C44,0)&lt;=450, 1600, 7300))</f>
        <v>910</v>
      </c>
      <c r="K78" s="1">
        <f>INT(IF(MAX(Sheet2!J55+C30-C44,0)&lt;=300, MAX(Sheet2!J55+C30-C44,0)*120, IF(MAX(Sheet2!J55+C30-C44,0)&lt;=450, 36000+(MAX(Sheet2!J55+C30-C44,0)-300)*214.6, 68190+(MAX(Sheet2!J55+C30-C44,0)-450)*307.3)))</f>
        <v>17503</v>
      </c>
      <c r="L78" s="1">
        <f>INT(MAX(Sheet2!J55+C30-C44,0)*9)</f>
        <v>1312</v>
      </c>
      <c r="M78" s="1">
        <f>INT(MAX(Sheet2!J55+C30-C44,0)*5)</f>
        <v>729</v>
      </c>
      <c r="N78" s="1">
        <f t="shared" ref="N78:N79" si="69">SUM(J78:M78)</f>
        <v>20454</v>
      </c>
      <c r="O78" s="1">
        <f t="shared" ref="O78:O79" si="70">ROUND(N78*0.1, 0)</f>
        <v>2045</v>
      </c>
      <c r="P78" s="1">
        <f t="shared" si="52"/>
        <v>550</v>
      </c>
      <c r="Q78" s="1">
        <f t="shared" ref="Q78:Q79" si="71">FLOOR(N78+O78+P78, 10)</f>
        <v>23040</v>
      </c>
      <c r="R78" s="144">
        <f>Q78*(Sheet2!J55/(Sheet2!J55+C30))</f>
        <v>2666.6223143295883</v>
      </c>
      <c r="S78" s="144"/>
      <c r="T78" s="144"/>
      <c r="U78" s="145"/>
    </row>
    <row r="79" spans="8:21">
      <c r="H79" s="142"/>
      <c r="I79">
        <v>9</v>
      </c>
      <c r="J79" s="1">
        <f>IF(MAX(Sheet2!K55+C31-C45,0)&lt;=200, 910, IF(MAX(Sheet2!K55+C31-C45,0)&lt;=400, 1600, 7300))</f>
        <v>910</v>
      </c>
      <c r="K79" s="1">
        <f>INT(IF(MAX(Sheet2!K55+C31-C45,0)&lt;=200, MAX(Sheet2!K55+C31-C45,0)*120, IF(MAX(Sheet2!K55+C31-C45,0)&lt;=400, 24000+(MAX(Sheet2!K55+C31-C45,0)-200)*214.6, 66920+(MAX(Sheet2!K55+C31-C45,0)-400)*307.3)))</f>
        <v>13809</v>
      </c>
      <c r="L79" s="1">
        <f>INT(MAX(Sheet2!K55+C31-C45,0)*9)</f>
        <v>1035</v>
      </c>
      <c r="M79" s="1">
        <f>INT(MAX(Sheet2!K55+C31-C45,0)*5)</f>
        <v>575</v>
      </c>
      <c r="N79" s="1">
        <f t="shared" si="69"/>
        <v>16329</v>
      </c>
      <c r="O79" s="1">
        <f t="shared" si="70"/>
        <v>1633</v>
      </c>
      <c r="P79" s="1">
        <f t="shared" si="52"/>
        <v>440</v>
      </c>
      <c r="Q79" s="1">
        <f t="shared" si="71"/>
        <v>18400</v>
      </c>
      <c r="R79" s="144">
        <f>Q79*(Sheet2!K55/(Sheet2!K55+C31))</f>
        <v>3594.4275389583518</v>
      </c>
      <c r="S79" s="144"/>
      <c r="T79" s="144"/>
      <c r="U79" s="145"/>
    </row>
    <row r="80" spans="8:21">
      <c r="H80" s="142"/>
      <c r="I80">
        <v>10</v>
      </c>
      <c r="J80" s="1">
        <f>IF(MAX(Sheet2!L55+C32-C46,0)&lt;=200, 910, IF(MAX(Sheet2!L55+C32-C46,0)&lt;=400, 1600, 7300))</f>
        <v>910</v>
      </c>
      <c r="K80" s="1">
        <f>INT(IF(MAX(Sheet2!L55+C32-C46,0)&lt;=200, MAX(Sheet2!L55+C32-C46,0)*120, IF(MAX(Sheet2!L55+C32-C46,0)&lt;=400, 24000+(MAX(Sheet2!L55+C32-C46,0)-200)*214.6, 66920+(MAX(Sheet2!L55+C32-C46,0)-400)*307.3)))</f>
        <v>7921</v>
      </c>
      <c r="L80" s="1">
        <f>INT(MAX(Sheet2!L55+C32-C46,0)*9)</f>
        <v>594</v>
      </c>
      <c r="M80" s="1">
        <f>INT(MAX(Sheet2!L55+C32-C46,0)*5)</f>
        <v>330</v>
      </c>
      <c r="N80" s="1">
        <f t="shared" ref="N80" si="72">SUM(J80:M80)</f>
        <v>9755</v>
      </c>
      <c r="O80" s="1">
        <f t="shared" ref="O80" si="73">ROUND(N80*0.1, 0)</f>
        <v>976</v>
      </c>
      <c r="P80" s="1">
        <f t="shared" si="52"/>
        <v>260</v>
      </c>
      <c r="Q80" s="1">
        <f t="shared" ref="Q80" si="74">FLOOR(N80+O80+P80, 10)</f>
        <v>10990</v>
      </c>
      <c r="R80" s="144">
        <f>Q80*(Sheet2!L55/(Sheet2!L55+C32))</f>
        <v>2337.5082030375947</v>
      </c>
      <c r="S80" s="144"/>
      <c r="T80" s="144"/>
      <c r="U80" s="145"/>
    </row>
    <row r="81" spans="8:21">
      <c r="H81" s="142"/>
      <c r="I81">
        <v>11</v>
      </c>
      <c r="J81" s="1">
        <f>IF(MAX(Sheet2!M55+C33-C47,0)&lt;=200, 910, IF(MAX(Sheet2!M55+C33-C47,0)&lt;=400, 1600, 7300))</f>
        <v>1600</v>
      </c>
      <c r="K81" s="1">
        <f>INT(IF(MAX(Sheet2!M55+C33-C47,0)&lt;=200, MAX(Sheet2!M55+C33-C47,0)*120, IF(MAX(Sheet2!M55+C33-C47,0)&lt;=400, 24000+(MAX(Sheet2!M55+C33-C47,0)-200)*214.6, 66920+(MAX(Sheet2!M55+C33-C47,0)-400)*307.3)))</f>
        <v>39431</v>
      </c>
      <c r="L81" s="1">
        <f>INT(MAX(Sheet2!M55+C33-C47,0)*9)</f>
        <v>2447</v>
      </c>
      <c r="M81" s="1">
        <f>INT(MAX(Sheet2!M55+C33-C47,0)*5)</f>
        <v>1359</v>
      </c>
      <c r="N81" s="1">
        <f t="shared" ref="N81" si="75">SUM(J81:M81)</f>
        <v>44837</v>
      </c>
      <c r="O81" s="1">
        <f t="shared" ref="O81" si="76">ROUND(N81*0.1, 0)</f>
        <v>4484</v>
      </c>
      <c r="P81" s="1">
        <f t="shared" si="52"/>
        <v>1210</v>
      </c>
      <c r="Q81" s="1">
        <f t="shared" ref="Q81" si="77">FLOOR(N81+O81+P81, 10)</f>
        <v>50530</v>
      </c>
      <c r="R81" s="144">
        <f>Q81*(Sheet2!M55/(Sheet2!M55+C33))</f>
        <v>25162.910689457709</v>
      </c>
      <c r="S81" s="144"/>
      <c r="T81" s="144"/>
      <c r="U81" s="145"/>
    </row>
    <row r="82" spans="8:21">
      <c r="H82" s="142"/>
      <c r="I82">
        <v>12</v>
      </c>
      <c r="J82" s="1">
        <f>IF(MAX(Sheet2!N55+C34-C48,0)&lt;=200, 910, IF(MAX(Sheet2!N55+C34-C48,0)&lt;=400, 1600, 7300))</f>
        <v>7300</v>
      </c>
      <c r="K82" s="1">
        <f>INT(IF(MAX(Sheet2!N55+C34-C48,0)&lt;=200, MAX(Sheet2!N55+C34-C48,0)*120, IF(MAX(Sheet2!N55+C34-C48,0)&lt;=400, 24000+(MAX(Sheet2!N55+C34-C48,0)-200)*214.6, 66920+(MAX(Sheet2!N55+C34-C48,0)-400)*307.3)))</f>
        <v>123435</v>
      </c>
      <c r="L82" s="1">
        <f>INT(MAX(Sheet2!N55+C34-C48,0)*9)</f>
        <v>5255</v>
      </c>
      <c r="M82" s="1">
        <f>INT(MAX(Sheet2!N55+C34-C48,0)*5)</f>
        <v>2919</v>
      </c>
      <c r="N82" s="1">
        <f t="shared" ref="N82" si="78">SUM(J82:M82)</f>
        <v>138909</v>
      </c>
      <c r="O82" s="1">
        <f t="shared" ref="O82" si="79">ROUND(N82*0.1, 0)</f>
        <v>13891</v>
      </c>
      <c r="P82" s="1">
        <f t="shared" si="52"/>
        <v>3750</v>
      </c>
      <c r="Q82" s="1">
        <f t="shared" ref="Q82" si="80">FLOOR(N82+O82+P82, 10)</f>
        <v>156550</v>
      </c>
      <c r="R82" s="144">
        <f>Q82*(Sheet2!N55/(Sheet2!N55+C34))</f>
        <v>101814.51998737607</v>
      </c>
      <c r="S82" s="144"/>
      <c r="T82" s="144"/>
      <c r="U82" s="145"/>
    </row>
    <row r="83" spans="8:21">
      <c r="H83" s="142"/>
      <c r="I83" s="148" t="s">
        <v>410</v>
      </c>
      <c r="J83" s="1" t="s">
        <v>384</v>
      </c>
      <c r="K83" s="1" t="s">
        <v>385</v>
      </c>
      <c r="L83" s="1" t="s">
        <v>386</v>
      </c>
      <c r="M83" s="1" t="s">
        <v>387</v>
      </c>
      <c r="N83" s="1" t="s">
        <v>388</v>
      </c>
      <c r="O83" s="1" t="s">
        <v>389</v>
      </c>
      <c r="P83" s="1" t="s">
        <v>390</v>
      </c>
      <c r="Q83" s="1" t="s">
        <v>391</v>
      </c>
      <c r="R83" s="1" t="s">
        <v>430</v>
      </c>
      <c r="S83" s="144">
        <f>SUM(R84:R95)</f>
        <v>234183.70803588221</v>
      </c>
      <c r="T83" s="144">
        <f>Sheet2!O18</f>
        <v>1157329.3336407086</v>
      </c>
      <c r="U83" s="147">
        <f>(T83-S83)/T83</f>
        <v>0.79765162669886647</v>
      </c>
    </row>
    <row r="84" spans="8:21">
      <c r="H84" s="142"/>
      <c r="I84">
        <v>1</v>
      </c>
      <c r="J84" s="1">
        <f>IF(MAX(Sheet2!C56+C23-C37,0)&lt;=200, 910, IF(MAX(Sheet2!C56+C23-C37,0)&lt;=400, 1600, 7300))</f>
        <v>7300</v>
      </c>
      <c r="K84" s="1">
        <f>INT(IF(MAX(Sheet2!C56+C23-C37,0)&lt;=200, MAX(Sheet2!C56+C23-C37,0)*120, IF(MAX(Sheet2!C56+C23-C37,0)&lt;=400, 24000+(MAX(Sheet2!C56+C23-C37,0)-200)*214.6, 66920+(MAX(Sheet2!C56+C23-C37,0)-400)*307.3)))</f>
        <v>93902</v>
      </c>
      <c r="L84" s="1">
        <f>INT(MAX(Sheet2!C56+C23-C37,0)*9)</f>
        <v>4390</v>
      </c>
      <c r="M84" s="1">
        <f>INT(MAX(Sheet2!C56+C23-C37,0)*5)</f>
        <v>2439</v>
      </c>
      <c r="N84" s="1">
        <f t="shared" ref="N84" si="81">SUM(J84:M84)</f>
        <v>108031</v>
      </c>
      <c r="O84" s="1">
        <f t="shared" ref="O84" si="82">ROUND(N84*0.1, 0)</f>
        <v>10803</v>
      </c>
      <c r="P84" s="1">
        <f t="shared" ref="P84:P95" si="83">FLOOR(N84*0.027, 10)</f>
        <v>2910</v>
      </c>
      <c r="Q84" s="1">
        <f t="shared" ref="Q84" si="84">FLOOR(N84+O84+P84, 10)</f>
        <v>121740</v>
      </c>
      <c r="R84" s="144">
        <f>Q84*(Sheet2!C56/(Sheet2!C56+C23))</f>
        <v>67083.564700993593</v>
      </c>
      <c r="U84" s="145"/>
    </row>
    <row r="85" spans="8:21">
      <c r="H85" s="142"/>
      <c r="I85">
        <v>2</v>
      </c>
      <c r="J85" s="1">
        <f>IF(MAX(Sheet2!D56+C24-C38,0)&lt;=200, 910, IF(MAX(Sheet2!D56+C24-C38,0)&lt;=400, 1600, 7300))</f>
        <v>7300</v>
      </c>
      <c r="K85" s="1">
        <f>INT(IF(MAX(Sheet2!D56+C24-C38,0)&lt;=200, MAX(Sheet2!D56+C24-C38,0)*120, IF(MAX(Sheet2!D56+C24-C38,0)&lt;=400, 24000+(MAX(Sheet2!D56+C24-C38,0)-200)*214.6, 66920+(MAX(Sheet2!D56+C24-C38,0)-400)*307.3)))</f>
        <v>107123</v>
      </c>
      <c r="L85" s="1">
        <f>INT(MAX(Sheet2!D56+C24-C38,0)*9)</f>
        <v>4777</v>
      </c>
      <c r="M85" s="1">
        <f>INT(MAX(Sheet2!D56+C24-C38,0)*5)</f>
        <v>2654</v>
      </c>
      <c r="N85" s="1">
        <f t="shared" ref="N85" si="85">SUM(J85:M85)</f>
        <v>121854</v>
      </c>
      <c r="O85" s="1">
        <f t="shared" ref="O85" si="86">ROUND(N85*0.1, 0)</f>
        <v>12185</v>
      </c>
      <c r="P85" s="1">
        <f t="shared" si="83"/>
        <v>3290</v>
      </c>
      <c r="Q85" s="1">
        <f t="shared" ref="Q85" si="87">FLOOR(N85+O85+P85, 10)</f>
        <v>137320</v>
      </c>
      <c r="R85" s="144">
        <f>Q85*(Sheet2!D56/(Sheet2!D56+C24))</f>
        <v>80850.288183778481</v>
      </c>
      <c r="U85" s="145"/>
    </row>
    <row r="86" spans="8:21">
      <c r="H86" s="142"/>
      <c r="I86">
        <v>3</v>
      </c>
      <c r="J86" s="1">
        <f>IF(MAX(Sheet2!E56+C25-C39,0)&lt;=200, 910, IF(MAX(Sheet2!E56+C25-C39,0)&lt;=400, 1600, 7300))</f>
        <v>910</v>
      </c>
      <c r="K86" s="1">
        <f>INT(IF(MAX(Sheet2!E56+C25-C39,0)&lt;=200, MAX(Sheet2!E56+C25-C39,0)*120, IF(MAX(Sheet2!E56+C25-C39,0)&lt;=400, 24000+(MAX(Sheet2!E56+C25-C39,0)-200)*214.6, 66920+(MAX(Sheet2!E56+C25-C39,0)-400)*307.3)))</f>
        <v>21950</v>
      </c>
      <c r="L86" s="1">
        <f>INT(MAX(Sheet2!E56+C25-C39,0)*9)</f>
        <v>1646</v>
      </c>
      <c r="M86" s="1">
        <f>INT(MAX(Sheet2!E56+C25-C39,0)*5)</f>
        <v>914</v>
      </c>
      <c r="N86" s="1">
        <f t="shared" ref="N86" si="88">SUM(J86:M86)</f>
        <v>25420</v>
      </c>
      <c r="O86" s="1">
        <f t="shared" ref="O86" si="89">ROUND(N86*0.1, 0)</f>
        <v>2542</v>
      </c>
      <c r="P86" s="1">
        <f t="shared" si="83"/>
        <v>680</v>
      </c>
      <c r="Q86" s="1">
        <f t="shared" ref="Q86" si="90">FLOOR(N86+O86+P86, 10)</f>
        <v>28640</v>
      </c>
      <c r="R86" s="144">
        <f>Q86*(Sheet2!E56/(Sheet2!E56+C25))</f>
        <v>10731.568552074741</v>
      </c>
      <c r="U86" s="145"/>
    </row>
    <row r="87" spans="8:21">
      <c r="H87" s="142"/>
      <c r="I87">
        <v>4</v>
      </c>
      <c r="J87" s="1">
        <f>IF(MAX(Sheet2!F56+C26-C40,0)&lt;=200, 910, IF(MAX(Sheet2!F56+C26-C40,0)&lt;=400, 1600, 7300))</f>
        <v>910</v>
      </c>
      <c r="K87" s="1">
        <f>INT(IF(MAX(Sheet2!F56+C26-C40,0)&lt;=200, MAX(Sheet2!F56+C26-C40,0)*120, IF(MAX(Sheet2!F56+C26-C40,0)&lt;=400, 24000+(MAX(Sheet2!F56+C26-C40,0)-200)*214.6, 66920+(MAX(Sheet2!F56+C26-C40,0)-400)*307.3)))</f>
        <v>996</v>
      </c>
      <c r="L87" s="1">
        <f>INT(MAX(Sheet2!F56+C26-C40,0)*9)</f>
        <v>74</v>
      </c>
      <c r="M87" s="1">
        <f>INT(MAX(Sheet2!F56+C26-C40,0)*5)</f>
        <v>41</v>
      </c>
      <c r="N87" s="1">
        <f t="shared" ref="N87" si="91">SUM(J87:M87)</f>
        <v>2021</v>
      </c>
      <c r="O87" s="1">
        <f t="shared" ref="O87" si="92">ROUND(N87*0.1, 0)</f>
        <v>202</v>
      </c>
      <c r="P87" s="1">
        <f t="shared" si="83"/>
        <v>50</v>
      </c>
      <c r="Q87" s="1">
        <f t="shared" ref="Q87" si="93">FLOOR(N87+O87+P87, 10)</f>
        <v>2270</v>
      </c>
      <c r="R87" s="144">
        <f>Q87*(Sheet2!F56/(Sheet2!F56+C26))</f>
        <v>643.52713873321238</v>
      </c>
      <c r="U87" s="145"/>
    </row>
    <row r="88" spans="8:21">
      <c r="H88" s="142"/>
      <c r="I88">
        <v>5</v>
      </c>
      <c r="J88" s="1">
        <f>IF(MAX(Sheet2!G56+C27-C41,0)&lt;=200, 910, IF(MAX(Sheet2!G56+C27-C41,0)&lt;=400, 1600, 7300))</f>
        <v>910</v>
      </c>
      <c r="K88" s="1">
        <f>INT(IF(MAX(Sheet2!G56+C27-C41,0)&lt;=200, MAX(Sheet2!G56+C27-C41,0)*120, IF(MAX(Sheet2!G56+C27-C41,0)&lt;=400, 24000+(MAX(Sheet2!G56+C27-C41,0)-200)*214.6, 66920+(MAX(Sheet2!G56+C27-C41,0)-400)*307.3)))</f>
        <v>1699</v>
      </c>
      <c r="L88" s="1">
        <f>INT(MAX(Sheet2!G56+C27-C41,0)*9)</f>
        <v>127</v>
      </c>
      <c r="M88" s="1">
        <f>INT(MAX(Sheet2!G56+C27-C41,0)*5)</f>
        <v>70</v>
      </c>
      <c r="N88" s="1">
        <f t="shared" ref="N88" si="94">SUM(J88:M88)</f>
        <v>2806</v>
      </c>
      <c r="O88" s="1">
        <f t="shared" ref="O88" si="95">ROUND(N88*0.1, 0)</f>
        <v>281</v>
      </c>
      <c r="P88" s="1">
        <f t="shared" si="83"/>
        <v>70</v>
      </c>
      <c r="Q88" s="1">
        <f t="shared" ref="Q88" si="96">FLOOR(N88+O88+P88, 10)</f>
        <v>3150</v>
      </c>
      <c r="R88" s="144">
        <f>Q88*(Sheet2!G56/(Sheet2!G56+C27))</f>
        <v>808.78670520143351</v>
      </c>
      <c r="U88" s="145"/>
    </row>
    <row r="89" spans="8:21">
      <c r="H89" s="142"/>
      <c r="I89">
        <v>6</v>
      </c>
      <c r="J89" s="1">
        <f>IF(MAX(Sheet2!H56+C28-C42,0)&lt;=200, 910, IF(MAX(Sheet2!H56+C28-C42,0)&lt;=400, 1600, 7300))</f>
        <v>910</v>
      </c>
      <c r="K89" s="1">
        <f>INT(IF(MAX(Sheet2!H56+C28-C42,0)&lt;=200, MAX(Sheet2!H56+C28-C42,0)*120, IF(MAX(Sheet2!H56+C28-C42,0)&lt;=400, 24000+(MAX(Sheet2!H56+C28-C42,0)-200)*214.6, 66920+(MAX(Sheet2!H56+C28-C42,0)-400)*307.3)))</f>
        <v>5055</v>
      </c>
      <c r="L89" s="1">
        <f>INT(MAX(Sheet2!H56+C28-C42,0)*9)</f>
        <v>379</v>
      </c>
      <c r="M89" s="1">
        <f>INT(MAX(Sheet2!H56+C28-C42,0)*5)</f>
        <v>210</v>
      </c>
      <c r="N89" s="1">
        <f t="shared" ref="N89:N90" si="97">SUM(J89:M89)</f>
        <v>6554</v>
      </c>
      <c r="O89" s="1">
        <f t="shared" ref="O89:O90" si="98">ROUND(N89*0.1, 0)</f>
        <v>655</v>
      </c>
      <c r="P89" s="1">
        <f t="shared" si="83"/>
        <v>170</v>
      </c>
      <c r="Q89" s="1">
        <f t="shared" ref="Q89:Q90" si="99">FLOOR(N89+O89+P89, 10)</f>
        <v>7370</v>
      </c>
      <c r="R89" s="144">
        <f>Q89*(Sheet2!H56/(Sheet2!H56+C28))</f>
        <v>1740.772286982562</v>
      </c>
      <c r="U89" s="145"/>
    </row>
    <row r="90" spans="8:21">
      <c r="H90" s="142"/>
      <c r="I90">
        <v>7</v>
      </c>
      <c r="J90" s="1">
        <f>IF(MAX(Sheet2!I56+C29-C43,0)&lt;=300, 910, IF(MAX(Sheet2!I56+C29-C43,0)&lt;=450, 1600, 7300))</f>
        <v>910</v>
      </c>
      <c r="K90" s="1">
        <f>INT(IF(MAX(Sheet2!I56+C29-C43,0)&lt;=300, MAX(Sheet2!I56+C29-C43,0)*120, IF(MAX(Sheet2!I56+C29-C43,0)&lt;=450, 36000+(MAX(Sheet2!I56+C29-C43,0)-300)*214.6, 68190+(MAX(Sheet2!I56+C29-C43,0)-450)*307.3)))</f>
        <v>3115</v>
      </c>
      <c r="L90" s="1">
        <f>INT(MAX(Sheet2!I56+C29-C43,0)*9)</f>
        <v>233</v>
      </c>
      <c r="M90" s="1">
        <f>INT(MAX(Sheet2!I56+C29-C43,0)*5)</f>
        <v>129</v>
      </c>
      <c r="N90" s="1">
        <f t="shared" si="97"/>
        <v>4387</v>
      </c>
      <c r="O90" s="1">
        <f t="shared" si="98"/>
        <v>439</v>
      </c>
      <c r="P90" s="1">
        <f t="shared" si="83"/>
        <v>110</v>
      </c>
      <c r="Q90" s="1">
        <f t="shared" si="99"/>
        <v>4930</v>
      </c>
      <c r="R90" s="144">
        <f>Q90*(Sheet2!I56/(Sheet2!I56+C29))</f>
        <v>493.10515630257305</v>
      </c>
      <c r="U90" s="145"/>
    </row>
    <row r="91" spans="8:21">
      <c r="H91" s="142"/>
      <c r="I91">
        <v>8</v>
      </c>
      <c r="J91" s="1">
        <f>IF(MAX(Sheet2!J56+C30-C44,0)&lt;=300, 910, IF(MAX(Sheet2!J56+C30-C44,0)&lt;=450, 1600, 7300))</f>
        <v>910</v>
      </c>
      <c r="K91" s="1">
        <f>INT(IF(MAX(Sheet2!J56+C30-C44,0)&lt;=300, MAX(Sheet2!J56+C30-C44,0)*120, IF(MAX(Sheet2!J56+C30-C44,0)&lt;=450, 36000+(MAX(Sheet2!J56+C30-C44,0)-300)*214.6, 68190+(MAX(Sheet2!J56+C30-C44,0)-450)*307.3)))</f>
        <v>15736</v>
      </c>
      <c r="L91" s="1">
        <f>INT(MAX(Sheet2!J56+C30-C44,0)*9)</f>
        <v>1180</v>
      </c>
      <c r="M91" s="1">
        <f>INT(MAX(Sheet2!J56+C30-C44,0)*5)</f>
        <v>655</v>
      </c>
      <c r="N91" s="1">
        <f t="shared" ref="N91:N92" si="100">SUM(J91:M91)</f>
        <v>18481</v>
      </c>
      <c r="O91" s="1">
        <f t="shared" ref="O91:O92" si="101">ROUND(N91*0.1, 0)</f>
        <v>1848</v>
      </c>
      <c r="P91" s="1">
        <f t="shared" si="83"/>
        <v>490</v>
      </c>
      <c r="Q91" s="1">
        <f t="shared" ref="Q91:Q92" si="102">FLOOR(N91+O91+P91, 10)</f>
        <v>20810</v>
      </c>
      <c r="R91" s="144">
        <f>Q91*(Sheet2!J56/(Sheet2!J56+C30))</f>
        <v>1705.2140928917709</v>
      </c>
      <c r="U91" s="145"/>
    </row>
    <row r="92" spans="8:21">
      <c r="H92" s="142"/>
      <c r="I92">
        <v>9</v>
      </c>
      <c r="J92" s="1">
        <f>IF(MAX(Sheet2!K56+C31-C45,0)&lt;=200, 910, IF(MAX(Sheet2!K56+C31-C45,0)&lt;=400, 1600, 7300))</f>
        <v>910</v>
      </c>
      <c r="K92" s="1">
        <f>INT(IF(MAX(Sheet2!K56+C31-C45,0)&lt;=200, MAX(Sheet2!K56+C31-C45,0)*120, IF(MAX(Sheet2!K56+C31-C45,0)&lt;=400, 24000+(MAX(Sheet2!K56+C31-C45,0)-200)*214.6, 66920+(MAX(Sheet2!K56+C31-C45,0)-400)*307.3)))</f>
        <v>11185</v>
      </c>
      <c r="L92" s="1">
        <f>INT(MAX(Sheet2!K56+C31-C45,0)*9)</f>
        <v>838</v>
      </c>
      <c r="M92" s="1">
        <f>INT(MAX(Sheet2!K56+C31-C45,0)*5)</f>
        <v>466</v>
      </c>
      <c r="N92" s="1">
        <f t="shared" si="100"/>
        <v>13399</v>
      </c>
      <c r="O92" s="1">
        <f t="shared" si="101"/>
        <v>1340</v>
      </c>
      <c r="P92" s="1">
        <f t="shared" si="83"/>
        <v>360</v>
      </c>
      <c r="Q92" s="1">
        <f t="shared" si="102"/>
        <v>15090</v>
      </c>
      <c r="R92" s="144">
        <f>Q92*(Sheet2!K56/(Sheet2!K56+C31))</f>
        <v>2143.3800901032082</v>
      </c>
      <c r="U92" s="145"/>
    </row>
    <row r="93" spans="8:21">
      <c r="H93" s="142"/>
      <c r="I93">
        <v>10</v>
      </c>
      <c r="J93" s="1">
        <f>IF(MAX(Sheet2!L56+C32-C46,0)&lt;=200, 910, IF(MAX(Sheet2!L56+C32-C46,0)&lt;=400, 1600, 7300))</f>
        <v>910</v>
      </c>
      <c r="K93" s="1">
        <f>INT(IF(MAX(Sheet2!L56+C32-C46,0)&lt;=200, MAX(Sheet2!L56+C32-C46,0)*120, IF(MAX(Sheet2!L56+C32-C46,0)&lt;=400, 24000+(MAX(Sheet2!L56+C32-C46,0)-200)*214.6, 66920+(MAX(Sheet2!L56+C32-C46,0)-400)*307.3)))</f>
        <v>5392</v>
      </c>
      <c r="L93" s="1">
        <f>INT(MAX(Sheet2!L56+C32-C46,0)*9)</f>
        <v>404</v>
      </c>
      <c r="M93" s="1">
        <f>INT(MAX(Sheet2!L56+C32-C46,0)*5)</f>
        <v>224</v>
      </c>
      <c r="N93" s="1">
        <f t="shared" ref="N93" si="103">SUM(J93:M93)</f>
        <v>6930</v>
      </c>
      <c r="O93" s="1">
        <f t="shared" ref="O93" si="104">ROUND(N93*0.1, 0)</f>
        <v>693</v>
      </c>
      <c r="P93" s="1">
        <f t="shared" si="83"/>
        <v>180</v>
      </c>
      <c r="Q93" s="1">
        <f t="shared" ref="Q93" si="105">FLOOR(N93+O93+P93, 10)</f>
        <v>7800</v>
      </c>
      <c r="R93" s="144">
        <f>Q93*(Sheet2!L56/(Sheet2!L56+C32))</f>
        <v>1213.4177231482897</v>
      </c>
      <c r="U93" s="145"/>
    </row>
    <row r="94" spans="8:21">
      <c r="H94" s="142"/>
      <c r="I94">
        <v>11</v>
      </c>
      <c r="J94" s="1">
        <f>IF(MAX(Sheet2!M56+C33-C47,0)&lt;=200, 910, IF(MAX(Sheet2!M56+C33-C47,0)&lt;=400, 1600, 7300))</f>
        <v>910</v>
      </c>
      <c r="K94" s="1">
        <f>INT(IF(MAX(Sheet2!M56+C33-C47,0)&lt;=200, MAX(Sheet2!M56+C33-C47,0)*120, IF(MAX(Sheet2!M56+C33-C47,0)&lt;=400, 24000+(MAX(Sheet2!M56+C33-C47,0)-200)*214.6, 66920+(MAX(Sheet2!M56+C33-C47,0)-400)*307.3)))</f>
        <v>22943</v>
      </c>
      <c r="L94" s="1">
        <f>INT(MAX(Sheet2!M56+C33-C47,0)*9)</f>
        <v>1720</v>
      </c>
      <c r="M94" s="1">
        <f>INT(MAX(Sheet2!M56+C33-C47,0)*5)</f>
        <v>955</v>
      </c>
      <c r="N94" s="1">
        <f t="shared" ref="N94" si="106">SUM(J94:M94)</f>
        <v>26528</v>
      </c>
      <c r="O94" s="1">
        <f t="shared" ref="O94" si="107">ROUND(N94*0.1, 0)</f>
        <v>2653</v>
      </c>
      <c r="P94" s="1">
        <f t="shared" si="83"/>
        <v>710</v>
      </c>
      <c r="Q94" s="1">
        <f t="shared" ref="Q94" si="108">FLOOR(N94+O94+P94, 10)</f>
        <v>29890</v>
      </c>
      <c r="R94" s="144">
        <f>Q94*(Sheet2!M56/(Sheet2!M56+C33))</f>
        <v>12060.539007727808</v>
      </c>
      <c r="U94" s="145"/>
    </row>
    <row r="95" spans="8:21">
      <c r="H95" s="142"/>
      <c r="I95">
        <v>12</v>
      </c>
      <c r="J95" s="1">
        <f>IF(MAX(Sheet2!N56+C34-C48,0)&lt;=200, 910, IF(MAX(Sheet2!N56+C34-C48,0)&lt;=400, 1600, 7300))</f>
        <v>7300</v>
      </c>
      <c r="K95" s="1">
        <f>INT(IF(MAX(Sheet2!N56+C34-C48,0)&lt;=200, MAX(Sheet2!N56+C34-C48,0)*120, IF(MAX(Sheet2!N56+C34-C48,0)&lt;=400, 24000+(MAX(Sheet2!N56+C34-C48,0)-200)*214.6, 66920+(MAX(Sheet2!N56+C34-C48,0)-400)*307.3)))</f>
        <v>73618</v>
      </c>
      <c r="L95" s="1">
        <f>INT(MAX(Sheet2!N56+C34-C48,0)*9)</f>
        <v>3796</v>
      </c>
      <c r="M95" s="1">
        <f>INT(MAX(Sheet2!N56+C34-C48,0)*5)</f>
        <v>2108</v>
      </c>
      <c r="N95" s="1">
        <f t="shared" ref="N95" si="109">SUM(J95:M95)</f>
        <v>86822</v>
      </c>
      <c r="O95" s="1">
        <f t="shared" ref="O95" si="110">ROUND(N95*0.1, 0)</f>
        <v>8682</v>
      </c>
      <c r="P95" s="1">
        <f t="shared" si="83"/>
        <v>2340</v>
      </c>
      <c r="Q95" s="1">
        <f t="shared" ref="Q95" si="111">FLOOR(N95+O95+P95, 10)</f>
        <v>97840</v>
      </c>
      <c r="R95" s="144">
        <f>Q95*(Sheet2!N56/(Sheet2!N56+C34))</f>
        <v>54709.54439794457</v>
      </c>
      <c r="U95" s="145"/>
    </row>
    <row r="96" spans="8:21">
      <c r="H96" s="142"/>
      <c r="I96" t="s">
        <v>79</v>
      </c>
      <c r="J96" s="1" t="s">
        <v>384</v>
      </c>
      <c r="K96" s="1" t="s">
        <v>385</v>
      </c>
      <c r="L96" s="1" t="s">
        <v>386</v>
      </c>
      <c r="M96" s="1" t="s">
        <v>387</v>
      </c>
      <c r="N96" s="1" t="s">
        <v>388</v>
      </c>
      <c r="O96" s="1" t="s">
        <v>389</v>
      </c>
      <c r="P96" s="1" t="s">
        <v>390</v>
      </c>
      <c r="Q96" s="1" t="s">
        <v>391</v>
      </c>
      <c r="R96" s="1" t="s">
        <v>430</v>
      </c>
      <c r="S96" s="144">
        <f>SUM(R97:R108)</f>
        <v>165749.41008943078</v>
      </c>
      <c r="T96" s="144">
        <f>Sheet2!O18</f>
        <v>1157329.3336407086</v>
      </c>
      <c r="U96" s="147">
        <f>(T96-S96)/T96</f>
        <v>0.85678284886461931</v>
      </c>
    </row>
    <row r="97" spans="3:21">
      <c r="H97" s="142"/>
      <c r="I97">
        <v>1</v>
      </c>
      <c r="J97" s="1">
        <f>IF(MAX(Sheet2!C57+C23-C37,0)&lt;=200, 910, IF(MAX(Sheet2!C57+C23-C37,0)&lt;=400, 1600, 7300))</f>
        <v>7300</v>
      </c>
      <c r="K97" s="1">
        <f>INT(IF(MAX(Sheet2!C57+C23-C37,0)&lt;=200, MAX(Sheet2!C57+C23-C37,0)*120, IF(MAX(Sheet2!C57+C23-C37,0)&lt;=400, 24000+(MAX(Sheet2!C57+C23-C37,0)-200)*214.6, 66920+(MAX(Sheet2!C57+C23-C37,0)-400)*307.3)))</f>
        <v>72459</v>
      </c>
      <c r="L97" s="1">
        <f>INT(MAX(Sheet2!C57+C23-C37,0)*9)</f>
        <v>3762</v>
      </c>
      <c r="M97" s="1">
        <f>INT(MAX(Sheet2!C57+C23-C37,0)*5)</f>
        <v>2090</v>
      </c>
      <c r="N97" s="1">
        <f t="shared" ref="N97" si="112">SUM(J97:M97)</f>
        <v>85611</v>
      </c>
      <c r="O97" s="1">
        <f t="shared" ref="O97" si="113">ROUND(N97*0.1, 0)</f>
        <v>8561</v>
      </c>
      <c r="P97" s="1">
        <f t="shared" ref="P97:P108" si="114">FLOOR(N97*0.027, 10)</f>
        <v>2310</v>
      </c>
      <c r="Q97" s="1">
        <f t="shared" ref="Q97" si="115">FLOOR(N97+O97+P97, 10)</f>
        <v>96480</v>
      </c>
      <c r="R97" s="144">
        <f>Q97*(Sheet2!C57/(Sheet2!C57+C23))</f>
        <v>48214.782642881597</v>
      </c>
      <c r="U97" s="145"/>
    </row>
    <row r="98" spans="3:21">
      <c r="H98" s="142"/>
      <c r="I98">
        <v>2</v>
      </c>
      <c r="J98" s="1">
        <f>IF(MAX(Sheet2!D57+C24-C38,0)&lt;=200, 910, IF(MAX(Sheet2!D57+C24-C38,0)&lt;=400, 1600, 7300))</f>
        <v>7300</v>
      </c>
      <c r="K98" s="1">
        <f>INT(IF(MAX(Sheet2!D57+C24-C38,0)&lt;=200, MAX(Sheet2!D57+C24-C38,0)*120, IF(MAX(Sheet2!D57+C24-C38,0)&lt;=400, 24000+(MAX(Sheet2!D57+C24-C38,0)-200)*214.6, 66920+(MAX(Sheet2!D57+C24-C38,0)-400)*307.3)))</f>
        <v>82502</v>
      </c>
      <c r="L98" s="1">
        <f>INT(MAX(Sheet2!D57+C24-C38,0)*9)</f>
        <v>4056</v>
      </c>
      <c r="M98" s="1">
        <f>INT(MAX(Sheet2!D57+C24-C38,0)*5)</f>
        <v>2253</v>
      </c>
      <c r="N98" s="1">
        <f t="shared" ref="N98" si="116">SUM(J98:M98)</f>
        <v>96111</v>
      </c>
      <c r="O98" s="1">
        <f t="shared" ref="O98" si="117">ROUND(N98*0.1, 0)</f>
        <v>9611</v>
      </c>
      <c r="P98" s="1">
        <f t="shared" si="114"/>
        <v>2590</v>
      </c>
      <c r="Q98" s="1">
        <f t="shared" ref="Q98" si="118">FLOOR(N98+O98+P98, 10)</f>
        <v>108310</v>
      </c>
      <c r="R98" s="144">
        <f>Q98*(Sheet2!D57/(Sheet2!D57+C24))</f>
        <v>58289.178776011504</v>
      </c>
      <c r="U98" s="145"/>
    </row>
    <row r="99" spans="3:21">
      <c r="H99" s="142"/>
      <c r="I99">
        <v>3</v>
      </c>
      <c r="J99" s="1">
        <f>IF(MAX(Sheet2!E57+C25-C39,0)&lt;=200, 910, IF(MAX(Sheet2!E57+C25-C39,0)&lt;=400, 1600, 7300))</f>
        <v>910</v>
      </c>
      <c r="K99" s="1">
        <f>INT(IF(MAX(Sheet2!E57+C25-C39,0)&lt;=200, MAX(Sheet2!E57+C25-C39,0)*120, IF(MAX(Sheet2!E57+C25-C39,0)&lt;=400, 24000+(MAX(Sheet2!E57+C25-C39,0)-200)*214.6, 66920+(MAX(Sheet2!E57+C25-C39,0)-400)*307.3)))</f>
        <v>18233</v>
      </c>
      <c r="L99" s="1">
        <f>INT(MAX(Sheet2!E57+C25-C39,0)*9)</f>
        <v>1367</v>
      </c>
      <c r="M99" s="1">
        <f>INT(MAX(Sheet2!E57+C25-C39,0)*5)</f>
        <v>759</v>
      </c>
      <c r="N99" s="1">
        <f t="shared" ref="N99" si="119">SUM(J99:M99)</f>
        <v>21269</v>
      </c>
      <c r="O99" s="1">
        <f t="shared" ref="O99" si="120">ROUND(N99*0.1, 0)</f>
        <v>2127</v>
      </c>
      <c r="P99" s="1">
        <f t="shared" si="114"/>
        <v>570</v>
      </c>
      <c r="Q99" s="1">
        <f t="shared" ref="Q99" si="121">FLOOR(N99+O99+P99, 10)</f>
        <v>23960</v>
      </c>
      <c r="R99" s="144">
        <f>Q99*(Sheet2!E57/(Sheet2!E57+C25))</f>
        <v>7854.8943949056702</v>
      </c>
      <c r="U99" s="145"/>
    </row>
    <row r="100" spans="3:21">
      <c r="H100" s="142"/>
      <c r="I100">
        <v>4</v>
      </c>
      <c r="J100" s="1">
        <f>IF(MAX(Sheet2!F57+C26-C40,0)&lt;=200, 910, IF(MAX(Sheet2!F57+C26-C40,0)&lt;=400, 1600, 7300))</f>
        <v>910</v>
      </c>
      <c r="K100" s="1">
        <f>INT(IF(MAX(Sheet2!F57+C26-C40,0)&lt;=200, MAX(Sheet2!F57+C26-C40,0)*120, IF(MAX(Sheet2!F57+C26-C40,0)&lt;=400, 24000+(MAX(Sheet2!F57+C26-C40,0)-200)*214.6, 66920+(MAX(Sheet2!F57+C26-C40,0)-400)*307.3)))</f>
        <v>0</v>
      </c>
      <c r="L100" s="1">
        <f>INT(MAX(Sheet2!F57+C26-C40,0)*9)</f>
        <v>0</v>
      </c>
      <c r="M100" s="1">
        <f>INT(MAX(Sheet2!F57+C26-C40,0)*5)</f>
        <v>0</v>
      </c>
      <c r="N100" s="1">
        <f t="shared" ref="N100" si="122">SUM(J100:M100)</f>
        <v>910</v>
      </c>
      <c r="O100" s="1">
        <f t="shared" ref="O100" si="123">ROUND(N100*0.1, 0)</f>
        <v>91</v>
      </c>
      <c r="P100" s="1">
        <f t="shared" si="114"/>
        <v>20</v>
      </c>
      <c r="Q100" s="1">
        <f t="shared" ref="Q100" si="124">FLOOR(N100+O100+P100, 10)</f>
        <v>1020</v>
      </c>
      <c r="R100" s="144">
        <f>Q100*(Sheet2!F57/(Sheet2!F57+C26))</f>
        <v>248.45702686001908</v>
      </c>
      <c r="U100" s="145"/>
    </row>
    <row r="101" spans="3:21">
      <c r="H101" s="142"/>
      <c r="I101">
        <v>5</v>
      </c>
      <c r="J101" s="1">
        <f>IF(MAX(Sheet2!G57+C27-C41,0)&lt;=200, 910, IF(MAX(Sheet2!G57+C27-C41,0)&lt;=400, 1600, 7300))</f>
        <v>910</v>
      </c>
      <c r="K101" s="1">
        <f>INT(IF(MAX(Sheet2!G57+C27-C41,0)&lt;=200, MAX(Sheet2!G57+C27-C41,0)*120, IF(MAX(Sheet2!G57+C27-C41,0)&lt;=400, 24000+(MAX(Sheet2!G57+C27-C41,0)-200)*214.6, 66920+(MAX(Sheet2!G57+C27-C41,0)-400)*307.3)))</f>
        <v>0</v>
      </c>
      <c r="L101" s="1">
        <f>INT(MAX(Sheet2!G57+C27-C41,0)*9)</f>
        <v>0</v>
      </c>
      <c r="M101" s="1">
        <f>INT(MAX(Sheet2!G57+C27-C41,0)*5)</f>
        <v>0</v>
      </c>
      <c r="N101" s="1">
        <f t="shared" ref="N101" si="125">SUM(J101:M101)</f>
        <v>910</v>
      </c>
      <c r="O101" s="1">
        <f t="shared" ref="O101" si="126">ROUND(N101*0.1, 0)</f>
        <v>91</v>
      </c>
      <c r="P101" s="1">
        <f t="shared" si="114"/>
        <v>20</v>
      </c>
      <c r="Q101" s="1">
        <f t="shared" ref="Q101" si="127">FLOOR(N101+O101+P101, 10)</f>
        <v>1020</v>
      </c>
      <c r="R101" s="144">
        <f>Q101*(Sheet2!G57/(Sheet2!G57+C27))</f>
        <v>223.85078093521392</v>
      </c>
      <c r="U101" s="145"/>
    </row>
    <row r="102" spans="3:21">
      <c r="H102" s="142"/>
      <c r="I102">
        <v>6</v>
      </c>
      <c r="J102" s="1">
        <f>IF(MAX(Sheet2!H57+C28-C42,0)&lt;=200, 910, IF(MAX(Sheet2!H57+C28-C42,0)&lt;=400, 1600, 7300))</f>
        <v>910</v>
      </c>
      <c r="K102" s="1">
        <f>INT(IF(MAX(Sheet2!H57+C28-C42,0)&lt;=200, MAX(Sheet2!H57+C28-C42,0)*120, IF(MAX(Sheet2!H57+C28-C42,0)&lt;=400, 24000+(MAX(Sheet2!H57+C28-C42,0)-200)*214.6, 66920+(MAX(Sheet2!H57+C28-C42,0)-400)*307.3)))</f>
        <v>3362</v>
      </c>
      <c r="L102" s="1">
        <f>INT(MAX(Sheet2!H57+C28-C42,0)*9)</f>
        <v>252</v>
      </c>
      <c r="M102" s="1">
        <f>INT(MAX(Sheet2!H57+C28-C42,0)*5)</f>
        <v>140</v>
      </c>
      <c r="N102" s="1">
        <f t="shared" ref="N102:N103" si="128">SUM(J102:M102)</f>
        <v>4664</v>
      </c>
      <c r="O102" s="1">
        <f t="shared" ref="O102:O103" si="129">ROUND(N102*0.1, 0)</f>
        <v>466</v>
      </c>
      <c r="P102" s="1">
        <f t="shared" si="114"/>
        <v>120</v>
      </c>
      <c r="Q102" s="1">
        <f t="shared" ref="Q102:Q103" si="130">FLOOR(N102+O102+P102, 10)</f>
        <v>5250</v>
      </c>
      <c r="R102" s="144">
        <f>Q102*(Sheet2!H57/(Sheet2!H57+C28))</f>
        <v>1055.6674406956874</v>
      </c>
      <c r="U102" s="145"/>
    </row>
    <row r="103" spans="3:21">
      <c r="H103" s="142"/>
      <c r="I103">
        <v>7</v>
      </c>
      <c r="J103" s="1">
        <f>IF(MAX(Sheet2!I57+C29-C43,0)&lt;=300, 910, IF(MAX(Sheet2!I57+C29-C43,0)&lt;=450, 1600, 7300))</f>
        <v>910</v>
      </c>
      <c r="K103" s="1">
        <f>INT(IF(MAX(Sheet2!I57+C29-C43,0)&lt;=300, MAX(Sheet2!I57+C29-C43,0)*120, IF(MAX(Sheet2!I57+C29-C43,0)&lt;=450, 36000+(MAX(Sheet2!I57+C29-C43,0)-300)*214.6, 68190+(MAX(Sheet2!I57+C29-C43,0)-450)*307.3)))</f>
        <v>2336</v>
      </c>
      <c r="L103" s="1">
        <f>INT(MAX(Sheet2!I57+C29-C43,0)*9)</f>
        <v>175</v>
      </c>
      <c r="M103" s="1">
        <f>INT(MAX(Sheet2!I57+C29-C43,0)*5)</f>
        <v>97</v>
      </c>
      <c r="N103" s="1">
        <f t="shared" si="128"/>
        <v>3518</v>
      </c>
      <c r="O103" s="1">
        <f t="shared" si="129"/>
        <v>352</v>
      </c>
      <c r="P103" s="1">
        <f t="shared" si="114"/>
        <v>90</v>
      </c>
      <c r="Q103" s="1">
        <f t="shared" si="130"/>
        <v>3960</v>
      </c>
      <c r="R103" s="144">
        <f>Q103*(Sheet2!I57/(Sheet2!I57+C29))</f>
        <v>328.48765381531393</v>
      </c>
      <c r="U103" s="145"/>
    </row>
    <row r="104" spans="3:21">
      <c r="H104" s="142"/>
      <c r="I104">
        <v>8</v>
      </c>
      <c r="J104" s="1">
        <f>IF(MAX(Sheet2!J57+C30-C44,0)&lt;=300, 910, IF(MAX(Sheet2!J57+C30-C44,0)&lt;=450, 1600, 7300))</f>
        <v>910</v>
      </c>
      <c r="K104" s="1">
        <f>INT(IF(MAX(Sheet2!J57+C30-C44,0)&lt;=300, MAX(Sheet2!J57+C30-C44,0)*120, IF(MAX(Sheet2!J57+C30-C44,0)&lt;=450, 36000+(MAX(Sheet2!J57+C30-C44,0)-300)*214.6, 68190+(MAX(Sheet2!J57+C30-C44,0)-450)*307.3)))</f>
        <v>15031</v>
      </c>
      <c r="L104" s="1">
        <f>INT(MAX(Sheet2!J57+C30-C44,0)*9)</f>
        <v>1127</v>
      </c>
      <c r="M104" s="1">
        <f>INT(MAX(Sheet2!J57+C30-C44,0)*5)</f>
        <v>626</v>
      </c>
      <c r="N104" s="1">
        <f t="shared" ref="N104:N105" si="131">SUM(J104:M104)</f>
        <v>17694</v>
      </c>
      <c r="O104" s="1">
        <f t="shared" ref="O104:O105" si="132">ROUND(N104*0.1, 0)</f>
        <v>1769</v>
      </c>
      <c r="P104" s="1">
        <f t="shared" si="114"/>
        <v>470</v>
      </c>
      <c r="Q104" s="1">
        <f t="shared" ref="Q104:Q105" si="133">FLOOR(N104+O104+P104, 10)</f>
        <v>19930</v>
      </c>
      <c r="R104" s="144">
        <f>Q104*(Sheet2!J57/(Sheet2!J57+C30))</f>
        <v>1349.7675971972853</v>
      </c>
      <c r="U104" s="145"/>
    </row>
    <row r="105" spans="3:21">
      <c r="H105" s="142"/>
      <c r="I105">
        <v>9</v>
      </c>
      <c r="J105" s="1">
        <f>IF(MAX(Sheet2!K57+C31-C45,0)&lt;=200, 910, IF(MAX(Sheet2!K57+C31-C45,0)&lt;=400, 1600, 7300))</f>
        <v>910</v>
      </c>
      <c r="K105" s="1">
        <f>INT(IF(MAX(Sheet2!K57+C31-C45,0)&lt;=200, MAX(Sheet2!K57+C31-C45,0)*120, IF(MAX(Sheet2!K57+C31-C45,0)&lt;=400, 24000+(MAX(Sheet2!K57+C31-C45,0)-200)*214.6, 66920+(MAX(Sheet2!K57+C31-C45,0)-400)*307.3)))</f>
        <v>10138</v>
      </c>
      <c r="L105" s="1">
        <f>INT(MAX(Sheet2!K57+C31-C45,0)*9)</f>
        <v>760</v>
      </c>
      <c r="M105" s="1">
        <f>INT(MAX(Sheet2!K57+C31-C45,0)*5)</f>
        <v>422</v>
      </c>
      <c r="N105" s="1">
        <f t="shared" si="131"/>
        <v>12230</v>
      </c>
      <c r="O105" s="1">
        <f t="shared" si="132"/>
        <v>1223</v>
      </c>
      <c r="P105" s="1">
        <f t="shared" si="114"/>
        <v>330</v>
      </c>
      <c r="Q105" s="1">
        <f t="shared" si="133"/>
        <v>13780</v>
      </c>
      <c r="R105" s="144">
        <f>Q105*(Sheet2!K57/(Sheet2!K57+C31))</f>
        <v>1636.3066800169195</v>
      </c>
      <c r="U105" s="145"/>
    </row>
    <row r="106" spans="3:21">
      <c r="H106" s="142"/>
      <c r="I106">
        <v>10</v>
      </c>
      <c r="J106" s="1">
        <f>IF(MAX(Sheet2!L57+C32-C46,0)&lt;=200, 910, IF(MAX(Sheet2!L57+C32-C46,0)&lt;=400, 1600, 7300))</f>
        <v>910</v>
      </c>
      <c r="K106" s="1">
        <f>INT(IF(MAX(Sheet2!L57+C32-C46,0)&lt;=200, MAX(Sheet2!L57+C32-C46,0)*120, IF(MAX(Sheet2!L57+C32-C46,0)&lt;=400, 24000+(MAX(Sheet2!L57+C32-C46,0)-200)*214.6, 66920+(MAX(Sheet2!L57+C32-C46,0)-400)*307.3)))</f>
        <v>4382</v>
      </c>
      <c r="L106" s="1">
        <f>INT(MAX(Sheet2!L57+C32-C46,0)*9)</f>
        <v>328</v>
      </c>
      <c r="M106" s="1">
        <f>INT(MAX(Sheet2!L57+C32-C46,0)*5)</f>
        <v>182</v>
      </c>
      <c r="N106" s="1">
        <f t="shared" ref="N106" si="134">SUM(J106:M106)</f>
        <v>5802</v>
      </c>
      <c r="O106" s="1">
        <f t="shared" ref="O106" si="135">ROUND(N106*0.1, 0)</f>
        <v>580</v>
      </c>
      <c r="P106" s="1">
        <f t="shared" si="114"/>
        <v>150</v>
      </c>
      <c r="Q106" s="1">
        <f t="shared" ref="Q106" si="136">FLOOR(N106+O106+P106, 10)</f>
        <v>6530</v>
      </c>
      <c r="R106" s="144">
        <f>Q106*(Sheet2!L57/(Sheet2!L57+C32))</f>
        <v>851.44937824775616</v>
      </c>
      <c r="U106" s="145"/>
    </row>
    <row r="107" spans="3:21">
      <c r="H107" s="142"/>
      <c r="I107">
        <v>11</v>
      </c>
      <c r="J107" s="1">
        <f>IF(MAX(Sheet2!M57+C33-C47,0)&lt;=200, 910, IF(MAX(Sheet2!M57+C33-C47,0)&lt;=400, 1600, 7300))</f>
        <v>910</v>
      </c>
      <c r="K107" s="1">
        <f>INT(IF(MAX(Sheet2!M57+C33-C47,0)&lt;=200, MAX(Sheet2!M57+C33-C47,0)*120, IF(MAX(Sheet2!M57+C33-C47,0)&lt;=400, 24000+(MAX(Sheet2!M57+C33-C47,0)-200)*214.6, 66920+(MAX(Sheet2!M57+C33-C47,0)-400)*307.3)))</f>
        <v>19079</v>
      </c>
      <c r="L107" s="1">
        <f>INT(MAX(Sheet2!M57+C33-C47,0)*9)</f>
        <v>1430</v>
      </c>
      <c r="M107" s="1">
        <f>INT(MAX(Sheet2!M57+C33-C47,0)*5)</f>
        <v>794</v>
      </c>
      <c r="N107" s="1">
        <f t="shared" ref="N107" si="137">SUM(J107:M107)</f>
        <v>22213</v>
      </c>
      <c r="O107" s="1">
        <f t="shared" ref="O107" si="138">ROUND(N107*0.1, 0)</f>
        <v>2221</v>
      </c>
      <c r="P107" s="1">
        <f t="shared" si="114"/>
        <v>590</v>
      </c>
      <c r="Q107" s="1">
        <f t="shared" ref="Q107" si="139">FLOOR(N107+O107+P107, 10)</f>
        <v>25020</v>
      </c>
      <c r="R107" s="144">
        <f>Q107*(Sheet2!M57/(Sheet2!M57+C33))</f>
        <v>8883.8279310298112</v>
      </c>
      <c r="U107" s="145"/>
    </row>
    <row r="108" spans="3:21">
      <c r="H108" s="149"/>
      <c r="I108" s="54">
        <v>12</v>
      </c>
      <c r="J108" s="155">
        <f>IF(MAX(Sheet2!N57+C34-C48,0)&lt;=200, 910, IF(MAX(Sheet2!N57+C34-C48,0)&lt;=400, 1600, 7300))</f>
        <v>1600</v>
      </c>
      <c r="K108" s="155">
        <f>INT(IF(MAX(Sheet2!N57+C34-C48,0)&lt;=200, MAX(Sheet2!N57+C34-C48,0)*120, IF(MAX(Sheet2!N57+C34-C48,0)&lt;=400, 24000+(MAX(Sheet2!N57+C34-C48,0)-200)*214.6, 66920+(MAX(Sheet2!N57+C34-C48,0)-400)*307.3)))</f>
        <v>57717</v>
      </c>
      <c r="L108" s="155">
        <f>INT(MAX(Sheet2!N57+C34-C48,0)*9)</f>
        <v>3214</v>
      </c>
      <c r="M108" s="155">
        <f>INT(MAX(Sheet2!N57+C34-C48,0)*5)</f>
        <v>1785</v>
      </c>
      <c r="N108" s="155">
        <f t="shared" ref="N108" si="140">SUM(J108:M108)</f>
        <v>64316</v>
      </c>
      <c r="O108" s="155">
        <f t="shared" ref="O108" si="141">ROUND(N108*0.1, 0)</f>
        <v>6432</v>
      </c>
      <c r="P108" s="155">
        <f t="shared" si="114"/>
        <v>1730</v>
      </c>
      <c r="Q108" s="155">
        <f t="shared" ref="Q108" si="142">FLOOR(N108+O108+P108, 10)</f>
        <v>72470</v>
      </c>
      <c r="R108" s="151">
        <f>Q108*(Sheet2!N57/(Sheet2!N57+C34))</f>
        <v>36812.739786834012</v>
      </c>
      <c r="S108" s="155"/>
      <c r="T108" s="155"/>
      <c r="U108" s="152"/>
    </row>
    <row r="109" spans="3:21">
      <c r="C109" t="s">
        <v>432</v>
      </c>
      <c r="D109" s="1">
        <f>ROUNDUP(Sheet2!C4/D110,0)</f>
        <v>4</v>
      </c>
      <c r="H109" s="138" t="s">
        <v>443</v>
      </c>
      <c r="I109" s="153" t="s">
        <v>76</v>
      </c>
      <c r="J109" s="153" t="s">
        <v>384</v>
      </c>
      <c r="K109" s="153" t="s">
        <v>385</v>
      </c>
      <c r="L109" s="153" t="s">
        <v>386</v>
      </c>
      <c r="M109" s="153" t="s">
        <v>387</v>
      </c>
      <c r="N109" s="153" t="s">
        <v>388</v>
      </c>
      <c r="O109" s="153" t="s">
        <v>389</v>
      </c>
      <c r="P109" s="153" t="s">
        <v>390</v>
      </c>
      <c r="Q109" s="153" t="s">
        <v>391</v>
      </c>
      <c r="R109" s="153" t="s">
        <v>430</v>
      </c>
      <c r="S109" s="156">
        <f>SUM(R110:R121)</f>
        <v>780450</v>
      </c>
      <c r="T109" s="156">
        <f>Sheet2!$O$18</f>
        <v>1157329.3336407086</v>
      </c>
      <c r="U109" s="141">
        <f>(T109-S109)/T109</f>
        <v>0.32564571093616668</v>
      </c>
    </row>
    <row r="110" spans="3:21">
      <c r="C110" t="s">
        <v>433</v>
      </c>
      <c r="D110" s="1">
        <v>3</v>
      </c>
      <c r="H110" s="142"/>
      <c r="I110">
        <v>1</v>
      </c>
      <c r="J110" s="1">
        <f t="shared" ref="J110:J121" si="143">$D$109*$C$113</f>
        <v>24640</v>
      </c>
      <c r="K110">
        <f>ROUNDDOWN(Sheet2!C54*$F$113,0)</f>
        <v>72527</v>
      </c>
      <c r="L110" s="1">
        <f>INT(Sheet2!C54*9)</f>
        <v>5485</v>
      </c>
      <c r="M110" s="1">
        <f>INT(Sheet2!C54*5)</f>
        <v>3047</v>
      </c>
      <c r="N110" s="1">
        <f t="shared" ref="N110" si="144">SUM(J110:M110)</f>
        <v>105699</v>
      </c>
      <c r="O110" s="1">
        <f t="shared" ref="O110" si="145">ROUND(N110*0.1, 0)</f>
        <v>10570</v>
      </c>
      <c r="P110" s="1">
        <f t="shared" ref="P110" si="146">FLOOR(N110*0.027, 10)</f>
        <v>2850</v>
      </c>
      <c r="Q110" s="1">
        <f t="shared" ref="Q110" si="147">FLOOR(N110+O110+P110, 10)</f>
        <v>119110</v>
      </c>
      <c r="R110" s="1">
        <f t="shared" ref="R110:R121" si="148">Q110</f>
        <v>119110</v>
      </c>
      <c r="U110" s="145"/>
    </row>
    <row r="111" spans="3:21">
      <c r="H111" s="142"/>
      <c r="I111">
        <v>2</v>
      </c>
      <c r="J111" s="1">
        <f t="shared" si="143"/>
        <v>24640</v>
      </c>
      <c r="K111">
        <f>ROUNDDOWN(Sheet2!D54*$F$113,0)</f>
        <v>83275</v>
      </c>
      <c r="L111" s="1">
        <f>INT(Sheet2!D54*9)</f>
        <v>6298</v>
      </c>
      <c r="M111" s="1">
        <f>INT(Sheet2!D54*5)</f>
        <v>3498</v>
      </c>
      <c r="N111" s="1">
        <f t="shared" ref="N111" si="149">SUM(J111:M111)</f>
        <v>117711</v>
      </c>
      <c r="O111" s="1">
        <f t="shared" ref="O111" si="150">ROUND(N111*0.1, 0)</f>
        <v>11771</v>
      </c>
      <c r="P111" s="1">
        <f t="shared" ref="P111" si="151">FLOOR(N111*0.027, 10)</f>
        <v>3170</v>
      </c>
      <c r="Q111" s="1">
        <f t="shared" ref="Q111" si="152">FLOOR(N111+O111+P111, 10)</f>
        <v>132650</v>
      </c>
      <c r="R111" s="1">
        <f t="shared" si="148"/>
        <v>132650</v>
      </c>
      <c r="U111" s="145"/>
    </row>
    <row r="112" spans="3:21">
      <c r="H112" s="142"/>
      <c r="I112">
        <v>3</v>
      </c>
      <c r="J112" s="1">
        <f t="shared" si="143"/>
        <v>24640</v>
      </c>
      <c r="K112">
        <f>ROUNDDOWN(Sheet2!E54*$E$113,0)</f>
        <v>24867</v>
      </c>
      <c r="L112" s="1">
        <f>INT(Sheet2!E54*9)</f>
        <v>2435</v>
      </c>
      <c r="M112" s="1">
        <f>INT(Sheet2!E54*5)</f>
        <v>1352</v>
      </c>
      <c r="N112" s="1">
        <f t="shared" ref="N112" si="153">SUM(J112:M112)</f>
        <v>53294</v>
      </c>
      <c r="O112" s="1">
        <f t="shared" ref="O112" si="154">ROUND(N112*0.1, 0)</f>
        <v>5329</v>
      </c>
      <c r="P112" s="1">
        <f t="shared" ref="P112" si="155">FLOOR(N112*0.027, 10)</f>
        <v>1430</v>
      </c>
      <c r="Q112" s="1">
        <f t="shared" ref="Q112" si="156">FLOOR(N112+O112+P112, 10)</f>
        <v>60050</v>
      </c>
      <c r="R112" s="1">
        <f t="shared" si="148"/>
        <v>60050</v>
      </c>
      <c r="U112" s="145"/>
    </row>
    <row r="113" spans="3:21">
      <c r="C113" s="131">
        <v>6160</v>
      </c>
      <c r="D113" s="124">
        <v>132.4</v>
      </c>
      <c r="E113" s="131">
        <v>91.9</v>
      </c>
      <c r="F113" s="131">
        <v>119</v>
      </c>
      <c r="H113" s="142"/>
      <c r="I113">
        <v>4</v>
      </c>
      <c r="J113" s="1">
        <f t="shared" si="143"/>
        <v>24640</v>
      </c>
      <c r="K113">
        <f>ROUNDDOWN(Sheet2!F54*$E$113,0)</f>
        <v>15106</v>
      </c>
      <c r="L113" s="1">
        <f>INT(Sheet2!F54*9)</f>
        <v>1479</v>
      </c>
      <c r="M113" s="1">
        <f>INT(Sheet2!F54*5)</f>
        <v>821</v>
      </c>
      <c r="N113" s="1">
        <f t="shared" ref="N113:N114" si="157">SUM(J113:M113)</f>
        <v>42046</v>
      </c>
      <c r="O113" s="1">
        <f t="shared" ref="O113:O114" si="158">ROUND(N113*0.1, 0)</f>
        <v>4205</v>
      </c>
      <c r="P113" s="1">
        <f t="shared" ref="P113:P114" si="159">FLOOR(N113*0.027, 10)</f>
        <v>1130</v>
      </c>
      <c r="Q113" s="1">
        <f t="shared" ref="Q113:Q114" si="160">FLOOR(N113+O113+P113, 10)</f>
        <v>47380</v>
      </c>
      <c r="R113" s="1">
        <f t="shared" si="148"/>
        <v>47380</v>
      </c>
      <c r="U113" s="145"/>
    </row>
    <row r="114" spans="3:21">
      <c r="C114" t="s">
        <v>384</v>
      </c>
      <c r="D114" s="1" t="s">
        <v>435</v>
      </c>
      <c r="E114" t="s">
        <v>438</v>
      </c>
      <c r="F114" t="s">
        <v>441</v>
      </c>
      <c r="H114" s="142"/>
      <c r="I114">
        <v>5</v>
      </c>
      <c r="J114" s="1">
        <f t="shared" si="143"/>
        <v>24640</v>
      </c>
      <c r="K114">
        <f>ROUNDDOWN(Sheet2!G54*$E$113,0)</f>
        <v>12565</v>
      </c>
      <c r="L114" s="1">
        <f>INT(Sheet2!G54*9)</f>
        <v>1230</v>
      </c>
      <c r="M114" s="1">
        <f>INT(Sheet2!G54*5)</f>
        <v>683</v>
      </c>
      <c r="N114" s="1">
        <f t="shared" si="157"/>
        <v>39118</v>
      </c>
      <c r="O114" s="1">
        <f t="shared" si="158"/>
        <v>3912</v>
      </c>
      <c r="P114" s="1">
        <f t="shared" si="159"/>
        <v>1050</v>
      </c>
      <c r="Q114" s="1">
        <f t="shared" si="160"/>
        <v>44080</v>
      </c>
      <c r="R114" s="1">
        <f t="shared" si="148"/>
        <v>44080</v>
      </c>
      <c r="U114" s="145"/>
    </row>
    <row r="115" spans="3:21">
      <c r="C115" t="s">
        <v>434</v>
      </c>
      <c r="D115" s="1" t="s">
        <v>436</v>
      </c>
      <c r="E115" t="s">
        <v>439</v>
      </c>
      <c r="F115" t="s">
        <v>442</v>
      </c>
      <c r="H115" s="142"/>
      <c r="I115">
        <v>6</v>
      </c>
      <c r="J115" s="1">
        <f t="shared" si="143"/>
        <v>24640</v>
      </c>
      <c r="K115">
        <f>ROUNDDOWN(Sheet2!H54*$D$113,0)</f>
        <v>16318</v>
      </c>
      <c r="L115" s="1">
        <f>INT(Sheet2!H54*9)</f>
        <v>1109</v>
      </c>
      <c r="M115" s="1">
        <f>INT(Sheet2!H54*5)</f>
        <v>616</v>
      </c>
      <c r="N115" s="1">
        <f t="shared" ref="N115" si="161">SUM(J115:M115)</f>
        <v>42683</v>
      </c>
      <c r="O115" s="1">
        <f t="shared" ref="O115" si="162">ROUND(N115*0.1, 0)</f>
        <v>4268</v>
      </c>
      <c r="P115" s="1">
        <f t="shared" ref="P115" si="163">FLOOR(N115*0.027, 10)</f>
        <v>1150</v>
      </c>
      <c r="Q115" s="1">
        <f t="shared" ref="Q115" si="164">FLOOR(N115+O115+P115, 10)</f>
        <v>48100</v>
      </c>
      <c r="R115" s="1">
        <f t="shared" si="148"/>
        <v>48100</v>
      </c>
      <c r="U115" s="145"/>
    </row>
    <row r="116" spans="3:21">
      <c r="D116" s="1" t="s">
        <v>437</v>
      </c>
      <c r="E116" t="s">
        <v>440</v>
      </c>
      <c r="H116" s="142"/>
      <c r="I116">
        <v>7</v>
      </c>
      <c r="J116" s="1">
        <f t="shared" si="143"/>
        <v>24640</v>
      </c>
      <c r="K116">
        <f>ROUNDDOWN(Sheet2!I54*$D$113,0)</f>
        <v>7510</v>
      </c>
      <c r="L116" s="1">
        <f>INT(Sheet2!I54*9)</f>
        <v>510</v>
      </c>
      <c r="M116" s="1">
        <f>INT(Sheet2!I54*5)</f>
        <v>283</v>
      </c>
      <c r="N116" s="1">
        <f t="shared" ref="N116:N117" si="165">SUM(J116:M116)</f>
        <v>32943</v>
      </c>
      <c r="O116" s="1">
        <f t="shared" ref="O116:O117" si="166">ROUND(N116*0.1, 0)</f>
        <v>3294</v>
      </c>
      <c r="P116" s="1">
        <f t="shared" ref="P116:P117" si="167">FLOOR(N116*0.027, 10)</f>
        <v>880</v>
      </c>
      <c r="Q116" s="1">
        <f t="shared" ref="Q116:Q117" si="168">FLOOR(N116+O116+P116, 10)</f>
        <v>37110</v>
      </c>
      <c r="R116" s="1">
        <f t="shared" si="148"/>
        <v>37110</v>
      </c>
      <c r="U116" s="145"/>
    </row>
    <row r="117" spans="3:21">
      <c r="H117" s="142"/>
      <c r="I117">
        <v>8</v>
      </c>
      <c r="J117" s="1">
        <f t="shared" si="143"/>
        <v>24640</v>
      </c>
      <c r="K117">
        <f>ROUNDDOWN(Sheet2!J54*$D$113,0)</f>
        <v>6796</v>
      </c>
      <c r="L117" s="1">
        <f>INT(Sheet2!J54*9)</f>
        <v>461</v>
      </c>
      <c r="M117" s="1">
        <f>INT(Sheet2!J54*5)</f>
        <v>256</v>
      </c>
      <c r="N117" s="1">
        <f t="shared" si="165"/>
        <v>32153</v>
      </c>
      <c r="O117" s="1">
        <f t="shared" si="166"/>
        <v>3215</v>
      </c>
      <c r="P117" s="1">
        <f t="shared" si="167"/>
        <v>860</v>
      </c>
      <c r="Q117" s="1">
        <f t="shared" si="168"/>
        <v>36220</v>
      </c>
      <c r="R117" s="1">
        <f t="shared" si="148"/>
        <v>36220</v>
      </c>
      <c r="U117" s="145"/>
    </row>
    <row r="118" spans="3:21">
      <c r="H118" s="142"/>
      <c r="I118">
        <v>9</v>
      </c>
      <c r="J118" s="1">
        <f t="shared" si="143"/>
        <v>24640</v>
      </c>
      <c r="K118">
        <f>ROUNDDOWN(Sheet2!K54*$E$113,0)</f>
        <v>7003</v>
      </c>
      <c r="L118" s="1">
        <f>INT(Sheet2!K54*9)</f>
        <v>685</v>
      </c>
      <c r="M118" s="1">
        <f>INT(Sheet2!K54*5)</f>
        <v>381</v>
      </c>
      <c r="N118" s="1">
        <f t="shared" ref="N118" si="169">SUM(J118:M118)</f>
        <v>32709</v>
      </c>
      <c r="O118" s="1">
        <f t="shared" ref="O118" si="170">ROUND(N118*0.1, 0)</f>
        <v>3271</v>
      </c>
      <c r="P118" s="1">
        <f t="shared" ref="P118" si="171">FLOOR(N118*0.027, 10)</f>
        <v>880</v>
      </c>
      <c r="Q118" s="1">
        <f t="shared" ref="Q118" si="172">FLOOR(N118+O118+P118, 10)</f>
        <v>36860</v>
      </c>
      <c r="R118" s="1">
        <f t="shared" si="148"/>
        <v>36860</v>
      </c>
      <c r="U118" s="145"/>
    </row>
    <row r="119" spans="3:21">
      <c r="H119" s="142"/>
      <c r="I119">
        <v>10</v>
      </c>
      <c r="J119" s="1">
        <f t="shared" si="143"/>
        <v>24640</v>
      </c>
      <c r="K119">
        <f>ROUNDDOWN(Sheet2!L54*$E$113,0)</f>
        <v>6750</v>
      </c>
      <c r="L119" s="1">
        <f>INT(Sheet2!L54*9)</f>
        <v>661</v>
      </c>
      <c r="M119" s="1">
        <f>INT(Sheet2!L54*5)</f>
        <v>367</v>
      </c>
      <c r="N119" s="1">
        <f t="shared" ref="N119:N121" si="173">SUM(J119:M119)</f>
        <v>32418</v>
      </c>
      <c r="O119" s="1">
        <f t="shared" ref="O119:O121" si="174">ROUND(N119*0.1, 0)</f>
        <v>3242</v>
      </c>
      <c r="P119" s="1">
        <f t="shared" ref="P119:P121" si="175">FLOOR(N119*0.027, 10)</f>
        <v>870</v>
      </c>
      <c r="Q119" s="1">
        <f t="shared" ref="Q119:Q121" si="176">FLOOR(N119+O119+P119, 10)</f>
        <v>36530</v>
      </c>
      <c r="R119" s="1">
        <f t="shared" si="148"/>
        <v>36530</v>
      </c>
      <c r="U119" s="145"/>
    </row>
    <row r="120" spans="3:21">
      <c r="H120" s="142"/>
      <c r="I120">
        <v>11</v>
      </c>
      <c r="J120" s="1">
        <f t="shared" si="143"/>
        <v>24640</v>
      </c>
      <c r="K120">
        <f>ROUNDDOWN(Sheet2!M54*$F$113,0)</f>
        <v>33469</v>
      </c>
      <c r="L120" s="1">
        <f>INT(Sheet2!M54*9)</f>
        <v>2531</v>
      </c>
      <c r="M120" s="1">
        <f>INT(Sheet2!M54*5)</f>
        <v>1406</v>
      </c>
      <c r="N120" s="1">
        <f t="shared" si="173"/>
        <v>62046</v>
      </c>
      <c r="O120" s="1">
        <f t="shared" si="174"/>
        <v>6205</v>
      </c>
      <c r="P120" s="1">
        <f t="shared" si="175"/>
        <v>1670</v>
      </c>
      <c r="Q120" s="1">
        <f t="shared" si="176"/>
        <v>69920</v>
      </c>
      <c r="R120" s="1">
        <f t="shared" si="148"/>
        <v>69920</v>
      </c>
      <c r="U120" s="145"/>
    </row>
    <row r="121" spans="3:21">
      <c r="H121" s="142"/>
      <c r="I121">
        <v>12</v>
      </c>
      <c r="J121" s="1">
        <f t="shared" si="143"/>
        <v>24640</v>
      </c>
      <c r="K121">
        <f>ROUNDDOWN(Sheet2!N54*$F$113,0)</f>
        <v>67227</v>
      </c>
      <c r="L121" s="1">
        <f>INT(Sheet2!N54*9)</f>
        <v>5084</v>
      </c>
      <c r="M121" s="1">
        <f>INT(Sheet2!N54*5)</f>
        <v>2824</v>
      </c>
      <c r="N121" s="1">
        <f t="shared" si="173"/>
        <v>99775</v>
      </c>
      <c r="O121" s="1">
        <f t="shared" si="174"/>
        <v>9978</v>
      </c>
      <c r="P121" s="1">
        <f t="shared" si="175"/>
        <v>2690</v>
      </c>
      <c r="Q121" s="1">
        <f t="shared" si="176"/>
        <v>112440</v>
      </c>
      <c r="R121" s="1">
        <f t="shared" si="148"/>
        <v>112440</v>
      </c>
      <c r="U121" s="145"/>
    </row>
    <row r="122" spans="3:21">
      <c r="H122" s="142"/>
      <c r="I122" s="6" t="s">
        <v>407</v>
      </c>
      <c r="J122" s="1" t="s">
        <v>384</v>
      </c>
      <c r="K122" s="1" t="s">
        <v>385</v>
      </c>
      <c r="L122" s="1" t="s">
        <v>386</v>
      </c>
      <c r="M122" s="1" t="s">
        <v>387</v>
      </c>
      <c r="N122" s="1" t="s">
        <v>388</v>
      </c>
      <c r="O122" s="1" t="s">
        <v>389</v>
      </c>
      <c r="P122" s="1" t="s">
        <v>390</v>
      </c>
      <c r="Q122" s="1" t="s">
        <v>391</v>
      </c>
      <c r="R122" s="1" t="s">
        <v>430</v>
      </c>
      <c r="S122" s="144">
        <f>SUM(R123:R134)</f>
        <v>736670</v>
      </c>
      <c r="T122" s="144">
        <f>Sheet2!$O$18</f>
        <v>1157329.3336407086</v>
      </c>
      <c r="U122" s="147">
        <f>(T122-S122)/T122</f>
        <v>0.36347418268351067</v>
      </c>
    </row>
    <row r="123" spans="3:21">
      <c r="H123" s="142"/>
      <c r="I123">
        <v>1</v>
      </c>
      <c r="J123" s="1">
        <f t="shared" ref="J123:J134" si="177">$D$109*$C$113</f>
        <v>24640</v>
      </c>
      <c r="K123">
        <f>ROUNDDOWN(Sheet2!C55*$F$113,0)</f>
        <v>65432</v>
      </c>
      <c r="L123" s="1">
        <f>INT(Sheet2!C55*9)</f>
        <v>4948</v>
      </c>
      <c r="M123" s="1">
        <f>INT(Sheet2!C55*5)</f>
        <v>2749</v>
      </c>
      <c r="N123" s="1">
        <f t="shared" ref="N123:N134" si="178">SUM(J123:M123)</f>
        <v>97769</v>
      </c>
      <c r="O123" s="1">
        <f t="shared" ref="O123:O134" si="179">ROUND(N123*0.1, 0)</f>
        <v>9777</v>
      </c>
      <c r="P123" s="1">
        <f t="shared" ref="P123:P134" si="180">FLOOR(N123*0.027, 10)</f>
        <v>2630</v>
      </c>
      <c r="Q123" s="1">
        <f t="shared" ref="Q123:Q134" si="181">FLOOR(N123+O123+P123, 10)</f>
        <v>110170</v>
      </c>
      <c r="R123" s="1">
        <f t="shared" ref="R123:R134" si="182">Q123</f>
        <v>110170</v>
      </c>
      <c r="U123" s="145"/>
    </row>
    <row r="124" spans="3:21">
      <c r="H124" s="142"/>
      <c r="I124">
        <v>2</v>
      </c>
      <c r="J124" s="1">
        <f t="shared" si="177"/>
        <v>24640</v>
      </c>
      <c r="K124">
        <f>ROUNDDOWN(Sheet2!D55*$F$113,0)</f>
        <v>75129</v>
      </c>
      <c r="L124" s="1">
        <f>INT(Sheet2!D55*9)</f>
        <v>5682</v>
      </c>
      <c r="M124" s="1">
        <f>INT(Sheet2!D55*5)</f>
        <v>3156</v>
      </c>
      <c r="N124" s="1">
        <f t="shared" si="178"/>
        <v>108607</v>
      </c>
      <c r="O124" s="1">
        <f t="shared" si="179"/>
        <v>10861</v>
      </c>
      <c r="P124" s="1">
        <f t="shared" si="180"/>
        <v>2930</v>
      </c>
      <c r="Q124" s="1">
        <f t="shared" si="181"/>
        <v>122390</v>
      </c>
      <c r="R124" s="1">
        <f t="shared" si="182"/>
        <v>122390</v>
      </c>
      <c r="U124" s="145"/>
    </row>
    <row r="125" spans="3:21">
      <c r="H125" s="142"/>
      <c r="I125">
        <v>3</v>
      </c>
      <c r="J125" s="1">
        <f t="shared" si="177"/>
        <v>24640</v>
      </c>
      <c r="K125">
        <f>ROUNDDOWN(Sheet2!E55*$E$113,0)</f>
        <v>22434</v>
      </c>
      <c r="L125" s="1">
        <f>INT(Sheet2!E55*9)</f>
        <v>2197</v>
      </c>
      <c r="M125" s="1">
        <f>INT(Sheet2!E55*5)</f>
        <v>1220</v>
      </c>
      <c r="N125" s="1">
        <f t="shared" si="178"/>
        <v>50491</v>
      </c>
      <c r="O125" s="1">
        <f t="shared" si="179"/>
        <v>5049</v>
      </c>
      <c r="P125" s="1">
        <f t="shared" si="180"/>
        <v>1360</v>
      </c>
      <c r="Q125" s="1">
        <f t="shared" si="181"/>
        <v>56900</v>
      </c>
      <c r="R125" s="1">
        <f t="shared" si="182"/>
        <v>56900</v>
      </c>
      <c r="U125" s="145"/>
    </row>
    <row r="126" spans="3:21">
      <c r="H126" s="142"/>
      <c r="I126">
        <v>4</v>
      </c>
      <c r="J126" s="1">
        <f t="shared" si="177"/>
        <v>24640</v>
      </c>
      <c r="K126">
        <f>ROUNDDOWN(Sheet2!F55*$E$113,0)</f>
        <v>13628</v>
      </c>
      <c r="L126" s="1">
        <f>INT(Sheet2!F55*9)</f>
        <v>1334</v>
      </c>
      <c r="M126" s="1">
        <f>INT(Sheet2!F55*5)</f>
        <v>741</v>
      </c>
      <c r="N126" s="1">
        <f t="shared" si="178"/>
        <v>40343</v>
      </c>
      <c r="O126" s="1">
        <f t="shared" si="179"/>
        <v>4034</v>
      </c>
      <c r="P126" s="1">
        <f t="shared" si="180"/>
        <v>1080</v>
      </c>
      <c r="Q126" s="1">
        <f t="shared" si="181"/>
        <v>45450</v>
      </c>
      <c r="R126" s="1">
        <f t="shared" si="182"/>
        <v>45450</v>
      </c>
      <c r="U126" s="145"/>
    </row>
    <row r="127" spans="3:21">
      <c r="H127" s="142"/>
      <c r="I127">
        <v>5</v>
      </c>
      <c r="J127" s="1">
        <f t="shared" si="177"/>
        <v>24640</v>
      </c>
      <c r="K127">
        <f>ROUNDDOWN(Sheet2!G55*$E$113,0)</f>
        <v>11336</v>
      </c>
      <c r="L127" s="1">
        <f>INT(Sheet2!G55*9)</f>
        <v>1110</v>
      </c>
      <c r="M127" s="1">
        <f>INT(Sheet2!G55*5)</f>
        <v>616</v>
      </c>
      <c r="N127" s="1">
        <f t="shared" si="178"/>
        <v>37702</v>
      </c>
      <c r="O127" s="1">
        <f t="shared" si="179"/>
        <v>3770</v>
      </c>
      <c r="P127" s="1">
        <f t="shared" si="180"/>
        <v>1010</v>
      </c>
      <c r="Q127" s="1">
        <f t="shared" si="181"/>
        <v>42480</v>
      </c>
      <c r="R127" s="1">
        <f t="shared" si="182"/>
        <v>42480</v>
      </c>
      <c r="U127" s="145"/>
    </row>
    <row r="128" spans="3:21">
      <c r="H128" s="142"/>
      <c r="I128">
        <v>6</v>
      </c>
      <c r="J128" s="1">
        <f t="shared" si="177"/>
        <v>24640</v>
      </c>
      <c r="K128">
        <f>ROUNDDOWN(Sheet2!H55*$D$113,0)</f>
        <v>14721</v>
      </c>
      <c r="L128" s="1">
        <f>INT(Sheet2!H55*9)</f>
        <v>1000</v>
      </c>
      <c r="M128" s="1">
        <f>INT(Sheet2!H55*5)</f>
        <v>555</v>
      </c>
      <c r="N128" s="1">
        <f t="shared" si="178"/>
        <v>40916</v>
      </c>
      <c r="O128" s="1">
        <f t="shared" si="179"/>
        <v>4092</v>
      </c>
      <c r="P128" s="1">
        <f t="shared" si="180"/>
        <v>1100</v>
      </c>
      <c r="Q128" s="1">
        <f t="shared" si="181"/>
        <v>46100</v>
      </c>
      <c r="R128" s="1">
        <f t="shared" si="182"/>
        <v>46100</v>
      </c>
      <c r="U128" s="145"/>
    </row>
    <row r="129" spans="8:21">
      <c r="H129" s="142"/>
      <c r="I129">
        <v>7</v>
      </c>
      <c r="J129" s="1">
        <f t="shared" si="177"/>
        <v>24640</v>
      </c>
      <c r="K129">
        <f>ROUNDDOWN(Sheet2!I55*$D$113,0)</f>
        <v>6775</v>
      </c>
      <c r="L129" s="1">
        <f>INT(Sheet2!I55*9)</f>
        <v>460</v>
      </c>
      <c r="M129" s="1">
        <f>INT(Sheet2!I55*5)</f>
        <v>255</v>
      </c>
      <c r="N129" s="1">
        <f t="shared" si="178"/>
        <v>32130</v>
      </c>
      <c r="O129" s="1">
        <f t="shared" si="179"/>
        <v>3213</v>
      </c>
      <c r="P129" s="1">
        <f t="shared" si="180"/>
        <v>860</v>
      </c>
      <c r="Q129" s="1">
        <f t="shared" si="181"/>
        <v>36200</v>
      </c>
      <c r="R129" s="1">
        <f t="shared" si="182"/>
        <v>36200</v>
      </c>
      <c r="U129" s="145"/>
    </row>
    <row r="130" spans="8:21">
      <c r="H130" s="142"/>
      <c r="I130">
        <v>8</v>
      </c>
      <c r="J130" s="1">
        <f t="shared" si="177"/>
        <v>24640</v>
      </c>
      <c r="K130">
        <f>ROUNDDOWN(Sheet2!J55*$D$113,0)</f>
        <v>6131</v>
      </c>
      <c r="L130" s="1">
        <f>INT(Sheet2!J55*9)</f>
        <v>416</v>
      </c>
      <c r="M130" s="1">
        <f>INT(Sheet2!J55*5)</f>
        <v>231</v>
      </c>
      <c r="N130" s="1">
        <f t="shared" si="178"/>
        <v>31418</v>
      </c>
      <c r="O130" s="1">
        <f t="shared" si="179"/>
        <v>3142</v>
      </c>
      <c r="P130" s="1">
        <f t="shared" si="180"/>
        <v>840</v>
      </c>
      <c r="Q130" s="1">
        <f t="shared" si="181"/>
        <v>35400</v>
      </c>
      <c r="R130" s="1">
        <f t="shared" si="182"/>
        <v>35400</v>
      </c>
      <c r="U130" s="145"/>
    </row>
    <row r="131" spans="8:21">
      <c r="H131" s="142"/>
      <c r="I131">
        <v>9</v>
      </c>
      <c r="J131" s="1">
        <f t="shared" si="177"/>
        <v>24640</v>
      </c>
      <c r="K131">
        <f>ROUNDDOWN(Sheet2!K55*$E$113,0)</f>
        <v>6318</v>
      </c>
      <c r="L131" s="1">
        <f>INT(Sheet2!K55*9)</f>
        <v>618</v>
      </c>
      <c r="M131" s="1">
        <f>INT(Sheet2!K55*5)</f>
        <v>343</v>
      </c>
      <c r="N131" s="1">
        <f t="shared" si="178"/>
        <v>31919</v>
      </c>
      <c r="O131" s="1">
        <f t="shared" si="179"/>
        <v>3192</v>
      </c>
      <c r="P131" s="1">
        <f t="shared" si="180"/>
        <v>860</v>
      </c>
      <c r="Q131" s="1">
        <f t="shared" si="181"/>
        <v>35970</v>
      </c>
      <c r="R131" s="1">
        <f t="shared" si="182"/>
        <v>35970</v>
      </c>
      <c r="U131" s="145"/>
    </row>
    <row r="132" spans="8:21">
      <c r="H132" s="142"/>
      <c r="I132">
        <v>10</v>
      </c>
      <c r="J132" s="1">
        <f t="shared" si="177"/>
        <v>24640</v>
      </c>
      <c r="K132">
        <f>ROUNDDOWN(Sheet2!L55*$E$113,0)</f>
        <v>6090</v>
      </c>
      <c r="L132" s="1">
        <f>INT(Sheet2!L55*9)</f>
        <v>596</v>
      </c>
      <c r="M132" s="1">
        <f>INT(Sheet2!L55*5)</f>
        <v>331</v>
      </c>
      <c r="N132" s="1">
        <f t="shared" si="178"/>
        <v>31657</v>
      </c>
      <c r="O132" s="1">
        <f t="shared" si="179"/>
        <v>3166</v>
      </c>
      <c r="P132" s="1">
        <f t="shared" si="180"/>
        <v>850</v>
      </c>
      <c r="Q132" s="1">
        <f t="shared" si="181"/>
        <v>35670</v>
      </c>
      <c r="R132" s="1">
        <f t="shared" si="182"/>
        <v>35670</v>
      </c>
      <c r="U132" s="145"/>
    </row>
    <row r="133" spans="8:21">
      <c r="H133" s="142"/>
      <c r="I133">
        <v>11</v>
      </c>
      <c r="J133" s="1">
        <f t="shared" si="177"/>
        <v>24640</v>
      </c>
      <c r="K133">
        <f>ROUNDDOWN(Sheet2!M55*$F$113,0)</f>
        <v>30195</v>
      </c>
      <c r="L133" s="1">
        <f>INT(Sheet2!M55*9)</f>
        <v>2283</v>
      </c>
      <c r="M133" s="1">
        <f>INT(Sheet2!M55*5)</f>
        <v>1268</v>
      </c>
      <c r="N133" s="1">
        <f t="shared" si="178"/>
        <v>58386</v>
      </c>
      <c r="O133" s="1">
        <f t="shared" si="179"/>
        <v>5839</v>
      </c>
      <c r="P133" s="1">
        <f t="shared" si="180"/>
        <v>1570</v>
      </c>
      <c r="Q133" s="1">
        <f t="shared" si="181"/>
        <v>65790</v>
      </c>
      <c r="R133" s="1">
        <f t="shared" si="182"/>
        <v>65790</v>
      </c>
      <c r="U133" s="145"/>
    </row>
    <row r="134" spans="8:21">
      <c r="H134" s="142"/>
      <c r="I134">
        <v>12</v>
      </c>
      <c r="J134" s="1">
        <f t="shared" si="177"/>
        <v>24640</v>
      </c>
      <c r="K134">
        <f>ROUNDDOWN(Sheet2!N55*$F$113,0)</f>
        <v>60651</v>
      </c>
      <c r="L134" s="1">
        <f>INT(Sheet2!N55*9)</f>
        <v>4587</v>
      </c>
      <c r="M134" s="1">
        <f>INT(Sheet2!N55*5)</f>
        <v>2548</v>
      </c>
      <c r="N134" s="1">
        <f t="shared" si="178"/>
        <v>92426</v>
      </c>
      <c r="O134" s="1">
        <f t="shared" si="179"/>
        <v>9243</v>
      </c>
      <c r="P134" s="1">
        <f t="shared" si="180"/>
        <v>2490</v>
      </c>
      <c r="Q134" s="1">
        <f t="shared" si="181"/>
        <v>104150</v>
      </c>
      <c r="R134" s="1">
        <f t="shared" si="182"/>
        <v>104150</v>
      </c>
      <c r="U134" s="145"/>
    </row>
    <row r="135" spans="8:21">
      <c r="H135" s="142"/>
      <c r="I135" s="148" t="s">
        <v>410</v>
      </c>
      <c r="J135" s="1" t="s">
        <v>384</v>
      </c>
      <c r="K135" s="1" t="s">
        <v>385</v>
      </c>
      <c r="L135" s="1" t="s">
        <v>386</v>
      </c>
      <c r="M135" s="1" t="s">
        <v>387</v>
      </c>
      <c r="N135" s="1" t="s">
        <v>388</v>
      </c>
      <c r="O135" s="1" t="s">
        <v>389</v>
      </c>
      <c r="P135" s="1" t="s">
        <v>390</v>
      </c>
      <c r="Q135" s="1" t="s">
        <v>391</v>
      </c>
      <c r="R135" s="1" t="s">
        <v>430</v>
      </c>
      <c r="S135" s="144">
        <f>SUM(R136:R147)</f>
        <v>608320</v>
      </c>
      <c r="T135" s="144">
        <f>Sheet2!$O$18</f>
        <v>1157329.3336407086</v>
      </c>
      <c r="U135" s="147">
        <f>(T135-S135)/T135</f>
        <v>0.47437606365134077</v>
      </c>
    </row>
    <row r="136" spans="8:21">
      <c r="H136" s="142"/>
      <c r="I136">
        <v>1</v>
      </c>
      <c r="J136" s="1">
        <f t="shared" ref="J136:J147" si="183">$D$109*$C$113</f>
        <v>24640</v>
      </c>
      <c r="K136">
        <f>ROUNDDOWN(Sheet2!C56*$F$113,0)</f>
        <v>44620</v>
      </c>
      <c r="L136" s="1">
        <f>INT(Sheet2!C56*9)</f>
        <v>3374</v>
      </c>
      <c r="M136" s="1">
        <f>INT(Sheet2!C56*5)</f>
        <v>1874</v>
      </c>
      <c r="N136" s="1">
        <f t="shared" ref="N136:N147" si="184">SUM(J136:M136)</f>
        <v>74508</v>
      </c>
      <c r="O136" s="1">
        <f t="shared" ref="O136:O147" si="185">ROUND(N136*0.1, 0)</f>
        <v>7451</v>
      </c>
      <c r="P136" s="1">
        <f t="shared" ref="P136:P147" si="186">FLOOR(N136*0.027, 10)</f>
        <v>2010</v>
      </c>
      <c r="Q136" s="1">
        <f t="shared" ref="Q136:Q147" si="187">FLOOR(N136+O136+P136, 10)</f>
        <v>83960</v>
      </c>
      <c r="R136" s="1">
        <f t="shared" ref="R136:R147" si="188">Q136</f>
        <v>83960</v>
      </c>
      <c r="U136" s="145"/>
    </row>
    <row r="137" spans="8:21">
      <c r="H137" s="142"/>
      <c r="I137">
        <v>2</v>
      </c>
      <c r="J137" s="1">
        <f t="shared" si="183"/>
        <v>24640</v>
      </c>
      <c r="K137">
        <f>ROUNDDOWN(Sheet2!D56*$F$113,0)</f>
        <v>51232</v>
      </c>
      <c r="L137" s="1">
        <f>INT(Sheet2!D56*9)</f>
        <v>3874</v>
      </c>
      <c r="M137" s="1">
        <f>INT(Sheet2!D56*5)</f>
        <v>2152</v>
      </c>
      <c r="N137" s="1">
        <f t="shared" si="184"/>
        <v>81898</v>
      </c>
      <c r="O137" s="1">
        <f t="shared" si="185"/>
        <v>8190</v>
      </c>
      <c r="P137" s="1">
        <f t="shared" si="186"/>
        <v>2210</v>
      </c>
      <c r="Q137" s="1">
        <f t="shared" si="187"/>
        <v>92290</v>
      </c>
      <c r="R137" s="1">
        <f t="shared" si="188"/>
        <v>92290</v>
      </c>
      <c r="U137" s="145"/>
    </row>
    <row r="138" spans="8:21">
      <c r="H138" s="142"/>
      <c r="I138">
        <v>3</v>
      </c>
      <c r="J138" s="1">
        <f t="shared" si="183"/>
        <v>24640</v>
      </c>
      <c r="K138">
        <f>ROUNDDOWN(Sheet2!E56*$E$113,0)</f>
        <v>15298</v>
      </c>
      <c r="L138" s="1">
        <f>INT(Sheet2!E56*9)</f>
        <v>1498</v>
      </c>
      <c r="M138" s="1">
        <f>INT(Sheet2!E56*5)</f>
        <v>832</v>
      </c>
      <c r="N138" s="1">
        <f t="shared" si="184"/>
        <v>42268</v>
      </c>
      <c r="O138" s="1">
        <f t="shared" si="185"/>
        <v>4227</v>
      </c>
      <c r="P138" s="1">
        <f t="shared" si="186"/>
        <v>1140</v>
      </c>
      <c r="Q138" s="1">
        <f t="shared" si="187"/>
        <v>47630</v>
      </c>
      <c r="R138" s="1">
        <f t="shared" si="188"/>
        <v>47630</v>
      </c>
      <c r="U138" s="145"/>
    </row>
    <row r="139" spans="8:21">
      <c r="H139" s="142"/>
      <c r="I139">
        <v>4</v>
      </c>
      <c r="J139" s="1">
        <f t="shared" si="183"/>
        <v>24640</v>
      </c>
      <c r="K139">
        <f>ROUNDDOWN(Sheet2!F56*$E$113,0)</f>
        <v>9293</v>
      </c>
      <c r="L139" s="1">
        <f>INT(Sheet2!F56*9)</f>
        <v>910</v>
      </c>
      <c r="M139" s="1">
        <f>INT(Sheet2!F56*5)</f>
        <v>505</v>
      </c>
      <c r="N139" s="1">
        <f t="shared" si="184"/>
        <v>35348</v>
      </c>
      <c r="O139" s="1">
        <f t="shared" si="185"/>
        <v>3535</v>
      </c>
      <c r="P139" s="1">
        <f t="shared" si="186"/>
        <v>950</v>
      </c>
      <c r="Q139" s="1">
        <f t="shared" si="187"/>
        <v>39830</v>
      </c>
      <c r="R139" s="1">
        <f t="shared" si="188"/>
        <v>39830</v>
      </c>
      <c r="U139" s="145"/>
    </row>
    <row r="140" spans="8:21">
      <c r="H140" s="142"/>
      <c r="I140">
        <v>5</v>
      </c>
      <c r="J140" s="1">
        <f t="shared" si="183"/>
        <v>24640</v>
      </c>
      <c r="K140">
        <f>ROUNDDOWN(Sheet2!G56*$E$113,0)</f>
        <v>7730</v>
      </c>
      <c r="L140" s="1">
        <f>INT(Sheet2!G56*9)</f>
        <v>757</v>
      </c>
      <c r="M140" s="1">
        <f>INT(Sheet2!G56*5)</f>
        <v>420</v>
      </c>
      <c r="N140" s="1">
        <f t="shared" si="184"/>
        <v>33547</v>
      </c>
      <c r="O140" s="1">
        <f t="shared" si="185"/>
        <v>3355</v>
      </c>
      <c r="P140" s="1">
        <f t="shared" si="186"/>
        <v>900</v>
      </c>
      <c r="Q140" s="1">
        <f t="shared" si="187"/>
        <v>37800</v>
      </c>
      <c r="R140" s="1">
        <f t="shared" si="188"/>
        <v>37800</v>
      </c>
      <c r="U140" s="145"/>
    </row>
    <row r="141" spans="8:21">
      <c r="H141" s="142"/>
      <c r="I141">
        <v>6</v>
      </c>
      <c r="J141" s="1">
        <f t="shared" si="183"/>
        <v>24640</v>
      </c>
      <c r="K141">
        <f>ROUNDDOWN(Sheet2!H56*$D$113,0)</f>
        <v>10039</v>
      </c>
      <c r="L141" s="1">
        <f>INT(Sheet2!H56*9)</f>
        <v>682</v>
      </c>
      <c r="M141" s="1">
        <f>INT(Sheet2!H56*5)</f>
        <v>379</v>
      </c>
      <c r="N141" s="1">
        <f t="shared" si="184"/>
        <v>35740</v>
      </c>
      <c r="O141" s="1">
        <f t="shared" si="185"/>
        <v>3574</v>
      </c>
      <c r="P141" s="1">
        <f t="shared" si="186"/>
        <v>960</v>
      </c>
      <c r="Q141" s="1">
        <f t="shared" si="187"/>
        <v>40270</v>
      </c>
      <c r="R141" s="1">
        <f t="shared" si="188"/>
        <v>40270</v>
      </c>
      <c r="U141" s="145"/>
    </row>
    <row r="142" spans="8:21">
      <c r="H142" s="142"/>
      <c r="I142">
        <v>7</v>
      </c>
      <c r="J142" s="1">
        <f t="shared" si="183"/>
        <v>24640</v>
      </c>
      <c r="K142">
        <f>ROUNDDOWN(Sheet2!I56*$D$113,0)</f>
        <v>4620</v>
      </c>
      <c r="L142" s="1">
        <f>INT(Sheet2!I56*9)</f>
        <v>314</v>
      </c>
      <c r="M142" s="1">
        <f>INT(Sheet2!I56*5)</f>
        <v>174</v>
      </c>
      <c r="N142" s="1">
        <f t="shared" si="184"/>
        <v>29748</v>
      </c>
      <c r="O142" s="1">
        <f t="shared" si="185"/>
        <v>2975</v>
      </c>
      <c r="P142" s="1">
        <f t="shared" si="186"/>
        <v>800</v>
      </c>
      <c r="Q142" s="1">
        <f t="shared" si="187"/>
        <v>33520</v>
      </c>
      <c r="R142" s="1">
        <f t="shared" si="188"/>
        <v>33520</v>
      </c>
      <c r="U142" s="145"/>
    </row>
    <row r="143" spans="8:21">
      <c r="H143" s="142"/>
      <c r="I143">
        <v>8</v>
      </c>
      <c r="J143" s="1">
        <f t="shared" si="183"/>
        <v>24640</v>
      </c>
      <c r="K143">
        <f>ROUNDDOWN(Sheet2!J56*$D$113,0)</f>
        <v>4181</v>
      </c>
      <c r="L143" s="1">
        <f>INT(Sheet2!J56*9)</f>
        <v>284</v>
      </c>
      <c r="M143" s="1">
        <f>INT(Sheet2!J56*5)</f>
        <v>157</v>
      </c>
      <c r="N143" s="1">
        <f t="shared" si="184"/>
        <v>29262</v>
      </c>
      <c r="O143" s="1">
        <f t="shared" si="185"/>
        <v>2926</v>
      </c>
      <c r="P143" s="1">
        <f t="shared" si="186"/>
        <v>790</v>
      </c>
      <c r="Q143" s="1">
        <f t="shared" si="187"/>
        <v>32970</v>
      </c>
      <c r="R143" s="1">
        <f t="shared" si="188"/>
        <v>32970</v>
      </c>
      <c r="U143" s="145"/>
    </row>
    <row r="144" spans="8:21">
      <c r="H144" s="142"/>
      <c r="I144">
        <v>9</v>
      </c>
      <c r="J144" s="1">
        <f t="shared" si="183"/>
        <v>24640</v>
      </c>
      <c r="K144">
        <f>ROUNDDOWN(Sheet2!K56*$E$113,0)</f>
        <v>4308</v>
      </c>
      <c r="L144" s="1">
        <f>INT(Sheet2!K56*9)</f>
        <v>421</v>
      </c>
      <c r="M144" s="1">
        <f>INT(Sheet2!K56*5)</f>
        <v>234</v>
      </c>
      <c r="N144" s="1">
        <f t="shared" si="184"/>
        <v>29603</v>
      </c>
      <c r="O144" s="1">
        <f t="shared" si="185"/>
        <v>2960</v>
      </c>
      <c r="P144" s="1">
        <f t="shared" si="186"/>
        <v>790</v>
      </c>
      <c r="Q144" s="1">
        <f t="shared" si="187"/>
        <v>33350</v>
      </c>
      <c r="R144" s="1">
        <f t="shared" si="188"/>
        <v>33350</v>
      </c>
      <c r="U144" s="145"/>
    </row>
    <row r="145" spans="8:21">
      <c r="H145" s="142"/>
      <c r="I145">
        <v>10</v>
      </c>
      <c r="J145" s="1">
        <f t="shared" si="183"/>
        <v>24640</v>
      </c>
      <c r="K145">
        <f>ROUNDDOWN(Sheet2!L56*$E$113,0)</f>
        <v>4153</v>
      </c>
      <c r="L145" s="1">
        <f>INT(Sheet2!L56*9)</f>
        <v>406</v>
      </c>
      <c r="M145" s="1">
        <f>INT(Sheet2!L56*5)</f>
        <v>225</v>
      </c>
      <c r="N145" s="1">
        <f t="shared" si="184"/>
        <v>29424</v>
      </c>
      <c r="O145" s="1">
        <f t="shared" si="185"/>
        <v>2942</v>
      </c>
      <c r="P145" s="1">
        <f t="shared" si="186"/>
        <v>790</v>
      </c>
      <c r="Q145" s="1">
        <f t="shared" si="187"/>
        <v>33150</v>
      </c>
      <c r="R145" s="1">
        <f t="shared" si="188"/>
        <v>33150</v>
      </c>
      <c r="U145" s="145"/>
    </row>
    <row r="146" spans="8:21">
      <c r="H146" s="142"/>
      <c r="I146">
        <v>11</v>
      </c>
      <c r="J146" s="1">
        <f t="shared" si="183"/>
        <v>24640</v>
      </c>
      <c r="K146">
        <f>ROUNDDOWN(Sheet2!M56*$F$113,0)</f>
        <v>20590</v>
      </c>
      <c r="L146" s="1">
        <f>INT(Sheet2!M56*9)</f>
        <v>1557</v>
      </c>
      <c r="M146" s="1">
        <f>INT(Sheet2!M56*5)</f>
        <v>865</v>
      </c>
      <c r="N146" s="1">
        <f t="shared" si="184"/>
        <v>47652</v>
      </c>
      <c r="O146" s="1">
        <f t="shared" si="185"/>
        <v>4765</v>
      </c>
      <c r="P146" s="1">
        <f t="shared" si="186"/>
        <v>1280</v>
      </c>
      <c r="Q146" s="1">
        <f t="shared" si="187"/>
        <v>53690</v>
      </c>
      <c r="R146" s="1">
        <f t="shared" si="188"/>
        <v>53690</v>
      </c>
      <c r="U146" s="145"/>
    </row>
    <row r="147" spans="8:21">
      <c r="H147" s="142"/>
      <c r="I147">
        <v>12</v>
      </c>
      <c r="J147" s="1">
        <f t="shared" si="183"/>
        <v>24640</v>
      </c>
      <c r="K147">
        <f>ROUNDDOWN(Sheet2!N56*$F$113,0)</f>
        <v>41359</v>
      </c>
      <c r="L147" s="1">
        <f>INT(Sheet2!N56*9)</f>
        <v>3128</v>
      </c>
      <c r="M147" s="1">
        <f>INT(Sheet2!N56*5)</f>
        <v>1737</v>
      </c>
      <c r="N147" s="1">
        <f t="shared" si="184"/>
        <v>70864</v>
      </c>
      <c r="O147" s="1">
        <f t="shared" si="185"/>
        <v>7086</v>
      </c>
      <c r="P147" s="1">
        <f t="shared" si="186"/>
        <v>1910</v>
      </c>
      <c r="Q147" s="1">
        <f t="shared" si="187"/>
        <v>79860</v>
      </c>
      <c r="R147" s="1">
        <f t="shared" si="188"/>
        <v>79860</v>
      </c>
      <c r="U147" s="145"/>
    </row>
    <row r="148" spans="8:21">
      <c r="H148" s="142"/>
      <c r="I148" t="s">
        <v>79</v>
      </c>
      <c r="J148" s="1" t="s">
        <v>384</v>
      </c>
      <c r="K148" s="1" t="s">
        <v>385</v>
      </c>
      <c r="L148" s="1" t="s">
        <v>386</v>
      </c>
      <c r="M148" s="1" t="s">
        <v>387</v>
      </c>
      <c r="N148" s="1" t="s">
        <v>388</v>
      </c>
      <c r="O148" s="1" t="s">
        <v>389</v>
      </c>
      <c r="P148" s="1" t="s">
        <v>390</v>
      </c>
      <c r="Q148" s="1" t="s">
        <v>391</v>
      </c>
      <c r="R148" s="1" t="s">
        <v>430</v>
      </c>
      <c r="S148" s="144">
        <f>SUM(R149:R160)</f>
        <v>557110</v>
      </c>
      <c r="T148" s="144">
        <f>Sheet2!$O$18</f>
        <v>1157329.3336407086</v>
      </c>
      <c r="U148" s="147">
        <f>(T148-S148)/T148</f>
        <v>0.51862448846133358</v>
      </c>
    </row>
    <row r="149" spans="8:21">
      <c r="H149" s="142"/>
      <c r="I149">
        <v>1</v>
      </c>
      <c r="J149" s="1">
        <f t="shared" ref="J149:J160" si="189">$D$109*$C$113</f>
        <v>24640</v>
      </c>
      <c r="K149">
        <f>ROUNDDOWN(Sheet2!C57*$F$113,0)</f>
        <v>36316</v>
      </c>
      <c r="L149" s="1">
        <f>INT(Sheet2!C57*9)</f>
        <v>2746</v>
      </c>
      <c r="M149" s="1">
        <f>INT(Sheet2!C57*5)</f>
        <v>1525</v>
      </c>
      <c r="N149" s="1">
        <f t="shared" ref="N149:N160" si="190">SUM(J149:M149)</f>
        <v>65227</v>
      </c>
      <c r="O149" s="1">
        <f t="shared" ref="O149:O160" si="191">ROUND(N149*0.1, 0)</f>
        <v>6523</v>
      </c>
      <c r="P149" s="1">
        <f t="shared" ref="P149:P160" si="192">FLOOR(N149*0.027, 10)</f>
        <v>1760</v>
      </c>
      <c r="Q149" s="1">
        <f t="shared" ref="Q149:Q160" si="193">FLOOR(N149+O149+P149, 10)</f>
        <v>73510</v>
      </c>
      <c r="R149" s="1">
        <f t="shared" ref="R149:R160" si="194">Q149</f>
        <v>73510</v>
      </c>
      <c r="U149" s="145"/>
    </row>
    <row r="150" spans="8:21">
      <c r="H150" s="142"/>
      <c r="I150">
        <v>2</v>
      </c>
      <c r="J150" s="1">
        <f t="shared" si="189"/>
        <v>24640</v>
      </c>
      <c r="K150">
        <f>ROUNDDOWN(Sheet2!D57*$F$113,0)</f>
        <v>41698</v>
      </c>
      <c r="L150" s="1">
        <f>INT(Sheet2!D57*9)</f>
        <v>3153</v>
      </c>
      <c r="M150" s="1">
        <f>INT(Sheet2!D57*5)</f>
        <v>1752</v>
      </c>
      <c r="N150" s="1">
        <f t="shared" si="190"/>
        <v>71243</v>
      </c>
      <c r="O150" s="1">
        <f t="shared" si="191"/>
        <v>7124</v>
      </c>
      <c r="P150" s="1">
        <f t="shared" si="192"/>
        <v>1920</v>
      </c>
      <c r="Q150" s="1">
        <f t="shared" si="193"/>
        <v>80280</v>
      </c>
      <c r="R150" s="1">
        <f t="shared" si="194"/>
        <v>80280</v>
      </c>
      <c r="U150" s="145"/>
    </row>
    <row r="151" spans="8:21">
      <c r="H151" s="142"/>
      <c r="I151">
        <v>3</v>
      </c>
      <c r="J151" s="1">
        <f t="shared" si="189"/>
        <v>24640</v>
      </c>
      <c r="K151">
        <f>ROUNDDOWN(Sheet2!E57*$E$113,0)</f>
        <v>12451</v>
      </c>
      <c r="L151" s="1">
        <f>INT(Sheet2!E57*9)</f>
        <v>1219</v>
      </c>
      <c r="M151" s="1">
        <f>INT(Sheet2!E57*5)</f>
        <v>677</v>
      </c>
      <c r="N151" s="1">
        <f t="shared" si="190"/>
        <v>38987</v>
      </c>
      <c r="O151" s="1">
        <f t="shared" si="191"/>
        <v>3899</v>
      </c>
      <c r="P151" s="1">
        <f t="shared" si="192"/>
        <v>1050</v>
      </c>
      <c r="Q151" s="1">
        <f t="shared" si="193"/>
        <v>43930</v>
      </c>
      <c r="R151" s="1">
        <f t="shared" si="194"/>
        <v>43930</v>
      </c>
      <c r="U151" s="145"/>
    </row>
    <row r="152" spans="8:21">
      <c r="H152" s="142"/>
      <c r="I152">
        <v>4</v>
      </c>
      <c r="J152" s="1">
        <f t="shared" si="189"/>
        <v>24640</v>
      </c>
      <c r="K152">
        <f>ROUNDDOWN(Sheet2!F57*$E$113,0)</f>
        <v>7564</v>
      </c>
      <c r="L152" s="1">
        <f>INT(Sheet2!F57*9)</f>
        <v>740</v>
      </c>
      <c r="M152" s="1">
        <f>INT(Sheet2!F57*5)</f>
        <v>411</v>
      </c>
      <c r="N152" s="1">
        <f t="shared" si="190"/>
        <v>33355</v>
      </c>
      <c r="O152" s="1">
        <f t="shared" si="191"/>
        <v>3336</v>
      </c>
      <c r="P152" s="1">
        <f t="shared" si="192"/>
        <v>900</v>
      </c>
      <c r="Q152" s="1">
        <f t="shared" si="193"/>
        <v>37590</v>
      </c>
      <c r="R152" s="1">
        <f t="shared" si="194"/>
        <v>37590</v>
      </c>
      <c r="U152" s="145"/>
    </row>
    <row r="153" spans="8:21">
      <c r="H153" s="142"/>
      <c r="I153">
        <v>5</v>
      </c>
      <c r="J153" s="1">
        <f t="shared" si="189"/>
        <v>24640</v>
      </c>
      <c r="K153">
        <f>ROUNDDOWN(Sheet2!G57*$E$113,0)</f>
        <v>6291</v>
      </c>
      <c r="L153" s="1">
        <f>INT(Sheet2!G57*9)</f>
        <v>616</v>
      </c>
      <c r="M153" s="1">
        <f>INT(Sheet2!G57*5)</f>
        <v>342</v>
      </c>
      <c r="N153" s="1">
        <f t="shared" si="190"/>
        <v>31889</v>
      </c>
      <c r="O153" s="1">
        <f t="shared" si="191"/>
        <v>3189</v>
      </c>
      <c r="P153" s="1">
        <f t="shared" si="192"/>
        <v>860</v>
      </c>
      <c r="Q153" s="1">
        <f t="shared" si="193"/>
        <v>35930</v>
      </c>
      <c r="R153" s="1">
        <f t="shared" si="194"/>
        <v>35930</v>
      </c>
      <c r="U153" s="145"/>
    </row>
    <row r="154" spans="8:21">
      <c r="H154" s="142"/>
      <c r="I154">
        <v>6</v>
      </c>
      <c r="J154" s="1">
        <f t="shared" si="189"/>
        <v>24640</v>
      </c>
      <c r="K154">
        <f>ROUNDDOWN(Sheet2!H57*$D$113,0)</f>
        <v>8170</v>
      </c>
      <c r="L154" s="1">
        <f>INT(Sheet2!H57*9)</f>
        <v>555</v>
      </c>
      <c r="M154" s="1">
        <f>INT(Sheet2!H57*5)</f>
        <v>308</v>
      </c>
      <c r="N154" s="1">
        <f t="shared" si="190"/>
        <v>33673</v>
      </c>
      <c r="O154" s="1">
        <f t="shared" si="191"/>
        <v>3367</v>
      </c>
      <c r="P154" s="1">
        <f t="shared" si="192"/>
        <v>900</v>
      </c>
      <c r="Q154" s="1">
        <f t="shared" si="193"/>
        <v>37940</v>
      </c>
      <c r="R154" s="1">
        <f t="shared" si="194"/>
        <v>37940</v>
      </c>
      <c r="U154" s="145"/>
    </row>
    <row r="155" spans="8:21">
      <c r="H155" s="142"/>
      <c r="I155">
        <v>7</v>
      </c>
      <c r="J155" s="1">
        <f t="shared" si="189"/>
        <v>24640</v>
      </c>
      <c r="K155">
        <f>ROUNDDOWN(Sheet2!I57*$D$113,0)</f>
        <v>3760</v>
      </c>
      <c r="L155" s="1">
        <f>INT(Sheet2!I57*9)</f>
        <v>255</v>
      </c>
      <c r="M155" s="1">
        <f>INT(Sheet2!I57*5)</f>
        <v>142</v>
      </c>
      <c r="N155" s="1">
        <f t="shared" si="190"/>
        <v>28797</v>
      </c>
      <c r="O155" s="1">
        <f t="shared" si="191"/>
        <v>2880</v>
      </c>
      <c r="P155" s="1">
        <f t="shared" si="192"/>
        <v>770</v>
      </c>
      <c r="Q155" s="1">
        <f t="shared" si="193"/>
        <v>32440</v>
      </c>
      <c r="R155" s="1">
        <f t="shared" si="194"/>
        <v>32440</v>
      </c>
      <c r="U155" s="145"/>
    </row>
    <row r="156" spans="8:21">
      <c r="H156" s="142"/>
      <c r="I156">
        <v>8</v>
      </c>
      <c r="J156" s="1">
        <f t="shared" si="189"/>
        <v>24640</v>
      </c>
      <c r="K156">
        <f>ROUNDDOWN(Sheet2!J57*$D$113,0)</f>
        <v>3402</v>
      </c>
      <c r="L156" s="1">
        <f>INT(Sheet2!J57*9)</f>
        <v>231</v>
      </c>
      <c r="M156" s="1">
        <f>INT(Sheet2!J57*5)</f>
        <v>128</v>
      </c>
      <c r="N156" s="1">
        <f t="shared" si="190"/>
        <v>28401</v>
      </c>
      <c r="O156" s="1">
        <f t="shared" si="191"/>
        <v>2840</v>
      </c>
      <c r="P156" s="1">
        <f t="shared" si="192"/>
        <v>760</v>
      </c>
      <c r="Q156" s="1">
        <f t="shared" si="193"/>
        <v>32000</v>
      </c>
      <c r="R156" s="1">
        <f t="shared" si="194"/>
        <v>32000</v>
      </c>
      <c r="U156" s="145"/>
    </row>
    <row r="157" spans="8:21">
      <c r="H157" s="142"/>
      <c r="I157">
        <v>9</v>
      </c>
      <c r="J157" s="1">
        <f t="shared" si="189"/>
        <v>24640</v>
      </c>
      <c r="K157">
        <f>ROUNDDOWN(Sheet2!K57*$E$113,0)</f>
        <v>3506</v>
      </c>
      <c r="L157" s="1">
        <f>INT(Sheet2!K57*9)</f>
        <v>343</v>
      </c>
      <c r="M157" s="1">
        <f>INT(Sheet2!K57*5)</f>
        <v>190</v>
      </c>
      <c r="N157" s="1">
        <f t="shared" si="190"/>
        <v>28679</v>
      </c>
      <c r="O157" s="1">
        <f t="shared" si="191"/>
        <v>2868</v>
      </c>
      <c r="P157" s="1">
        <f t="shared" si="192"/>
        <v>770</v>
      </c>
      <c r="Q157" s="1">
        <f t="shared" si="193"/>
        <v>32310</v>
      </c>
      <c r="R157" s="1">
        <f t="shared" si="194"/>
        <v>32310</v>
      </c>
      <c r="U157" s="145"/>
    </row>
    <row r="158" spans="8:21">
      <c r="H158" s="142"/>
      <c r="I158">
        <v>10</v>
      </c>
      <c r="J158" s="1">
        <f t="shared" si="189"/>
        <v>24640</v>
      </c>
      <c r="K158">
        <f>ROUNDDOWN(Sheet2!L57*$E$113,0)</f>
        <v>3380</v>
      </c>
      <c r="L158" s="1">
        <f>INT(Sheet2!L57*9)</f>
        <v>331</v>
      </c>
      <c r="M158" s="1">
        <f>INT(Sheet2!L57*5)</f>
        <v>183</v>
      </c>
      <c r="N158" s="1">
        <f t="shared" si="190"/>
        <v>28534</v>
      </c>
      <c r="O158" s="1">
        <f t="shared" si="191"/>
        <v>2853</v>
      </c>
      <c r="P158" s="1">
        <f t="shared" si="192"/>
        <v>770</v>
      </c>
      <c r="Q158" s="1">
        <f t="shared" si="193"/>
        <v>32150</v>
      </c>
      <c r="R158" s="1">
        <f t="shared" si="194"/>
        <v>32150</v>
      </c>
      <c r="U158" s="145"/>
    </row>
    <row r="159" spans="8:21">
      <c r="H159" s="142"/>
      <c r="I159">
        <v>11</v>
      </c>
      <c r="J159" s="1">
        <f t="shared" si="189"/>
        <v>24640</v>
      </c>
      <c r="K159">
        <f>ROUNDDOWN(Sheet2!M57*$F$113,0)</f>
        <v>16758</v>
      </c>
      <c r="L159" s="1">
        <f>INT(Sheet2!M57*9)</f>
        <v>1267</v>
      </c>
      <c r="M159" s="1">
        <f>INT(Sheet2!M57*5)</f>
        <v>704</v>
      </c>
      <c r="N159" s="1">
        <f t="shared" si="190"/>
        <v>43369</v>
      </c>
      <c r="O159" s="1">
        <f t="shared" si="191"/>
        <v>4337</v>
      </c>
      <c r="P159" s="1">
        <f t="shared" si="192"/>
        <v>1170</v>
      </c>
      <c r="Q159" s="1">
        <f t="shared" si="193"/>
        <v>48870</v>
      </c>
      <c r="R159" s="1">
        <f t="shared" si="194"/>
        <v>48870</v>
      </c>
      <c r="U159" s="145"/>
    </row>
    <row r="160" spans="8:21">
      <c r="H160" s="149"/>
      <c r="I160" s="54">
        <v>12</v>
      </c>
      <c r="J160" s="155">
        <f t="shared" si="189"/>
        <v>24640</v>
      </c>
      <c r="K160" s="54">
        <f>ROUNDDOWN(Sheet2!N57*$F$113,0)</f>
        <v>33662</v>
      </c>
      <c r="L160" s="155">
        <f>INT(Sheet2!N57*9)</f>
        <v>2545</v>
      </c>
      <c r="M160" s="155">
        <f>INT(Sheet2!N57*5)</f>
        <v>1414</v>
      </c>
      <c r="N160" s="155">
        <f t="shared" si="190"/>
        <v>62261</v>
      </c>
      <c r="O160" s="155">
        <f t="shared" si="191"/>
        <v>6226</v>
      </c>
      <c r="P160" s="155">
        <f t="shared" si="192"/>
        <v>1680</v>
      </c>
      <c r="Q160" s="155">
        <f t="shared" si="193"/>
        <v>70160</v>
      </c>
      <c r="R160" s="155">
        <f t="shared" si="194"/>
        <v>70160</v>
      </c>
      <c r="S160" s="155"/>
      <c r="T160" s="155"/>
      <c r="U160" s="152"/>
    </row>
    <row r="161" spans="2:21">
      <c r="B161" t="s">
        <v>445</v>
      </c>
      <c r="H161" s="138" t="s">
        <v>444</v>
      </c>
      <c r="I161" s="153" t="s">
        <v>76</v>
      </c>
      <c r="J161" s="153" t="s">
        <v>384</v>
      </c>
      <c r="K161" s="153" t="s">
        <v>385</v>
      </c>
      <c r="L161" s="153" t="s">
        <v>386</v>
      </c>
      <c r="M161" s="153" t="s">
        <v>387</v>
      </c>
      <c r="N161" s="153" t="s">
        <v>388</v>
      </c>
      <c r="O161" s="153" t="s">
        <v>389</v>
      </c>
      <c r="P161" s="153" t="s">
        <v>390</v>
      </c>
      <c r="Q161" s="153" t="s">
        <v>391</v>
      </c>
      <c r="R161" s="153" t="s">
        <v>430</v>
      </c>
      <c r="S161" s="156">
        <f>SUM(R162:R173)</f>
        <v>817609.32888582861</v>
      </c>
      <c r="T161" s="156">
        <f>Sheet2!$O$18</f>
        <v>1157329.3336407086</v>
      </c>
      <c r="U161" s="141">
        <f>(T161-S161)/T161</f>
        <v>0.29353788492182609</v>
      </c>
    </row>
    <row r="162" spans="2:21">
      <c r="B162" s="1" t="s">
        <v>446</v>
      </c>
      <c r="H162" s="142"/>
      <c r="I162">
        <v>1</v>
      </c>
      <c r="J162" s="1">
        <f>$C$170*($D$109+3)</f>
        <v>30170</v>
      </c>
      <c r="K162">
        <f>ROUNDDOWN(Sheet2!C54*43.37%*138.7 + Sheet2!C54*28.76%*184.7 + Sheet2!C54*27.87%*220.5 + C23*30%*138.7 + C23*30%*184.7 + C23*40%*220.5, 0)</f>
        <v>163077</v>
      </c>
      <c r="L162" s="157">
        <f>INT((Sheet2!C54+C23)*9)</f>
        <v>8234</v>
      </c>
      <c r="M162" s="1">
        <f>INT((Sheet2!C54+C23)*5)</f>
        <v>4574</v>
      </c>
      <c r="N162" s="1">
        <f t="shared" ref="N162" si="195">SUM(J162:M162)</f>
        <v>206055</v>
      </c>
      <c r="O162" s="1">
        <f t="shared" ref="O162" si="196">ROUND(N162*0.1, 0)</f>
        <v>20606</v>
      </c>
      <c r="P162" s="1">
        <f t="shared" ref="P162" si="197">FLOOR(N162*0.027, 10)</f>
        <v>5560</v>
      </c>
      <c r="Q162" s="1">
        <f t="shared" ref="Q162" si="198">FLOOR(N162+O162+P162, 10)</f>
        <v>232220</v>
      </c>
      <c r="R162" s="144">
        <f>Q162*(Sheet2!C54/(Sheet2!C54+C23))</f>
        <v>154684.51097439608</v>
      </c>
      <c r="U162" s="145"/>
    </row>
    <row r="163" spans="2:21">
      <c r="B163" s="1" t="s">
        <v>447</v>
      </c>
      <c r="H163" s="142"/>
      <c r="I163">
        <v>2</v>
      </c>
      <c r="J163" s="1">
        <f t="shared" ref="J163:J173" si="199">$C$170*($D$109+3)</f>
        <v>30170</v>
      </c>
      <c r="K163" s="1">
        <f>ROUNDDOWN(Sheet2!D54*44.03%*138.7 + Sheet2!D54*28.8%*184.7 + Sheet2!D54*27.16%*220.5 + C24*30%*138.7 + C24*30%*184.7 + C24*40%*220.5, 0)</f>
        <v>177565</v>
      </c>
      <c r="L163" s="157">
        <f>INT((Sheet2!D54+C24)*9)</f>
        <v>9004</v>
      </c>
      <c r="M163" s="1">
        <f>INT((Sheet2!D54+C24)*5)</f>
        <v>5002</v>
      </c>
      <c r="N163" s="1">
        <f t="shared" ref="N163" si="200">SUM(J163:M163)</f>
        <v>221741</v>
      </c>
      <c r="O163" s="1">
        <f t="shared" ref="O163" si="201">ROUND(N163*0.1, 0)</f>
        <v>22174</v>
      </c>
      <c r="P163" s="1">
        <f t="shared" ref="P163" si="202">FLOOR(N163*0.027, 10)</f>
        <v>5980</v>
      </c>
      <c r="Q163" s="1">
        <f t="shared" ref="Q163" si="203">FLOOR(N163+O163+P163, 10)</f>
        <v>249890</v>
      </c>
      <c r="R163" s="144">
        <f>Q163*(Sheet2!D54/(Sheet2!D54+C24))</f>
        <v>174785.26152327401</v>
      </c>
      <c r="U163" s="145"/>
    </row>
    <row r="164" spans="2:21">
      <c r="H164" s="142"/>
      <c r="I164">
        <v>3</v>
      </c>
      <c r="J164" s="1">
        <f t="shared" si="199"/>
        <v>30170</v>
      </c>
      <c r="K164" s="1">
        <f>ROUNDDOWN(Sheet2!E54*44.16%*125.8 + Sheet2!E54*28.26%*153.8 + Sheet2!E54*27.58%*172.4 + C25*30%*125.8 + C25*30%*153.8 + C25*40%*172.4, 0)</f>
        <v>82117</v>
      </c>
      <c r="L164" s="157">
        <f>INT((Sheet2!E54+C25)*9)</f>
        <v>4935</v>
      </c>
      <c r="M164" s="1">
        <f>INT((Sheet2!E54+C25)*5)</f>
        <v>2741</v>
      </c>
      <c r="N164" s="1">
        <f t="shared" ref="N164" si="204">SUM(J164:M164)</f>
        <v>119963</v>
      </c>
      <c r="O164" s="1">
        <f t="shared" ref="O164" si="205">ROUND(N164*0.1, 0)</f>
        <v>11996</v>
      </c>
      <c r="P164" s="1">
        <f t="shared" ref="P164" si="206">FLOOR(N164*0.027, 10)</f>
        <v>3230</v>
      </c>
      <c r="Q164" s="1">
        <f t="shared" ref="Q164" si="207">FLOOR(N164+O164+P164, 10)</f>
        <v>135180</v>
      </c>
      <c r="R164" s="144">
        <f>Q164*(Sheet2!E54/(Sheet2!E54+C25))</f>
        <v>66701.170358878036</v>
      </c>
      <c r="U164" s="145"/>
    </row>
    <row r="165" spans="2:21">
      <c r="H165" s="142"/>
      <c r="I165">
        <v>4</v>
      </c>
      <c r="J165" s="1">
        <f t="shared" si="199"/>
        <v>30170</v>
      </c>
      <c r="K165" s="1">
        <f>ROUNDDOWN(Sheet2!F54*42.51%*125.8 + Sheet2!F54*27.79%*153.8 + Sheet2!F54*29.7%*172.4 + C26*30%*125.8 + C26*30%*153.8 + C26*40%*172.4, 0)</f>
        <v>63299</v>
      </c>
      <c r="L165" s="157">
        <f>INT((Sheet2!F54+C26)*9)</f>
        <v>3779</v>
      </c>
      <c r="M165" s="1">
        <f>INT((Sheet2!F54+C26)*5)</f>
        <v>2099</v>
      </c>
      <c r="N165" s="1">
        <f t="shared" ref="N165" si="208">SUM(J165:M165)</f>
        <v>99347</v>
      </c>
      <c r="O165" s="1">
        <f t="shared" ref="O165" si="209">ROUND(N165*0.1, 0)</f>
        <v>9935</v>
      </c>
      <c r="P165" s="1">
        <f t="shared" ref="P165" si="210">FLOOR(N165*0.027, 10)</f>
        <v>2680</v>
      </c>
      <c r="Q165" s="1">
        <f t="shared" ref="Q165" si="211">FLOOR(N165+O165+P165, 10)</f>
        <v>111960</v>
      </c>
      <c r="R165" s="144">
        <f>Q165*(Sheet2!F54/(Sheet2!F54+C26))</f>
        <v>43821.306227840374</v>
      </c>
      <c r="U165" s="145"/>
    </row>
    <row r="166" spans="2:21">
      <c r="B166" t="s">
        <v>435</v>
      </c>
      <c r="C166" t="s">
        <v>451</v>
      </c>
      <c r="D166" s="1" t="s">
        <v>452</v>
      </c>
      <c r="H166" s="142"/>
      <c r="I166">
        <v>5</v>
      </c>
      <c r="J166" s="1">
        <f t="shared" si="199"/>
        <v>30170</v>
      </c>
      <c r="K166" s="1">
        <f>ROUNDDOWN(Sheet2!G54*38.44%*125.8 + Sheet2!G54*30.44%*153.8 + Sheet2!G54*31.12%*172.4 + C27*30%*125.8 + C27*30%*153.8 + C27*40%*172.4, 0)</f>
        <v>57565</v>
      </c>
      <c r="L166" s="157">
        <f>INT((Sheet2!G54+C27)*9)</f>
        <v>3422</v>
      </c>
      <c r="M166" s="1">
        <f>INT((Sheet2!G54+C27)*5)</f>
        <v>1901</v>
      </c>
      <c r="N166" s="1">
        <f t="shared" ref="N166" si="212">SUM(J166:M166)</f>
        <v>93058</v>
      </c>
      <c r="O166" s="1">
        <f t="shared" ref="O166" si="213">ROUND(N166*0.1, 0)</f>
        <v>9306</v>
      </c>
      <c r="P166" s="1">
        <f t="shared" ref="P166" si="214">FLOOR(N166*0.027, 10)</f>
        <v>2510</v>
      </c>
      <c r="Q166" s="1">
        <f t="shared" ref="Q166" si="215">FLOOR(N166+O166+P166, 10)</f>
        <v>104870</v>
      </c>
      <c r="R166" s="144">
        <f>Q166*(Sheet2!G54/(Sheet2!G54+C27))</f>
        <v>37711.036903439192</v>
      </c>
      <c r="U166" s="145"/>
    </row>
    <row r="167" spans="2:21">
      <c r="B167" t="s">
        <v>448</v>
      </c>
      <c r="C167">
        <v>125.8</v>
      </c>
      <c r="D167">
        <v>138.69999999999999</v>
      </c>
      <c r="H167" s="142"/>
      <c r="I167">
        <v>6</v>
      </c>
      <c r="J167" s="1">
        <f t="shared" si="199"/>
        <v>30170</v>
      </c>
      <c r="K167" s="1">
        <f>ROUNDDOWN(Sheet2!H54*31.92%*138.7 + Sheet2!H54*38.86%*184.7 + Sheet2!H54*29.22%*220.5 + C28*30%*138.7 + C28*30%*184.7 + C28*40%*220.5, 0)</f>
        <v>67659</v>
      </c>
      <c r="L167" s="157">
        <f>INT((Sheet2!H54+C28)*9)</f>
        <v>3316</v>
      </c>
      <c r="M167" s="1">
        <f>INT((Sheet2!H54+C28)*5)</f>
        <v>1842</v>
      </c>
      <c r="N167" s="1">
        <f t="shared" ref="N167" si="216">SUM(J167:M167)</f>
        <v>102987</v>
      </c>
      <c r="O167" s="1">
        <f t="shared" ref="O167" si="217">ROUND(N167*0.1, 0)</f>
        <v>10299</v>
      </c>
      <c r="P167" s="1">
        <f t="shared" ref="P167" si="218">FLOOR(N167*0.027, 10)</f>
        <v>2780</v>
      </c>
      <c r="Q167" s="1">
        <f t="shared" ref="Q167" si="219">FLOOR(N167+O167+P167, 10)</f>
        <v>116060</v>
      </c>
      <c r="R167" s="144">
        <f>Q167*(Sheet2!H54/(Sheet2!H54+C28))</f>
        <v>38823.054824264203</v>
      </c>
      <c r="U167" s="145"/>
    </row>
    <row r="168" spans="2:21">
      <c r="B168" s="1" t="s">
        <v>449</v>
      </c>
      <c r="C168">
        <v>153.80000000000001</v>
      </c>
      <c r="D168" s="1">
        <v>184.7</v>
      </c>
      <c r="H168" s="142"/>
      <c r="I168">
        <v>7</v>
      </c>
      <c r="J168" s="1">
        <f t="shared" si="199"/>
        <v>30170</v>
      </c>
      <c r="K168" s="1">
        <f>ROUNDDOWN(Sheet2!I54*26.8%*138.7 + Sheet2!I54*43.76%*184.7 + Sheet2!I54*29.44%*220.5 + C29*30%*138.7 + C29*30%*184.7 + C29*40%*220.5, 0)</f>
        <v>68534</v>
      </c>
      <c r="L168" s="157">
        <f>INT((Sheet2!I54+C29)*9)</f>
        <v>3336</v>
      </c>
      <c r="M168" s="1">
        <f>INT((Sheet2!I54+C29)*5)</f>
        <v>1853</v>
      </c>
      <c r="N168" s="1">
        <f t="shared" ref="N168" si="220">SUM(J168:M168)</f>
        <v>103893</v>
      </c>
      <c r="O168" s="1">
        <f t="shared" ref="O168" si="221">ROUND(N168*0.1, 0)</f>
        <v>10389</v>
      </c>
      <c r="P168" s="1">
        <f t="shared" ref="P168" si="222">FLOOR(N168*0.027, 10)</f>
        <v>2800</v>
      </c>
      <c r="Q168" s="1">
        <f t="shared" ref="Q168" si="223">FLOOR(N168+O168+P168, 10)</f>
        <v>117080</v>
      </c>
      <c r="R168" s="144">
        <f>Q168*(Sheet2!I54/(Sheet2!I54+C29))</f>
        <v>17914.073489606777</v>
      </c>
      <c r="U168" s="145"/>
    </row>
    <row r="169" spans="2:21">
      <c r="B169" s="1" t="s">
        <v>450</v>
      </c>
      <c r="C169">
        <v>172.4</v>
      </c>
      <c r="D169" s="1">
        <v>220.5</v>
      </c>
      <c r="H169" s="142"/>
      <c r="I169">
        <v>8</v>
      </c>
      <c r="J169" s="1">
        <f t="shared" si="199"/>
        <v>30170</v>
      </c>
      <c r="K169" s="1">
        <f>ROUNDDOWN(Sheet2!J54*26.88%*138.7 + Sheet2!J54*45.15%*184.7 + Sheet2!J54*27.97%*220.5 + C30*30%*138.7 + C30*30%*184.7 + C30*40%*220.5, 0)</f>
        <v>74890</v>
      </c>
      <c r="L169" s="157">
        <f>INT((Sheet2!J54+C30)*9)</f>
        <v>3646</v>
      </c>
      <c r="M169" s="1">
        <f>INT((Sheet2!J54+C30)*5)</f>
        <v>2025</v>
      </c>
      <c r="N169" s="1">
        <f t="shared" ref="N169" si="224">SUM(J169:M169)</f>
        <v>110731</v>
      </c>
      <c r="O169" s="1">
        <f t="shared" ref="O169" si="225">ROUND(N169*0.1, 0)</f>
        <v>11073</v>
      </c>
      <c r="P169" s="1">
        <f t="shared" ref="P169" si="226">FLOOR(N169*0.027, 10)</f>
        <v>2980</v>
      </c>
      <c r="Q169" s="1">
        <f t="shared" ref="Q169" si="227">FLOOR(N169+O169+P169, 10)</f>
        <v>124780</v>
      </c>
      <c r="R169" s="144">
        <f>Q169*(Sheet2!J54/(Sheet2!J54+C30))</f>
        <v>15809.468729254571</v>
      </c>
      <c r="U169" s="145"/>
    </row>
    <row r="170" spans="2:21">
      <c r="B170" s="1" t="s">
        <v>453</v>
      </c>
      <c r="C170" s="122">
        <v>4310</v>
      </c>
      <c r="H170" s="142"/>
      <c r="I170">
        <v>9</v>
      </c>
      <c r="J170" s="1">
        <f t="shared" si="199"/>
        <v>30170</v>
      </c>
      <c r="K170" s="1">
        <f>ROUNDDOWN(Sheet2!K54*30.32%*125.8 + Sheet2!K54*40.48%*153.8 + Sheet2!K54*29.2%*172.4 + C31*30%*125.8 + C31*30%*153.8 + C31*40%*172.4, 0)</f>
        <v>54772</v>
      </c>
      <c r="L170" s="157">
        <f>INT((Sheet2!K54+C31)*9)</f>
        <v>3234</v>
      </c>
      <c r="M170" s="1">
        <f>INT((Sheet2!K54+C31)*5)</f>
        <v>1797</v>
      </c>
      <c r="N170" s="1">
        <f t="shared" ref="N170" si="228">SUM(J170:M170)</f>
        <v>89973</v>
      </c>
      <c r="O170" s="1">
        <f t="shared" ref="O170" si="229">ROUND(N170*0.1, 0)</f>
        <v>8997</v>
      </c>
      <c r="P170" s="1">
        <f t="shared" ref="P170" si="230">FLOOR(N170*0.027, 10)</f>
        <v>2420</v>
      </c>
      <c r="Q170" s="1">
        <f t="shared" ref="Q170" si="231">FLOOR(N170+O170+P170, 10)</f>
        <v>101390</v>
      </c>
      <c r="R170" s="144">
        <f>Q170*(Sheet2!K54/(Sheet2!K54+C31))</f>
        <v>21498.760554725279</v>
      </c>
      <c r="U170" s="145"/>
    </row>
    <row r="171" spans="2:21">
      <c r="H171" s="142"/>
      <c r="I171">
        <v>10</v>
      </c>
      <c r="J171" s="1">
        <f t="shared" si="199"/>
        <v>30170</v>
      </c>
      <c r="K171" s="1">
        <f>ROUNDDOWN(Sheet2!L54*42.34%*125.8 + Sheet2!L54*28.1%*153.8 + Sheet2!L54*29.56%*172.4 + C32*30%*125.8 + C32*30%*153.8 + C32*40%*172.4, 0)</f>
        <v>48322</v>
      </c>
      <c r="L171" s="157">
        <f>INT((Sheet2!L54+C32)*9)</f>
        <v>2868</v>
      </c>
      <c r="M171" s="1">
        <f>INT((Sheet2!L54+C32)*5)</f>
        <v>1593</v>
      </c>
      <c r="N171" s="1">
        <f t="shared" ref="N171" si="232">SUM(J171:M171)</f>
        <v>82953</v>
      </c>
      <c r="O171" s="1">
        <f t="shared" ref="O171" si="233">ROUND(N171*0.1, 0)</f>
        <v>8295</v>
      </c>
      <c r="P171" s="1">
        <f t="shared" ref="P171" si="234">FLOOR(N171*0.027, 10)</f>
        <v>2230</v>
      </c>
      <c r="Q171" s="1">
        <f t="shared" ref="Q171" si="235">FLOOR(N171+O171+P171, 10)</f>
        <v>93470</v>
      </c>
      <c r="R171" s="144">
        <f>Q171*(Sheet2!L54/(Sheet2!L54+C32))</f>
        <v>21539.467320705706</v>
      </c>
      <c r="U171" s="145"/>
    </row>
    <row r="172" spans="2:21">
      <c r="H172" s="142"/>
      <c r="I172">
        <v>11</v>
      </c>
      <c r="J172" s="1">
        <f t="shared" si="199"/>
        <v>30170</v>
      </c>
      <c r="K172" s="1">
        <f>ROUNDDOWN(Sheet2!M54*44.43%*138.7 + Sheet2!M54*27.22%*184.7 + Sheet2!M54*28.35%*220.5 + C33*30%*138.7 + C33*30%*184.7 + C33*40%*220.5, 0)</f>
        <v>96433</v>
      </c>
      <c r="L172" s="157">
        <f>INT((Sheet2!M54+C33)*9)</f>
        <v>4833</v>
      </c>
      <c r="M172" s="1">
        <f>INT((Sheet2!M54+C33)*5)</f>
        <v>2685</v>
      </c>
      <c r="N172" s="1">
        <f t="shared" ref="N172" si="236">SUM(J172:M172)</f>
        <v>134121</v>
      </c>
      <c r="O172" s="1">
        <f t="shared" ref="O172" si="237">ROUND(N172*0.1, 0)</f>
        <v>13412</v>
      </c>
      <c r="P172" s="1">
        <f t="shared" ref="P172" si="238">FLOOR(N172*0.027, 10)</f>
        <v>3620</v>
      </c>
      <c r="Q172" s="1">
        <f t="shared" ref="Q172" si="239">FLOOR(N172+O172+P172, 10)</f>
        <v>151150</v>
      </c>
      <c r="R172" s="144">
        <f>Q172*(Sheet2!M54/(Sheet2!M54+C33))</f>
        <v>79157.079707260214</v>
      </c>
      <c r="U172" s="145"/>
    </row>
    <row r="173" spans="2:21">
      <c r="B173" t="s">
        <v>456</v>
      </c>
      <c r="H173" s="142"/>
      <c r="I173">
        <v>12</v>
      </c>
      <c r="J173" s="1">
        <f t="shared" si="199"/>
        <v>30170</v>
      </c>
      <c r="K173" s="1">
        <f>ROUNDDOWN(Sheet2!N54*43.82%*138.7 + Sheet2!N54*28.18%*184.7 + Sheet2!N54*28%*220.5 + C34*30%*138.7 + C34*30%*184.7 + C34*40%*220.5, 0)</f>
        <v>149369</v>
      </c>
      <c r="L173" s="157">
        <f>INT((Sheet2!N54+C34)*9)</f>
        <v>7550</v>
      </c>
      <c r="M173" s="1">
        <f>INT((Sheet2!N54+C34)*5)</f>
        <v>4194</v>
      </c>
      <c r="N173" s="1">
        <f t="shared" ref="N173" si="240">SUM(J173:M173)</f>
        <v>191283</v>
      </c>
      <c r="O173" s="1">
        <f t="shared" ref="O173" si="241">ROUND(N173*0.1, 0)</f>
        <v>19128</v>
      </c>
      <c r="P173" s="1">
        <f t="shared" ref="P173" si="242">FLOOR(N173*0.027, 10)</f>
        <v>5160</v>
      </c>
      <c r="Q173" s="1">
        <f t="shared" ref="Q173" si="243">FLOOR(N173+O173+P173, 10)</f>
        <v>215570</v>
      </c>
      <c r="R173" s="144">
        <f>Q173*(Sheet2!N54/(Sheet2!N54+C34))</f>
        <v>145164.13827218412</v>
      </c>
      <c r="U173" s="145"/>
    </row>
    <row r="174" spans="2:21">
      <c r="B174" s="1" t="s">
        <v>454</v>
      </c>
      <c r="H174" s="142"/>
      <c r="I174" s="6" t="s">
        <v>407</v>
      </c>
      <c r="J174" s="1" t="s">
        <v>384</v>
      </c>
      <c r="K174" s="1" t="s">
        <v>385</v>
      </c>
      <c r="L174" s="1" t="s">
        <v>386</v>
      </c>
      <c r="M174" s="1" t="s">
        <v>387</v>
      </c>
      <c r="N174" s="1" t="s">
        <v>388</v>
      </c>
      <c r="O174" s="1" t="s">
        <v>389</v>
      </c>
      <c r="P174" s="1" t="s">
        <v>390</v>
      </c>
      <c r="Q174" s="1" t="s">
        <v>391</v>
      </c>
      <c r="R174" s="1" t="s">
        <v>430</v>
      </c>
      <c r="S174" s="144">
        <f>SUM(R175:R186)</f>
        <v>746006.05104910675</v>
      </c>
      <c r="T174" s="144">
        <f>Sheet2!$O$18</f>
        <v>1157329.3336407086</v>
      </c>
      <c r="U174" s="147">
        <f>(T174-S174)/T174</f>
        <v>0.3554072904189402</v>
      </c>
    </row>
    <row r="175" spans="2:21">
      <c r="B175" s="1" t="s">
        <v>455</v>
      </c>
      <c r="H175" s="142"/>
      <c r="I175">
        <v>1</v>
      </c>
      <c r="J175" s="1">
        <f t="shared" ref="J175:J186" si="244">$C$170*($D$109+3)</f>
        <v>30170</v>
      </c>
      <c r="K175">
        <f>ROUNDDOWN(Sheet2!C55*43.37%*138.7 + Sheet2!C55*28.76%*184.7 + Sheet2!C55*27.87%*220.5 + C23*30%*138.7 + C23*30%*184.7 + C23*40%*220.5, 0)</f>
        <v>152659</v>
      </c>
      <c r="L175" s="157">
        <f>INT((Sheet2!C55+C23)*9)</f>
        <v>7698</v>
      </c>
      <c r="M175" s="1">
        <f>INT((Sheet2!C55+C23)*5)</f>
        <v>4276</v>
      </c>
      <c r="N175" s="1">
        <f t="shared" ref="N175:N186" si="245">SUM(J175:M175)</f>
        <v>194803</v>
      </c>
      <c r="O175" s="1">
        <f t="shared" ref="O175:O186" si="246">ROUND(N175*0.1, 0)</f>
        <v>19480</v>
      </c>
      <c r="P175" s="1">
        <f t="shared" ref="P175:P186" si="247">FLOOR(N175*0.027, 10)</f>
        <v>5250</v>
      </c>
      <c r="Q175" s="1">
        <f t="shared" ref="Q175:Q186" si="248">FLOOR(N175+O175+P175, 10)</f>
        <v>219530</v>
      </c>
      <c r="R175" s="144">
        <f>Q175*(Sheet2!C55/(Sheet2!C55+C23))</f>
        <v>141122.25727711254</v>
      </c>
      <c r="U175" s="145"/>
    </row>
    <row r="176" spans="2:21">
      <c r="H176" s="142"/>
      <c r="I176">
        <v>2</v>
      </c>
      <c r="J176" s="1">
        <f t="shared" si="244"/>
        <v>30170</v>
      </c>
      <c r="K176" s="1">
        <f>ROUNDDOWN(Sheet2!D55*44.03%*138.7 + Sheet2!D55*28.8%*184.7 + Sheet2!D55*27.16%*220.5 + C24*30%*138.7 + C24*30%*184.7 + C24*40%*220.5, 0)</f>
        <v>165643</v>
      </c>
      <c r="L176" s="157">
        <f>INT((Sheet2!D55+C24)*9)</f>
        <v>8388</v>
      </c>
      <c r="M176" s="1">
        <f>INT((Sheet2!D55+C24)*5)</f>
        <v>4660</v>
      </c>
      <c r="N176" s="1">
        <f t="shared" si="245"/>
        <v>208861</v>
      </c>
      <c r="O176" s="1">
        <f t="shared" si="246"/>
        <v>20886</v>
      </c>
      <c r="P176" s="1">
        <f t="shared" si="247"/>
        <v>5630</v>
      </c>
      <c r="Q176" s="1">
        <f t="shared" si="248"/>
        <v>235370</v>
      </c>
      <c r="R176" s="144">
        <f>Q176*(Sheet2!D55/(Sheet2!D55+C24))</f>
        <v>159433.34976057938</v>
      </c>
      <c r="U176" s="145"/>
    </row>
    <row r="177" spans="2:21">
      <c r="B177" s="132"/>
      <c r="H177" s="142"/>
      <c r="I177">
        <v>3</v>
      </c>
      <c r="J177" s="1">
        <f t="shared" si="244"/>
        <v>30170</v>
      </c>
      <c r="K177" s="1">
        <f>ROUNDDOWN(Sheet2!E55*44.16%*125.8 + Sheet2!E55*28.26%*153.8 + Sheet2!E55*27.58%*172.4 + C25*30%*125.8 + C25*30%*153.8 + C25*40%*172.4, 0)</f>
        <v>78238</v>
      </c>
      <c r="L177" s="157">
        <f>INT((Sheet2!E55+C25)*9)</f>
        <v>4697</v>
      </c>
      <c r="M177" s="1">
        <f>INT((Sheet2!E55+C25)*5)</f>
        <v>2609</v>
      </c>
      <c r="N177" s="1">
        <f t="shared" si="245"/>
        <v>115714</v>
      </c>
      <c r="O177" s="1">
        <f t="shared" si="246"/>
        <v>11571</v>
      </c>
      <c r="P177" s="1">
        <f t="shared" si="247"/>
        <v>3120</v>
      </c>
      <c r="Q177" s="1">
        <f t="shared" si="248"/>
        <v>130400</v>
      </c>
      <c r="R177" s="144">
        <f>Q177*(Sheet2!E55/(Sheet2!E55+C25))</f>
        <v>60992.302422737623</v>
      </c>
      <c r="U177" s="145"/>
    </row>
    <row r="178" spans="2:21">
      <c r="B178" s="132"/>
      <c r="H178" s="142"/>
      <c r="I178">
        <v>4</v>
      </c>
      <c r="J178" s="1">
        <f t="shared" si="244"/>
        <v>30170</v>
      </c>
      <c r="K178" s="1">
        <f>ROUNDDOWN(Sheet2!F55*42.51%*125.8 + Sheet2!F55*27.79%*153.8 + Sheet2!F55*29.7%*172.4 + C26*30%*125.8 + C26*30%*153.8 + C26*40%*172.4, 0)</f>
        <v>60928</v>
      </c>
      <c r="L178" s="157">
        <f>INT((Sheet2!F55+C26)*9)</f>
        <v>3635</v>
      </c>
      <c r="M178" s="1">
        <f>INT((Sheet2!F55+C26)*5)</f>
        <v>2019</v>
      </c>
      <c r="N178" s="1">
        <f t="shared" si="245"/>
        <v>96752</v>
      </c>
      <c r="O178" s="1">
        <f t="shared" si="246"/>
        <v>9675</v>
      </c>
      <c r="P178" s="1">
        <f t="shared" si="247"/>
        <v>2610</v>
      </c>
      <c r="Q178" s="1">
        <f t="shared" si="248"/>
        <v>109030</v>
      </c>
      <c r="R178" s="144">
        <f>Q178*(Sheet2!F55/(Sheet2!F55+C26))</f>
        <v>40032.641336565226</v>
      </c>
      <c r="U178" s="145"/>
    </row>
    <row r="179" spans="2:21">
      <c r="B179" s="132"/>
      <c r="H179" s="142"/>
      <c r="I179">
        <v>5</v>
      </c>
      <c r="J179" s="1">
        <f t="shared" si="244"/>
        <v>30170</v>
      </c>
      <c r="K179" s="1">
        <f>ROUNDDOWN(Sheet2!G55*38.44%*125.8 + Sheet2!G55*30.44%*153.8 + Sheet2!G55*31.12%*172.4 + C27*30%*125.8 + C27*30%*153.8 + C27*40%*172.4, 0)</f>
        <v>55574</v>
      </c>
      <c r="L179" s="157">
        <f>INT((Sheet2!G55+C27)*9)</f>
        <v>3301</v>
      </c>
      <c r="M179" s="1">
        <f>INT((Sheet2!G55+C27)*5)</f>
        <v>1834</v>
      </c>
      <c r="N179" s="1">
        <f t="shared" si="245"/>
        <v>90879</v>
      </c>
      <c r="O179" s="1">
        <f t="shared" si="246"/>
        <v>9088</v>
      </c>
      <c r="P179" s="1">
        <f t="shared" si="247"/>
        <v>2450</v>
      </c>
      <c r="Q179" s="1">
        <f t="shared" si="248"/>
        <v>102410</v>
      </c>
      <c r="R179" s="144">
        <f>Q179*(Sheet2!G55/(Sheet2!G55+C27))</f>
        <v>34435.204499490043</v>
      </c>
      <c r="U179" s="145"/>
    </row>
    <row r="180" spans="2:21">
      <c r="B180" s="132"/>
      <c r="H180" s="142"/>
      <c r="I180">
        <v>6</v>
      </c>
      <c r="J180" s="1">
        <f t="shared" si="244"/>
        <v>30170</v>
      </c>
      <c r="K180" s="1">
        <f>ROUNDDOWN(Sheet2!H55*31.92%*138.7 + Sheet2!H55*38.86%*184.7 + Sheet2!H55*29.22%*220.5 + C28*30%*138.7 + C28*30%*184.7 + C28*40%*220.5, 0)</f>
        <v>65483</v>
      </c>
      <c r="L180" s="157">
        <f>INT((Sheet2!H55+C28)*9)</f>
        <v>3207</v>
      </c>
      <c r="M180" s="1">
        <f>INT((Sheet2!H55+C28)*5)</f>
        <v>1781</v>
      </c>
      <c r="N180" s="1">
        <f t="shared" si="245"/>
        <v>100641</v>
      </c>
      <c r="O180" s="1">
        <f t="shared" si="246"/>
        <v>10064</v>
      </c>
      <c r="P180" s="1">
        <f t="shared" si="247"/>
        <v>2710</v>
      </c>
      <c r="Q180" s="1">
        <f t="shared" si="248"/>
        <v>113410</v>
      </c>
      <c r="R180" s="144">
        <f>Q180*(Sheet2!H55/(Sheet2!H55+C28))</f>
        <v>35383.288042182365</v>
      </c>
      <c r="U180" s="145"/>
    </row>
    <row r="181" spans="2:21">
      <c r="B181" s="132"/>
      <c r="H181" s="142"/>
      <c r="I181">
        <v>7</v>
      </c>
      <c r="J181" s="1">
        <f t="shared" si="244"/>
        <v>30170</v>
      </c>
      <c r="K181" s="1">
        <f>ROUNDDOWN(Sheet2!I55*26.8%*138.7 + Sheet2!I55*43.76%*184.7 + Sheet2!I55*29.44%*220.5 + C29*30%*138.7 + C29*30%*184.7 + C29*40%*220.5, 0)</f>
        <v>67519</v>
      </c>
      <c r="L181" s="157">
        <f>INT((Sheet2!I55+C29)*9)</f>
        <v>3286</v>
      </c>
      <c r="M181" s="1">
        <f>INT((Sheet2!I55+C29)*5)</f>
        <v>1825</v>
      </c>
      <c r="N181" s="1">
        <f t="shared" si="245"/>
        <v>102800</v>
      </c>
      <c r="O181" s="1">
        <f t="shared" si="246"/>
        <v>10280</v>
      </c>
      <c r="P181" s="1">
        <f t="shared" si="247"/>
        <v>2770</v>
      </c>
      <c r="Q181" s="1">
        <f t="shared" si="248"/>
        <v>115850</v>
      </c>
      <c r="R181" s="144">
        <f>Q181*(Sheet2!I55/(Sheet2!I55+C29))</f>
        <v>16234.826071075757</v>
      </c>
      <c r="U181" s="145"/>
    </row>
    <row r="182" spans="2:21">
      <c r="B182" s="132"/>
      <c r="H182" s="142"/>
      <c r="I182">
        <v>8</v>
      </c>
      <c r="J182" s="1">
        <f t="shared" si="244"/>
        <v>30170</v>
      </c>
      <c r="K182" s="1">
        <f>ROUNDDOWN(Sheet2!J55*26.88%*138.7 + Sheet2!J55*45.15%*184.7 + Sheet2!J55*27.97%*220.5 + C30*30%*138.7 + C30*30%*184.7 + C30*40%*220.5, 0)</f>
        <v>73975</v>
      </c>
      <c r="L182" s="157">
        <f>INT((Sheet2!J55+C30)*9)</f>
        <v>3600</v>
      </c>
      <c r="M182" s="1">
        <f>INT((Sheet2!J55+C30)*5)</f>
        <v>2000</v>
      </c>
      <c r="N182" s="1">
        <f t="shared" si="245"/>
        <v>109745</v>
      </c>
      <c r="O182" s="1">
        <f t="shared" si="246"/>
        <v>10975</v>
      </c>
      <c r="P182" s="1">
        <f t="shared" si="247"/>
        <v>2960</v>
      </c>
      <c r="Q182" s="1">
        <f t="shared" si="248"/>
        <v>123680</v>
      </c>
      <c r="R182" s="144">
        <f>Q182*(Sheet2!J55/(Sheet2!J55+C30))</f>
        <v>14314.576729005361</v>
      </c>
      <c r="U182" s="145"/>
    </row>
    <row r="183" spans="2:21">
      <c r="B183" s="132"/>
      <c r="H183" s="142"/>
      <c r="I183">
        <v>9</v>
      </c>
      <c r="J183" s="1">
        <f t="shared" si="244"/>
        <v>30170</v>
      </c>
      <c r="K183" s="1">
        <f>ROUNDDOWN(Sheet2!K55*30.32%*125.8 + Sheet2!K55*40.48%*153.8 + Sheet2!K55*29.2%*172.4 + C31*30%*125.8 + C31*30%*153.8 + C31*40%*172.4, 0)</f>
        <v>53648</v>
      </c>
      <c r="L183" s="157">
        <f>INT((Sheet2!K55+C31)*9)</f>
        <v>3167</v>
      </c>
      <c r="M183" s="1">
        <f>INT((Sheet2!K55+C31)*5)</f>
        <v>1759</v>
      </c>
      <c r="N183" s="1">
        <f t="shared" si="245"/>
        <v>88744</v>
      </c>
      <c r="O183" s="1">
        <f t="shared" si="246"/>
        <v>8874</v>
      </c>
      <c r="P183" s="1">
        <f t="shared" si="247"/>
        <v>2390</v>
      </c>
      <c r="Q183" s="1">
        <f t="shared" si="248"/>
        <v>100000</v>
      </c>
      <c r="R183" s="144">
        <f>Q183*(Sheet2!K55/(Sheet2!K55+C31))</f>
        <v>19534.932276947566</v>
      </c>
      <c r="U183" s="145"/>
    </row>
    <row r="184" spans="2:21">
      <c r="B184" s="132"/>
      <c r="H184" s="142"/>
      <c r="I184">
        <v>10</v>
      </c>
      <c r="J184" s="1">
        <f t="shared" si="244"/>
        <v>30170</v>
      </c>
      <c r="K184" s="1">
        <f>ROUNDDOWN(Sheet2!L55*42.34%*125.8 + Sheet2!L55*28.1%*153.8 + Sheet2!L55*29.56%*172.4 + C32*30%*125.8 + C32*30%*153.8 + C32*40%*172.4, 0)</f>
        <v>47262</v>
      </c>
      <c r="L184" s="157">
        <f>INT((Sheet2!L55+C32)*9)</f>
        <v>2804</v>
      </c>
      <c r="M184" s="1">
        <f>INT((Sheet2!L55+C32)*5)</f>
        <v>1557</v>
      </c>
      <c r="N184" s="1">
        <f t="shared" si="245"/>
        <v>81793</v>
      </c>
      <c r="O184" s="1">
        <f t="shared" si="246"/>
        <v>8179</v>
      </c>
      <c r="P184" s="1">
        <f t="shared" si="247"/>
        <v>2200</v>
      </c>
      <c r="Q184" s="1">
        <f t="shared" si="248"/>
        <v>92170</v>
      </c>
      <c r="R184" s="144">
        <f>Q184*(Sheet2!L55/(Sheet2!L55+C32))</f>
        <v>19604.015566330763</v>
      </c>
      <c r="U184" s="145"/>
    </row>
    <row r="185" spans="2:21">
      <c r="B185" s="132"/>
      <c r="H185" s="142"/>
      <c r="I185">
        <v>11</v>
      </c>
      <c r="J185" s="1">
        <f t="shared" si="244"/>
        <v>30170</v>
      </c>
      <c r="K185" s="1">
        <f>ROUNDDOWN(Sheet2!M55*44.43%*138.7 + Sheet2!M55*27.22%*184.7 + Sheet2!M55*28.35%*220.5 + C33*30%*138.7 + C33*30%*184.7 + C33*40%*220.5, 0)</f>
        <v>91634</v>
      </c>
      <c r="L185" s="157">
        <f>INT((Sheet2!M55+C33)*9)</f>
        <v>4585</v>
      </c>
      <c r="M185" s="1">
        <f>INT((Sheet2!M55+C33)*5)</f>
        <v>2547</v>
      </c>
      <c r="N185" s="1">
        <f t="shared" si="245"/>
        <v>128936</v>
      </c>
      <c r="O185" s="1">
        <f t="shared" si="246"/>
        <v>12894</v>
      </c>
      <c r="P185" s="1">
        <f t="shared" si="247"/>
        <v>3480</v>
      </c>
      <c r="Q185" s="1">
        <f t="shared" si="248"/>
        <v>145310</v>
      </c>
      <c r="R185" s="144">
        <f>Q185*(Sheet2!M55/(Sheet2!M55+C33))</f>
        <v>72361.419993768053</v>
      </c>
      <c r="U185" s="145"/>
    </row>
    <row r="186" spans="2:21">
      <c r="B186" s="132"/>
      <c r="H186" s="142"/>
      <c r="I186">
        <v>12</v>
      </c>
      <c r="J186" s="1">
        <f t="shared" si="244"/>
        <v>30170</v>
      </c>
      <c r="K186" s="1">
        <f>ROUNDDOWN(Sheet2!N55*43.82%*138.7 + Sheet2!N55*28.18%*184.7 + Sheet2!N55*28%*220.5 + C34*30%*138.7 + C34*30%*184.7 + C34*40%*220.5, 0)</f>
        <v>139722</v>
      </c>
      <c r="L186" s="157">
        <f>INT((Sheet2!N55+C34)*9)</f>
        <v>7053</v>
      </c>
      <c r="M186" s="1">
        <f>INT((Sheet2!N55+C34)*5)</f>
        <v>3918</v>
      </c>
      <c r="N186" s="1">
        <f t="shared" si="245"/>
        <v>180863</v>
      </c>
      <c r="O186" s="1">
        <f t="shared" si="246"/>
        <v>18086</v>
      </c>
      <c r="P186" s="1">
        <f t="shared" si="247"/>
        <v>4880</v>
      </c>
      <c r="Q186" s="1">
        <f t="shared" si="248"/>
        <v>203820</v>
      </c>
      <c r="R186" s="144">
        <f>Q186*(Sheet2!N55/(Sheet2!N55+C34))</f>
        <v>132557.23707331199</v>
      </c>
      <c r="U186" s="145"/>
    </row>
    <row r="187" spans="2:21">
      <c r="B187" s="132"/>
      <c r="H187" s="142"/>
      <c r="I187" s="148" t="s">
        <v>410</v>
      </c>
      <c r="J187" s="1" t="s">
        <v>384</v>
      </c>
      <c r="K187" s="1" t="s">
        <v>385</v>
      </c>
      <c r="L187" s="1" t="s">
        <v>386</v>
      </c>
      <c r="M187" s="1" t="s">
        <v>387</v>
      </c>
      <c r="N187" s="1" t="s">
        <v>388</v>
      </c>
      <c r="O187" s="1" t="s">
        <v>389</v>
      </c>
      <c r="P187" s="1" t="s">
        <v>390</v>
      </c>
      <c r="Q187" s="1" t="s">
        <v>391</v>
      </c>
      <c r="R187" s="1" t="s">
        <v>430</v>
      </c>
      <c r="S187" s="144">
        <f>SUM(R188:R199)</f>
        <v>530345.77566773188</v>
      </c>
      <c r="T187" s="144">
        <f>Sheet2!$O$18</f>
        <v>1157329.3336407086</v>
      </c>
      <c r="U187" s="147">
        <f>(T187-S187)/T187</f>
        <v>0.54175033825559538</v>
      </c>
    </row>
    <row r="188" spans="2:21">
      <c r="B188" s="132"/>
      <c r="H188" s="142"/>
      <c r="I188">
        <v>1</v>
      </c>
      <c r="J188" s="1">
        <f t="shared" ref="J188:J199" si="249">$C$170*($D$109+3)</f>
        <v>30170</v>
      </c>
      <c r="K188">
        <f>ROUNDDOWN(Sheet2!C56*43.37%*138.7 + Sheet2!C56*28.76%*184.7 + Sheet2!C56*27.87%*220.5 + C23*30%*138.7 + C23*30%*184.7 + C23*40%*220.5, 0)</f>
        <v>122100</v>
      </c>
      <c r="L188" s="157">
        <f>INT((Sheet2!C56+C23)*9)</f>
        <v>6124</v>
      </c>
      <c r="M188" s="1">
        <f>INT((Sheet2!C56+C23)*5)</f>
        <v>3402</v>
      </c>
      <c r="N188" s="1">
        <f t="shared" ref="N188:N199" si="250">SUM(J188:M188)</f>
        <v>161796</v>
      </c>
      <c r="O188" s="1">
        <f t="shared" ref="O188:O199" si="251">ROUND(N188*0.1, 0)</f>
        <v>16180</v>
      </c>
      <c r="P188" s="1">
        <f t="shared" ref="P188:P199" si="252">FLOOR(N188*0.027, 10)</f>
        <v>4360</v>
      </c>
      <c r="Q188" s="1">
        <f t="shared" ref="Q188:Q199" si="253">FLOOR(N188+O188+P188, 10)</f>
        <v>182330</v>
      </c>
      <c r="R188" s="144">
        <f>Q188*(Sheet2!C56/(Sheet2!C56+C23))</f>
        <v>100471.05595475738</v>
      </c>
      <c r="U188" s="145"/>
    </row>
    <row r="189" spans="2:21">
      <c r="H189" s="142"/>
      <c r="I189">
        <v>2</v>
      </c>
      <c r="J189" s="1">
        <f t="shared" si="249"/>
        <v>30170</v>
      </c>
      <c r="K189" s="1">
        <f>ROUNDDOWN(Sheet2!D56*44.03%*138.7 + Sheet2!D56*28.8%*184.7 + Sheet2!D56*27.16%*220.5 + C24*30%*138.7 + C24*30%*184.7 + C24*40%*220.5, 0)</f>
        <v>130672</v>
      </c>
      <c r="L189" s="157">
        <f>INT((Sheet2!D56+C24)*9)</f>
        <v>6581</v>
      </c>
      <c r="M189" s="1">
        <f>INT((Sheet2!D56+C24)*5)</f>
        <v>3656</v>
      </c>
      <c r="N189" s="1">
        <f t="shared" si="250"/>
        <v>171079</v>
      </c>
      <c r="O189" s="1">
        <f t="shared" si="251"/>
        <v>17108</v>
      </c>
      <c r="P189" s="1">
        <f t="shared" si="252"/>
        <v>4610</v>
      </c>
      <c r="Q189" s="1">
        <f t="shared" si="253"/>
        <v>192790</v>
      </c>
      <c r="R189" s="144">
        <f>Q189*(Sheet2!D56/(Sheet2!D56+C24))</f>
        <v>113509.51834365462</v>
      </c>
      <c r="U189" s="145"/>
    </row>
    <row r="190" spans="2:21">
      <c r="H190" s="142"/>
      <c r="I190">
        <v>3</v>
      </c>
      <c r="J190" s="1">
        <f t="shared" si="249"/>
        <v>30170</v>
      </c>
      <c r="K190" s="1">
        <f>ROUNDDOWN(Sheet2!E56*44.16%*125.8 + Sheet2!E56*28.26%*153.8 + Sheet2!E56*27.58%*172.4 + C25*30%*125.8 + C25*30%*153.8 + C25*40%*172.4, 0)</f>
        <v>66857</v>
      </c>
      <c r="L190" s="157">
        <f>INT((Sheet2!E56+C25)*9)</f>
        <v>3998</v>
      </c>
      <c r="M190" s="1">
        <f>INT((Sheet2!E56+C25)*5)</f>
        <v>2221</v>
      </c>
      <c r="N190" s="1">
        <f t="shared" si="250"/>
        <v>103246</v>
      </c>
      <c r="O190" s="1">
        <f t="shared" si="251"/>
        <v>10325</v>
      </c>
      <c r="P190" s="1">
        <f t="shared" si="252"/>
        <v>2780</v>
      </c>
      <c r="Q190" s="1">
        <f t="shared" si="253"/>
        <v>116350</v>
      </c>
      <c r="R190" s="144">
        <f>Q190*(Sheet2!E56/(Sheet2!E56+C25))</f>
        <v>43596.997242803634</v>
      </c>
      <c r="U190" s="145"/>
    </row>
    <row r="191" spans="2:21">
      <c r="H191" s="142"/>
      <c r="I191">
        <v>4</v>
      </c>
      <c r="J191" s="1">
        <f t="shared" si="249"/>
        <v>30170</v>
      </c>
      <c r="K191" s="1">
        <f>ROUNDDOWN(Sheet2!F56*42.51%*125.8 + Sheet2!F56*27.79%*153.8 + Sheet2!F56*29.7%*172.4 + C26*30%*125.8 + C26*30%*153.8 + C26*40%*172.4, 0)</f>
        <v>53974</v>
      </c>
      <c r="L191" s="157">
        <f>INT((Sheet2!F56+C26)*9)</f>
        <v>3210</v>
      </c>
      <c r="M191" s="1">
        <f>INT((Sheet2!F56+C26)*5)</f>
        <v>1783</v>
      </c>
      <c r="N191" s="1">
        <f t="shared" si="250"/>
        <v>89137</v>
      </c>
      <c r="O191" s="1">
        <f t="shared" si="251"/>
        <v>8914</v>
      </c>
      <c r="P191" s="1">
        <f t="shared" si="252"/>
        <v>2400</v>
      </c>
      <c r="Q191" s="1">
        <f t="shared" si="253"/>
        <v>100450</v>
      </c>
      <c r="R191" s="144">
        <f>Q191*(Sheet2!F56/(Sheet2!F56+C26))</f>
        <v>28476.784619273651</v>
      </c>
      <c r="U191" s="145"/>
    </row>
    <row r="192" spans="2:21">
      <c r="H192" s="142"/>
      <c r="I192">
        <v>5</v>
      </c>
      <c r="J192" s="1">
        <f t="shared" si="249"/>
        <v>30170</v>
      </c>
      <c r="K192" s="1">
        <f>ROUNDDOWN(Sheet2!G56*38.44%*125.8 + Sheet2!G56*30.44%*153.8 + Sheet2!G56*31.12%*172.4 + C27*30%*125.8 + C27*30%*153.8 + C27*40%*172.4, 0)</f>
        <v>49735</v>
      </c>
      <c r="L192" s="157">
        <f>INT((Sheet2!G56+C27)*9)</f>
        <v>2948</v>
      </c>
      <c r="M192" s="1">
        <f>INT((Sheet2!G56+C27)*5)</f>
        <v>1638</v>
      </c>
      <c r="N192" s="1">
        <f t="shared" si="250"/>
        <v>84491</v>
      </c>
      <c r="O192" s="1">
        <f t="shared" si="251"/>
        <v>8449</v>
      </c>
      <c r="P192" s="1">
        <f t="shared" si="252"/>
        <v>2280</v>
      </c>
      <c r="Q192" s="1">
        <f t="shared" si="253"/>
        <v>95220</v>
      </c>
      <c r="R192" s="144">
        <f>Q192*(Sheet2!G56/(Sheet2!G56+C27))</f>
        <v>24448.466688660475</v>
      </c>
      <c r="U192" s="145"/>
    </row>
    <row r="193" spans="8:21">
      <c r="H193" s="142"/>
      <c r="I193">
        <v>6</v>
      </c>
      <c r="J193" s="1">
        <f t="shared" si="249"/>
        <v>30170</v>
      </c>
      <c r="K193" s="1">
        <f>ROUNDDOWN(Sheet2!H56*31.92%*138.7 + Sheet2!H56*38.86%*184.7 + Sheet2!H56*29.22%*220.5 + C28*30%*138.7 + C28*30%*184.7 + C28*40%*220.5, 0)</f>
        <v>59100</v>
      </c>
      <c r="L193" s="157">
        <f>INT((Sheet2!H56+C28)*9)</f>
        <v>2889</v>
      </c>
      <c r="M193" s="1">
        <f>INT((Sheet2!H56+C28)*5)</f>
        <v>1605</v>
      </c>
      <c r="N193" s="1">
        <f t="shared" si="250"/>
        <v>93764</v>
      </c>
      <c r="O193" s="1">
        <f t="shared" si="251"/>
        <v>9376</v>
      </c>
      <c r="P193" s="1">
        <f t="shared" si="252"/>
        <v>2530</v>
      </c>
      <c r="Q193" s="1">
        <f t="shared" si="253"/>
        <v>105670</v>
      </c>
      <c r="R193" s="144">
        <f>Q193*(Sheet2!H56/(Sheet2!H56+C28))</f>
        <v>24958.942681878878</v>
      </c>
      <c r="U193" s="145"/>
    </row>
    <row r="194" spans="8:21">
      <c r="H194" s="142"/>
      <c r="I194">
        <v>7</v>
      </c>
      <c r="J194" s="1">
        <f t="shared" si="249"/>
        <v>30170</v>
      </c>
      <c r="K194" s="1">
        <f>ROUNDDOWN(Sheet2!I56*26.8%*138.7 + Sheet2!I56*43.76%*184.7 + Sheet2!I56*29.44%*220.5 + C29*30%*138.7 + C29*30%*184.7 + C29*40%*220.5, 0)</f>
        <v>64542</v>
      </c>
      <c r="L194" s="157">
        <f>INT((Sheet2!I56+C29)*9)</f>
        <v>3140</v>
      </c>
      <c r="M194" s="1">
        <f>INT((Sheet2!I56+C29)*5)</f>
        <v>1744</v>
      </c>
      <c r="N194" s="1">
        <f t="shared" si="250"/>
        <v>99596</v>
      </c>
      <c r="O194" s="1">
        <f t="shared" si="251"/>
        <v>9960</v>
      </c>
      <c r="P194" s="1">
        <f t="shared" si="252"/>
        <v>2680</v>
      </c>
      <c r="Q194" s="1">
        <f t="shared" si="253"/>
        <v>112230</v>
      </c>
      <c r="R194" s="144">
        <f>Q194*(Sheet2!I56/(Sheet2!I56+C29))</f>
        <v>11225.393852299752</v>
      </c>
      <c r="U194" s="145"/>
    </row>
    <row r="195" spans="8:21">
      <c r="H195" s="142"/>
      <c r="I195">
        <v>8</v>
      </c>
      <c r="J195" s="1">
        <f t="shared" si="249"/>
        <v>30170</v>
      </c>
      <c r="K195" s="1">
        <f>ROUNDDOWN(Sheet2!J56*26.88%*138.7 + Sheet2!J56*45.15%*184.7 + Sheet2!J56*27.97%*220.5 + C30*30%*138.7 + C30*30%*184.7 + C30*40%*220.5, 0)</f>
        <v>71289</v>
      </c>
      <c r="L195" s="157">
        <f>INT((Sheet2!J56+C30)*9)</f>
        <v>3468</v>
      </c>
      <c r="M195" s="1">
        <f>INT((Sheet2!J56+C30)*5)</f>
        <v>1926</v>
      </c>
      <c r="N195" s="1">
        <f t="shared" si="250"/>
        <v>106853</v>
      </c>
      <c r="O195" s="1">
        <f t="shared" si="251"/>
        <v>10685</v>
      </c>
      <c r="P195" s="1">
        <f t="shared" si="252"/>
        <v>2880</v>
      </c>
      <c r="Q195" s="1">
        <f t="shared" si="253"/>
        <v>120410</v>
      </c>
      <c r="R195" s="144">
        <f>Q195*(Sheet2!J56/(Sheet2!J56+C30))</f>
        <v>9866.6424279239855</v>
      </c>
      <c r="U195" s="145"/>
    </row>
    <row r="196" spans="8:21">
      <c r="H196" s="142"/>
      <c r="I196">
        <v>9</v>
      </c>
      <c r="J196" s="1">
        <f t="shared" si="249"/>
        <v>30170</v>
      </c>
      <c r="K196" s="1">
        <f>ROUNDDOWN(Sheet2!K56*30.32%*125.8 + Sheet2!K56*40.48%*153.8 + Sheet2!K56*29.2%*172.4 + C31*30%*125.8 + C31*30%*153.8 + C31*40%*172.4, 0)</f>
        <v>50351</v>
      </c>
      <c r="L196" s="157">
        <f>INT((Sheet2!K56+C31)*9)</f>
        <v>2970</v>
      </c>
      <c r="M196" s="1">
        <f>INT((Sheet2!K56+C31)*5)</f>
        <v>1650</v>
      </c>
      <c r="N196" s="1">
        <f t="shared" si="250"/>
        <v>85141</v>
      </c>
      <c r="O196" s="1">
        <f t="shared" si="251"/>
        <v>8514</v>
      </c>
      <c r="P196" s="1">
        <f t="shared" si="252"/>
        <v>2290</v>
      </c>
      <c r="Q196" s="1">
        <f t="shared" si="253"/>
        <v>95940</v>
      </c>
      <c r="R196" s="144">
        <f>Q196*(Sheet2!K56/(Sheet2!K56+C31))</f>
        <v>13627.295284592567</v>
      </c>
      <c r="U196" s="145"/>
    </row>
    <row r="197" spans="8:21">
      <c r="H197" s="142"/>
      <c r="I197">
        <v>10</v>
      </c>
      <c r="J197" s="1">
        <f t="shared" si="249"/>
        <v>30170</v>
      </c>
      <c r="K197" s="1">
        <f>ROUNDDOWN(Sheet2!L56*42.34%*125.8 + Sheet2!L56*28.1%*153.8 + Sheet2!L56*29.56%*172.4 + C32*30%*125.8 + C32*30%*153.8 + C32*40%*172.4, 0)</f>
        <v>44154</v>
      </c>
      <c r="L197" s="157">
        <f>INT((Sheet2!L56+C32)*9)</f>
        <v>2614</v>
      </c>
      <c r="M197" s="1">
        <f>INT((Sheet2!L56+C32)*5)</f>
        <v>1452</v>
      </c>
      <c r="N197" s="1">
        <f t="shared" si="250"/>
        <v>78390</v>
      </c>
      <c r="O197" s="1">
        <f t="shared" si="251"/>
        <v>7839</v>
      </c>
      <c r="P197" s="1">
        <f t="shared" si="252"/>
        <v>2110</v>
      </c>
      <c r="Q197" s="1">
        <f t="shared" si="253"/>
        <v>88330</v>
      </c>
      <c r="R197" s="144">
        <f>Q197*(Sheet2!L56/(Sheet2!L56+C32))</f>
        <v>13741.177882780568</v>
      </c>
      <c r="U197" s="145"/>
    </row>
    <row r="198" spans="8:21">
      <c r="H198" s="142"/>
      <c r="I198">
        <v>11</v>
      </c>
      <c r="J198" s="1">
        <f t="shared" si="249"/>
        <v>30170</v>
      </c>
      <c r="K198" s="1">
        <f>ROUNDDOWN(Sheet2!M56*44.43%*138.7 + Sheet2!M56*27.22%*184.7 + Sheet2!M56*28.35%*220.5 + C33*30%*138.7 + C33*30%*184.7 + C33*40%*220.5, 0)</f>
        <v>77558</v>
      </c>
      <c r="L198" s="157">
        <f>INT((Sheet2!M56+C33)*9)</f>
        <v>3859</v>
      </c>
      <c r="M198" s="1">
        <f>INT((Sheet2!M56+C33)*5)</f>
        <v>2144</v>
      </c>
      <c r="N198" s="1">
        <f t="shared" si="250"/>
        <v>113731</v>
      </c>
      <c r="O198" s="1">
        <f t="shared" si="251"/>
        <v>11373</v>
      </c>
      <c r="P198" s="1">
        <f t="shared" si="252"/>
        <v>3070</v>
      </c>
      <c r="Q198" s="1">
        <f t="shared" si="253"/>
        <v>128170</v>
      </c>
      <c r="R198" s="144">
        <f>Q198*(Sheet2!M56/(Sheet2!M56+C33))</f>
        <v>51716.269140865617</v>
      </c>
      <c r="U198" s="145"/>
    </row>
    <row r="199" spans="8:21">
      <c r="H199" s="142"/>
      <c r="I199">
        <v>12</v>
      </c>
      <c r="J199" s="1">
        <f t="shared" si="249"/>
        <v>30170</v>
      </c>
      <c r="K199" s="1">
        <f>ROUNDDOWN(Sheet2!N56*43.82%*138.7 + Sheet2!N56*28.18%*184.7 + Sheet2!N56*28%*220.5 + C34*30%*138.7 + C34*30%*184.7 + C34*40%*220.5, 0)</f>
        <v>111422</v>
      </c>
      <c r="L199" s="157">
        <f>INT((Sheet2!N56+C34)*9)</f>
        <v>5594</v>
      </c>
      <c r="M199" s="1">
        <f>INT((Sheet2!N56+C34)*5)</f>
        <v>3107</v>
      </c>
      <c r="N199" s="1">
        <f t="shared" si="250"/>
        <v>150293</v>
      </c>
      <c r="O199" s="1">
        <f t="shared" si="251"/>
        <v>15029</v>
      </c>
      <c r="P199" s="1">
        <f t="shared" si="252"/>
        <v>4050</v>
      </c>
      <c r="Q199" s="1">
        <f t="shared" si="253"/>
        <v>169370</v>
      </c>
      <c r="R199" s="144">
        <f>Q199*(Sheet2!N56/(Sheet2!N56+C34))</f>
        <v>94707.231548240714</v>
      </c>
      <c r="U199" s="145"/>
    </row>
    <row r="200" spans="8:21">
      <c r="H200" s="142"/>
      <c r="I200" t="s">
        <v>79</v>
      </c>
      <c r="J200" s="1" t="s">
        <v>384</v>
      </c>
      <c r="K200" s="1" t="s">
        <v>385</v>
      </c>
      <c r="L200" s="1" t="s">
        <v>386</v>
      </c>
      <c r="M200" s="1" t="s">
        <v>387</v>
      </c>
      <c r="N200" s="1" t="s">
        <v>388</v>
      </c>
      <c r="O200" s="1" t="s">
        <v>389</v>
      </c>
      <c r="P200" s="1" t="s">
        <v>390</v>
      </c>
      <c r="Q200" s="1" t="s">
        <v>391</v>
      </c>
      <c r="R200" s="1" t="s">
        <v>430</v>
      </c>
      <c r="S200" s="144">
        <f>SUM(R201:R212)</f>
        <v>441054.72396851599</v>
      </c>
      <c r="T200" s="144">
        <f>Sheet2!$O$18</f>
        <v>1157329.3336407086</v>
      </c>
      <c r="U200" s="147">
        <f>(T200-S200)/T200</f>
        <v>0.61890301131394221</v>
      </c>
    </row>
    <row r="201" spans="8:21">
      <c r="H201" s="142"/>
      <c r="I201">
        <v>1</v>
      </c>
      <c r="J201" s="1">
        <f t="shared" ref="J201:J211" si="254">$C$170*($D$109+3)</f>
        <v>30170</v>
      </c>
      <c r="K201">
        <f>ROUNDDOWN(Sheet2!C57*43.37%*138.7 + Sheet2!C57*28.76%*184.7 + Sheet2!C57*27.87%*220.5 + C23*30%*138.7 + C23*30%*184.7 + C23*40%*220.5, 0)</f>
        <v>109908</v>
      </c>
      <c r="L201" s="157">
        <f>INT((Sheet2!C57+C23)*9)</f>
        <v>5496</v>
      </c>
      <c r="M201" s="1">
        <f>INT((Sheet2!C57+C23)*5)</f>
        <v>3053</v>
      </c>
      <c r="N201" s="1">
        <f t="shared" ref="N201:N212" si="255">SUM(J201:M201)</f>
        <v>148627</v>
      </c>
      <c r="O201" s="1">
        <f t="shared" ref="O201:O212" si="256">ROUND(N201*0.1, 0)</f>
        <v>14863</v>
      </c>
      <c r="P201" s="1">
        <f t="shared" ref="P201:P212" si="257">FLOOR(N201*0.027, 10)</f>
        <v>4010</v>
      </c>
      <c r="Q201" s="1">
        <f t="shared" ref="Q201:Q212" si="258">FLOOR(N201+O201+P201, 10)</f>
        <v>167500</v>
      </c>
      <c r="R201" s="144">
        <f>Q201*(Sheet2!C57/(Sheet2!C57+C23))</f>
        <v>83706.219866113883</v>
      </c>
      <c r="U201" s="145"/>
    </row>
    <row r="202" spans="8:21">
      <c r="H202" s="142"/>
      <c r="I202">
        <v>2</v>
      </c>
      <c r="J202" s="1">
        <f t="shared" si="254"/>
        <v>30170</v>
      </c>
      <c r="K202" s="1">
        <f>ROUNDDOWN(Sheet2!D57*44.03%*138.7 + Sheet2!D57*28.8%*184.7 + Sheet2!D57*27.16%*220.5 + C24*30%*138.7 + C24*30%*184.7 + C24*40%*220.5, 0)</f>
        <v>116719</v>
      </c>
      <c r="L202" s="157">
        <f>INT((Sheet2!D57+C24)*9)</f>
        <v>5859</v>
      </c>
      <c r="M202" s="1">
        <f>INT((Sheet2!D57+C24)*5)</f>
        <v>3255</v>
      </c>
      <c r="N202" s="1">
        <f t="shared" si="255"/>
        <v>156003</v>
      </c>
      <c r="O202" s="1">
        <f t="shared" si="256"/>
        <v>15600</v>
      </c>
      <c r="P202" s="1">
        <f t="shared" si="257"/>
        <v>4210</v>
      </c>
      <c r="Q202" s="1">
        <f t="shared" si="258"/>
        <v>175810</v>
      </c>
      <c r="R202" s="144">
        <f>Q202*(Sheet2!D57/(Sheet2!D57+C24))</f>
        <v>94615.645098426583</v>
      </c>
      <c r="U202" s="145"/>
    </row>
    <row r="203" spans="8:21">
      <c r="H203" s="142"/>
      <c r="I203">
        <v>3</v>
      </c>
      <c r="J203" s="1">
        <f t="shared" si="254"/>
        <v>30170</v>
      </c>
      <c r="K203" s="1">
        <f>ROUNDDOWN(Sheet2!E57*44.16%*125.8 + Sheet2!E57*28.26%*153.8 + Sheet2!E57*27.58%*172.4 + C25*30%*125.8 + C25*30%*153.8 + C25*40%*172.4, 0)</f>
        <v>62317</v>
      </c>
      <c r="L203" s="157">
        <f>INT((Sheet2!E57+C25)*9)</f>
        <v>3719</v>
      </c>
      <c r="M203" s="1">
        <f>INT((Sheet2!E57+C25)*5)</f>
        <v>2066</v>
      </c>
      <c r="N203" s="1">
        <f t="shared" si="255"/>
        <v>98272</v>
      </c>
      <c r="O203" s="1">
        <f t="shared" si="256"/>
        <v>9827</v>
      </c>
      <c r="P203" s="1">
        <f t="shared" si="257"/>
        <v>2650</v>
      </c>
      <c r="Q203" s="1">
        <f t="shared" si="258"/>
        <v>110740</v>
      </c>
      <c r="R203" s="144">
        <f>Q203*(Sheet2!E57/(Sheet2!E57+C25))</f>
        <v>36304.299052247661</v>
      </c>
      <c r="U203" s="145"/>
    </row>
    <row r="204" spans="8:21">
      <c r="H204" s="142"/>
      <c r="I204">
        <v>4</v>
      </c>
      <c r="J204" s="1">
        <f t="shared" si="254"/>
        <v>30170</v>
      </c>
      <c r="K204" s="1">
        <f>ROUNDDOWN(Sheet2!F57*42.51%*125.8 + Sheet2!F57*27.79%*153.8 + Sheet2!F57*29.7%*172.4 + C26*30%*125.8 + C26*30%*153.8 + C26*40%*172.4, 0)</f>
        <v>51200</v>
      </c>
      <c r="L204" s="157">
        <f>INT((Sheet2!F57+C26)*9)</f>
        <v>3041</v>
      </c>
      <c r="M204" s="1">
        <f>INT((Sheet2!F57+C26)*5)</f>
        <v>1689</v>
      </c>
      <c r="N204" s="1">
        <f t="shared" si="255"/>
        <v>86100</v>
      </c>
      <c r="O204" s="1">
        <f t="shared" si="256"/>
        <v>8610</v>
      </c>
      <c r="P204" s="1">
        <f t="shared" si="257"/>
        <v>2320</v>
      </c>
      <c r="Q204" s="1">
        <f t="shared" si="258"/>
        <v>97030</v>
      </c>
      <c r="R204" s="144">
        <f>Q204*(Sheet2!F57/(Sheet2!F57+C26))</f>
        <v>23635.083643360442</v>
      </c>
      <c r="U204" s="145"/>
    </row>
    <row r="205" spans="8:21">
      <c r="H205" s="142"/>
      <c r="I205">
        <v>5</v>
      </c>
      <c r="J205" s="1">
        <f t="shared" si="254"/>
        <v>30170</v>
      </c>
      <c r="K205" s="1">
        <f>ROUNDDOWN(Sheet2!G57*38.44%*125.8 + Sheet2!G57*30.44%*153.8 + Sheet2!G57*31.12%*172.4 + C27*30%*125.8 + C27*30%*153.8 + C27*40%*172.4, 0)</f>
        <v>47405</v>
      </c>
      <c r="L205" s="157">
        <f>INT((Sheet2!G57+C27)*9)</f>
        <v>2807</v>
      </c>
      <c r="M205" s="1">
        <f>INT((Sheet2!G57+C27)*5)</f>
        <v>1559</v>
      </c>
      <c r="N205" s="1">
        <f t="shared" si="255"/>
        <v>81941</v>
      </c>
      <c r="O205" s="1">
        <f t="shared" si="256"/>
        <v>8194</v>
      </c>
      <c r="P205" s="1">
        <f t="shared" si="257"/>
        <v>2210</v>
      </c>
      <c r="Q205" s="1">
        <f t="shared" si="258"/>
        <v>92340</v>
      </c>
      <c r="R205" s="144">
        <f>Q205*(Sheet2!G57/(Sheet2!G57+C27))</f>
        <v>20265.079521134954</v>
      </c>
      <c r="U205" s="145"/>
    </row>
    <row r="206" spans="8:21">
      <c r="H206" s="142"/>
      <c r="I206">
        <v>6</v>
      </c>
      <c r="J206" s="1">
        <f t="shared" si="254"/>
        <v>30170</v>
      </c>
      <c r="K206" s="1">
        <f>ROUNDDOWN(Sheet2!H57*31.92%*138.7 + Sheet2!H57*38.86%*184.7 + Sheet2!H57*29.22%*220.5 + C28*30%*138.7 + C28*30%*184.7 + C28*40%*220.5, 0)</f>
        <v>56553</v>
      </c>
      <c r="L206" s="157">
        <f>INT((Sheet2!H57+C28)*9)</f>
        <v>2762</v>
      </c>
      <c r="M206" s="1">
        <f>INT((Sheet2!H57+C28)*5)</f>
        <v>1534</v>
      </c>
      <c r="N206" s="1">
        <f t="shared" si="255"/>
        <v>91019</v>
      </c>
      <c r="O206" s="1">
        <f t="shared" si="256"/>
        <v>9102</v>
      </c>
      <c r="P206" s="1">
        <f t="shared" si="257"/>
        <v>2450</v>
      </c>
      <c r="Q206" s="1">
        <f t="shared" si="258"/>
        <v>102570</v>
      </c>
      <c r="R206" s="144">
        <f>Q206*(Sheet2!H57/(Sheet2!H57+C28))</f>
        <v>20624.725598506033</v>
      </c>
      <c r="U206" s="145"/>
    </row>
    <row r="207" spans="8:21">
      <c r="H207" s="142"/>
      <c r="I207">
        <v>7</v>
      </c>
      <c r="J207" s="1">
        <f t="shared" si="254"/>
        <v>30170</v>
      </c>
      <c r="K207" s="1">
        <f>ROUNDDOWN(Sheet2!I57*26.8%*138.7 + Sheet2!I57*43.76%*184.7 + Sheet2!I57*29.44%*220.5 + C29*30%*138.7 + C29*30%*184.7 + C29*40%*220.5, 0)</f>
        <v>63354</v>
      </c>
      <c r="L207" s="157">
        <f>INT((Sheet2!I57+C29)*9)</f>
        <v>3081</v>
      </c>
      <c r="M207" s="1">
        <f>INT((Sheet2!I57+C29)*5)</f>
        <v>1712</v>
      </c>
      <c r="N207" s="1">
        <f t="shared" si="255"/>
        <v>98317</v>
      </c>
      <c r="O207" s="1">
        <f t="shared" si="256"/>
        <v>9832</v>
      </c>
      <c r="P207" s="1">
        <f t="shared" si="257"/>
        <v>2650</v>
      </c>
      <c r="Q207" s="1">
        <f t="shared" si="258"/>
        <v>110790</v>
      </c>
      <c r="R207" s="144">
        <f>Q207*(Sheet2!I57/(Sheet2!I57+C29))</f>
        <v>9190.1886783329865</v>
      </c>
      <c r="U207" s="145"/>
    </row>
    <row r="208" spans="8:21">
      <c r="H208" s="142"/>
      <c r="I208">
        <v>8</v>
      </c>
      <c r="J208" s="1">
        <f t="shared" si="254"/>
        <v>30170</v>
      </c>
      <c r="K208" s="1">
        <f>ROUNDDOWN(Sheet2!J57*26.88%*138.7 + Sheet2!J57*45.15%*184.7 + Sheet2!J57*27.97%*220.5 + C30*30%*138.7 + C30*30%*184.7 + C30*40%*220.5, 0)</f>
        <v>70217</v>
      </c>
      <c r="L208" s="157">
        <f>INT((Sheet2!J57+C30)*9)</f>
        <v>3415</v>
      </c>
      <c r="M208" s="1">
        <f>INT((Sheet2!J57+C30)*5)</f>
        <v>1897</v>
      </c>
      <c r="N208" s="1">
        <f t="shared" si="255"/>
        <v>105699</v>
      </c>
      <c r="O208" s="1">
        <f t="shared" si="256"/>
        <v>10570</v>
      </c>
      <c r="P208" s="1">
        <f t="shared" si="257"/>
        <v>2850</v>
      </c>
      <c r="Q208" s="1">
        <f t="shared" si="258"/>
        <v>119110</v>
      </c>
      <c r="R208" s="144">
        <f>Q208*(Sheet2!J57/(Sheet2!J57+C30))</f>
        <v>8066.7746363356073</v>
      </c>
      <c r="U208" s="145"/>
    </row>
    <row r="209" spans="8:21">
      <c r="H209" s="142"/>
      <c r="I209">
        <v>9</v>
      </c>
      <c r="J209" s="1">
        <f t="shared" si="254"/>
        <v>30170</v>
      </c>
      <c r="K209" s="1">
        <f>ROUNDDOWN(Sheet2!K57*30.32%*125.8 + Sheet2!K57*40.48%*153.8 + Sheet2!K57*29.2%*172.4 + C31*30%*125.8 + C31*30%*153.8 + C31*40%*172.4, 0)</f>
        <v>49036</v>
      </c>
      <c r="L209" s="157">
        <f>INT((Sheet2!K57+C31)*9)</f>
        <v>2892</v>
      </c>
      <c r="M209" s="1">
        <f>INT((Sheet2!K57+C31)*5)</f>
        <v>1606</v>
      </c>
      <c r="N209" s="1">
        <f t="shared" si="255"/>
        <v>83704</v>
      </c>
      <c r="O209" s="1">
        <f t="shared" si="256"/>
        <v>8370</v>
      </c>
      <c r="P209" s="1">
        <f t="shared" si="257"/>
        <v>2260</v>
      </c>
      <c r="Q209" s="1">
        <f t="shared" si="258"/>
        <v>94330</v>
      </c>
      <c r="R209" s="144">
        <f>Q209*(Sheet2!K57/(Sheet2!K57+C31))</f>
        <v>11201.219820464152</v>
      </c>
      <c r="U209" s="145"/>
    </row>
    <row r="210" spans="8:21">
      <c r="H210" s="142"/>
      <c r="I210">
        <v>10</v>
      </c>
      <c r="J210" s="1">
        <f t="shared" si="254"/>
        <v>30170</v>
      </c>
      <c r="K210" s="1">
        <f>ROUNDDOWN(Sheet2!L57*42.34%*125.8 + Sheet2!L57*28.1%*153.8 + Sheet2!L57*29.56%*172.4 + C32*30%*125.8 + C32*30%*153.8 + C32*40%*172.4, 0)</f>
        <v>42914</v>
      </c>
      <c r="L210" s="157">
        <f>INT((Sheet2!L57+C32)*9)</f>
        <v>2538</v>
      </c>
      <c r="M210" s="1">
        <f>INT((Sheet2!L57+C32)*5)</f>
        <v>1410</v>
      </c>
      <c r="N210" s="1">
        <f t="shared" si="255"/>
        <v>77032</v>
      </c>
      <c r="O210" s="1">
        <f t="shared" si="256"/>
        <v>7703</v>
      </c>
      <c r="P210" s="1">
        <f t="shared" si="257"/>
        <v>2070</v>
      </c>
      <c r="Q210" s="1">
        <f t="shared" si="258"/>
        <v>86800</v>
      </c>
      <c r="R210" s="144">
        <f>Q210*(Sheet2!L57/(Sheet2!L57+C32))</f>
        <v>11317.887600598046</v>
      </c>
      <c r="U210" s="145"/>
    </row>
    <row r="211" spans="8:21">
      <c r="H211" s="142"/>
      <c r="I211">
        <v>11</v>
      </c>
      <c r="J211" s="1">
        <f t="shared" si="254"/>
        <v>30170</v>
      </c>
      <c r="K211" s="1">
        <f>ROUNDDOWN(Sheet2!M57*44.43%*138.7 + Sheet2!M57*27.22%*184.7 + Sheet2!M57*28.35%*220.5 + C33*30%*138.7 + C33*30%*184.7 + C33*40%*220.5, 0)</f>
        <v>71941</v>
      </c>
      <c r="L211" s="157">
        <f>INT((Sheet2!M57+C33)*9)</f>
        <v>3569</v>
      </c>
      <c r="M211" s="1">
        <f>INT((Sheet2!M57+C33)*5)</f>
        <v>1983</v>
      </c>
      <c r="N211" s="1">
        <f t="shared" si="255"/>
        <v>107663</v>
      </c>
      <c r="O211" s="1">
        <f t="shared" si="256"/>
        <v>10766</v>
      </c>
      <c r="P211" s="1">
        <f t="shared" si="257"/>
        <v>2900</v>
      </c>
      <c r="Q211" s="1">
        <f t="shared" si="258"/>
        <v>121320</v>
      </c>
      <c r="R211" s="144">
        <f>Q211*(Sheet2!M57/(Sheet2!M57+C33))</f>
        <v>43076.97860082081</v>
      </c>
      <c r="U211" s="145"/>
    </row>
    <row r="212" spans="8:21">
      <c r="H212" s="149"/>
      <c r="I212" s="54">
        <v>12</v>
      </c>
      <c r="J212" s="155">
        <f>$C$170*($D$109+3)</f>
        <v>30170</v>
      </c>
      <c r="K212" s="155">
        <f>ROUNDDOWN(Sheet2!N57*43.82%*138.7 + Sheet2!N57*28.18%*184.7 + Sheet2!N57*28%*220.5 + C34*30%*138.7 + C34*30%*184.7 + C34*40%*220.5, 0)</f>
        <v>100131</v>
      </c>
      <c r="L212" s="158">
        <f>INT((Sheet2!N57+C34)*9)</f>
        <v>5011</v>
      </c>
      <c r="M212" s="155">
        <f>INT((Sheet2!N57+C34)*5)</f>
        <v>2784</v>
      </c>
      <c r="N212" s="155">
        <f t="shared" si="255"/>
        <v>138096</v>
      </c>
      <c r="O212" s="155">
        <f t="shared" si="256"/>
        <v>13810</v>
      </c>
      <c r="P212" s="155">
        <f t="shared" si="257"/>
        <v>3720</v>
      </c>
      <c r="Q212" s="155">
        <f t="shared" si="258"/>
        <v>155620</v>
      </c>
      <c r="R212" s="151">
        <f>Q212*(Sheet2!N57/(Sheet2!N57+C34))</f>
        <v>79050.621852174823</v>
      </c>
      <c r="S212" s="155"/>
      <c r="T212" s="155"/>
      <c r="U212" s="152"/>
    </row>
    <row r="213" spans="8:21">
      <c r="H213" s="138" t="s">
        <v>457</v>
      </c>
      <c r="I213" s="153" t="s">
        <v>76</v>
      </c>
      <c r="J213" s="153" t="s">
        <v>384</v>
      </c>
      <c r="K213" s="153" t="s">
        <v>385</v>
      </c>
      <c r="L213" s="153" t="s">
        <v>386</v>
      </c>
      <c r="M213" s="153" t="s">
        <v>387</v>
      </c>
      <c r="N213" s="153" t="s">
        <v>388</v>
      </c>
      <c r="O213" s="153" t="s">
        <v>389</v>
      </c>
      <c r="P213" s="153" t="s">
        <v>390</v>
      </c>
      <c r="Q213" s="153" t="s">
        <v>391</v>
      </c>
      <c r="R213" s="153" t="s">
        <v>430</v>
      </c>
      <c r="S213" s="156">
        <f>SUM(R214:R225)</f>
        <v>626378.01291179215</v>
      </c>
      <c r="T213" s="156">
        <f>Sheet2!$O$18</f>
        <v>1157329.3336407086</v>
      </c>
      <c r="U213" s="141">
        <f>(T213-S213)/T213</f>
        <v>0.45877288797187749</v>
      </c>
    </row>
    <row r="214" spans="8:21">
      <c r="H214" s="142"/>
      <c r="I214">
        <v>1</v>
      </c>
      <c r="J214" s="1">
        <f t="shared" ref="J214:J224" si="259">$C$170*($D$109+3)</f>
        <v>30170</v>
      </c>
      <c r="K214">
        <f>ROUNDDOWN(MAX(Sheet2!C54*43.37% + C23*30% - C37*0.0062%,0)*138.7 + MAX(Sheet2!C54*28.76% + C23*30% - C37*95.4981%,0)*184.7 + MAX(Sheet2!C54*27.87% + C23*40% - C37*4.4957%,0)*220.5,0)</f>
        <v>127184</v>
      </c>
      <c r="L214" s="1">
        <f>INT(MAX(Sheet2!C54+C23-C37,0)*9)</f>
        <v>6500</v>
      </c>
      <c r="M214" s="159">
        <f>INT(MAX(Sheet2!C54+C23-C37,0)*5)</f>
        <v>3611</v>
      </c>
      <c r="N214" s="1">
        <f t="shared" ref="N214:N225" si="260">SUM(J214:M214)</f>
        <v>167465</v>
      </c>
      <c r="O214" s="1">
        <f t="shared" ref="O214:O225" si="261">ROUND(N214*0.1, 0)</f>
        <v>16747</v>
      </c>
      <c r="P214" s="1">
        <f t="shared" ref="P214:P225" si="262">FLOOR(N214*0.027, 10)</f>
        <v>4520</v>
      </c>
      <c r="Q214" s="1">
        <f t="shared" ref="Q214:Q225" si="263">FLOOR(N214+O214+P214, 10)</f>
        <v>188730</v>
      </c>
      <c r="R214" s="144">
        <f>Q214*(Sheet2!C54/(Sheet2!C54+C23))</f>
        <v>125715.30340279809</v>
      </c>
      <c r="U214" s="145"/>
    </row>
    <row r="215" spans="8:21">
      <c r="H215" s="142"/>
      <c r="I215">
        <v>2</v>
      </c>
      <c r="J215" s="1">
        <f t="shared" si="259"/>
        <v>30170</v>
      </c>
      <c r="K215">
        <f>ROUNDDOWN(MAX(Sheet2!D54*44.03% + C24*30% - C38*0.1791%,0)*138.7 + MAX(Sheet2!D54*28.8% + C24*30% - C38*92.1596%,0)*184.7 + MAX(Sheet2!D54*27.16% + C24*40% - C38*7.6613%,0)*220.5,0)</f>
        <v>140019</v>
      </c>
      <c r="L215" s="159">
        <f>INT(MAX(Sheet2!D54+C24-C38,0)*9)</f>
        <v>7200</v>
      </c>
      <c r="M215" s="159">
        <f>INT(MAX(Sheet2!D54+C24-C38,0)*5)</f>
        <v>4000</v>
      </c>
      <c r="N215" s="1">
        <f t="shared" si="260"/>
        <v>181389</v>
      </c>
      <c r="O215" s="1">
        <f t="shared" si="261"/>
        <v>18139</v>
      </c>
      <c r="P215" s="1">
        <f t="shared" si="262"/>
        <v>4890</v>
      </c>
      <c r="Q215" s="1">
        <f t="shared" si="263"/>
        <v>204410</v>
      </c>
      <c r="R215" s="144">
        <f>Q215*(Sheet2!D54/(Sheet2!D54+C24))</f>
        <v>142974.32993706208</v>
      </c>
      <c r="U215" s="145"/>
    </row>
    <row r="216" spans="8:21">
      <c r="H216" s="142"/>
      <c r="I216">
        <v>3</v>
      </c>
      <c r="J216" s="1">
        <f t="shared" si="259"/>
        <v>30170</v>
      </c>
      <c r="K216">
        <f>ROUNDDOWN(MAX(Sheet2!E54*44.16% + C25*30% - C39*1.149%,0)*125.8 + MAX(Sheet2!E54*28.26% + C25*30% - C39*89.637%,0)*153.8 + MAX(Sheet2!E54*27.58% + C25*40% - C39*9.2139%,0)*172.4,0)</f>
        <v>53010</v>
      </c>
      <c r="L216" s="159">
        <f>INT(MAX(Sheet2!E54+C25-C39,0)*9)</f>
        <v>2583</v>
      </c>
      <c r="M216" s="159">
        <f>INT(MAX(Sheet2!E54+C25-C39,0)*5)</f>
        <v>1435</v>
      </c>
      <c r="N216" s="1">
        <f t="shared" si="260"/>
        <v>87198</v>
      </c>
      <c r="O216" s="1">
        <f t="shared" si="261"/>
        <v>8720</v>
      </c>
      <c r="P216" s="1">
        <f t="shared" si="262"/>
        <v>2350</v>
      </c>
      <c r="Q216" s="1">
        <f t="shared" si="263"/>
        <v>98260</v>
      </c>
      <c r="R216" s="144">
        <f>Q216*(Sheet2!E54/(Sheet2!E54+C25))</f>
        <v>48483.925132884724</v>
      </c>
      <c r="U216" s="145"/>
    </row>
    <row r="217" spans="8:21">
      <c r="H217" s="142"/>
      <c r="I217">
        <v>4</v>
      </c>
      <c r="J217" s="1">
        <f t="shared" si="259"/>
        <v>30170</v>
      </c>
      <c r="K217">
        <f>ROUNDDOWN(MAX(Sheet2!F54*42.51% + C26*30% - C40*2.6448%,0)*125.8 + MAX(Sheet2!F54*27.79% + C26*30% - C40*86.8176%,0)*153.8 + MAX(Sheet2!F54*29.7% + C26*40% - C40*10.5375%,0)*172.4,0)</f>
        <v>36990</v>
      </c>
      <c r="L217" s="159">
        <f>INT(MAX(Sheet2!F54+C26-C40,0)*9)</f>
        <v>643</v>
      </c>
      <c r="M217" s="159">
        <f>INT(MAX(Sheet2!F54+C26-C40,0)*5)</f>
        <v>357</v>
      </c>
      <c r="N217" s="1">
        <f t="shared" si="260"/>
        <v>68160</v>
      </c>
      <c r="O217" s="1">
        <f t="shared" si="261"/>
        <v>6816</v>
      </c>
      <c r="P217" s="1">
        <f t="shared" si="262"/>
        <v>1840</v>
      </c>
      <c r="Q217" s="1">
        <f t="shared" si="263"/>
        <v>76810</v>
      </c>
      <c r="R217" s="144">
        <f>Q217*(Sheet2!F54/(Sheet2!F54+C26))</f>
        <v>30063.54529618095</v>
      </c>
      <c r="U217" s="145"/>
    </row>
    <row r="218" spans="8:21">
      <c r="H218" s="142"/>
      <c r="I218">
        <v>5</v>
      </c>
      <c r="J218" s="1">
        <f t="shared" si="259"/>
        <v>30170</v>
      </c>
      <c r="K218">
        <f>ROUNDDOWN(MAX(Sheet2!G54*38.44% + C27*30% - C41*4.1831%,0)*125.8 + MAX(Sheet2!G54*30.44% + C27*30% - C41*84.4735%,0)*153.8 + MAX(Sheet2!G54*31.12% + C27*40% - C41*11.3434%,0)*172.4,0)</f>
        <v>32149</v>
      </c>
      <c r="L218" s="159">
        <f>INT(MAX(Sheet2!G54+C27-C41,0)*9)</f>
        <v>600</v>
      </c>
      <c r="M218" s="159">
        <f>INT(MAX(Sheet2!G54+C27-C41,0)*5)</f>
        <v>333</v>
      </c>
      <c r="N218" s="1">
        <f t="shared" si="260"/>
        <v>63252</v>
      </c>
      <c r="O218" s="1">
        <f t="shared" si="261"/>
        <v>6325</v>
      </c>
      <c r="P218" s="1">
        <f t="shared" si="262"/>
        <v>1700</v>
      </c>
      <c r="Q218" s="1">
        <f t="shared" si="263"/>
        <v>71270</v>
      </c>
      <c r="R218" s="144">
        <f>Q218*(Sheet2!G54/(Sheet2!G54+C27))</f>
        <v>25628.545819663501</v>
      </c>
      <c r="U218" s="145"/>
    </row>
    <row r="219" spans="8:21">
      <c r="H219" s="142"/>
      <c r="I219">
        <v>6</v>
      </c>
      <c r="J219" s="1">
        <f t="shared" si="259"/>
        <v>30170</v>
      </c>
      <c r="K219">
        <f>ROUNDDOWN(MAX(Sheet2!H54*31.92% + C28*30% - C42*4.7395%,0)*138.7 + MAX(Sheet2!H54*38.86% + C28*30% - C42*81.6742%,0)*184.7 + MAX(Sheet2!H54*29.22% + C28*40% - C42*13.5862%,0)*220.5,0)</f>
        <v>35038</v>
      </c>
      <c r="L219" s="159">
        <f>INT(MAX(Sheet2!H54+C28-C42,0)*9)</f>
        <v>805</v>
      </c>
      <c r="M219" s="159">
        <f>INT(MAX(Sheet2!H54+C28-C42,0)*5)</f>
        <v>447</v>
      </c>
      <c r="N219" s="1">
        <f t="shared" si="260"/>
        <v>66460</v>
      </c>
      <c r="O219" s="1">
        <f t="shared" si="261"/>
        <v>6646</v>
      </c>
      <c r="P219" s="1">
        <f t="shared" si="262"/>
        <v>1790</v>
      </c>
      <c r="Q219" s="1">
        <f t="shared" si="263"/>
        <v>74890</v>
      </c>
      <c r="R219" s="144">
        <f>Q219*(Sheet2!H54/(Sheet2!H54+C28))</f>
        <v>25051.340477245791</v>
      </c>
      <c r="U219" s="145"/>
    </row>
    <row r="220" spans="8:21">
      <c r="H220" s="142"/>
      <c r="I220">
        <v>7</v>
      </c>
      <c r="J220" s="1">
        <f t="shared" si="259"/>
        <v>30170</v>
      </c>
      <c r="K220">
        <f>ROUNDDOWN(MAX(Sheet2!I54*26.8% + C29*30% - C43*3.6986%,0)*138.7 + MAX(Sheet2!I54*43.76% + C29*30% - C43*81.8888%,0)*184.7 + MAX(Sheet2!I54*29.44% + C29*40% - C43*14.4126%,0)*220.5,0)</f>
        <v>34631</v>
      </c>
      <c r="L220" s="159">
        <f>INT(MAX(Sheet2!I54+C29-C43,0)*9)</f>
        <v>430</v>
      </c>
      <c r="M220" s="159">
        <f>INT(MAX(Sheet2!I54+C29-C43,0)*5)</f>
        <v>238</v>
      </c>
      <c r="N220" s="1">
        <f t="shared" si="260"/>
        <v>65469</v>
      </c>
      <c r="O220" s="1">
        <f t="shared" si="261"/>
        <v>6547</v>
      </c>
      <c r="P220" s="1">
        <f t="shared" si="262"/>
        <v>1760</v>
      </c>
      <c r="Q220" s="1">
        <f t="shared" si="263"/>
        <v>73770</v>
      </c>
      <c r="R220" s="144">
        <f>Q220*(Sheet2!I54/(Sheet2!I54+C29))</f>
        <v>11287.335166794432</v>
      </c>
      <c r="U220" s="145"/>
    </row>
    <row r="221" spans="8:21">
      <c r="H221" s="142"/>
      <c r="I221">
        <v>8</v>
      </c>
      <c r="J221" s="1">
        <f t="shared" si="259"/>
        <v>30170</v>
      </c>
      <c r="K221">
        <f>ROUNDDOWN(MAX(Sheet2!J54*26.88% + C30*30% - C44*3.2913%,0)*138.7 + MAX(Sheet2!J54*45.15% + C30*30% - C44*85.89%,0)*184.7 + MAX(Sheet2!J54*27.97% + C30*40% - C44*10.8187%,0)*220.5,0)</f>
        <v>43780</v>
      </c>
      <c r="L221" s="159">
        <f>INT(MAX(Sheet2!J54+C30-C44,0)*9)</f>
        <v>1357</v>
      </c>
      <c r="M221" s="159">
        <f>INT(MAX(Sheet2!J54+C30-C44,0)*5)</f>
        <v>754</v>
      </c>
      <c r="N221" s="1">
        <f t="shared" si="260"/>
        <v>76061</v>
      </c>
      <c r="O221" s="1">
        <f t="shared" si="261"/>
        <v>7606</v>
      </c>
      <c r="P221" s="1">
        <f t="shared" si="262"/>
        <v>2050</v>
      </c>
      <c r="Q221" s="1">
        <f t="shared" si="263"/>
        <v>85710</v>
      </c>
      <c r="R221" s="144">
        <f>Q221*(Sheet2!J54/(Sheet2!J54+C30))</f>
        <v>10859.348972466816</v>
      </c>
      <c r="U221" s="145"/>
    </row>
    <row r="222" spans="8:21">
      <c r="H222" s="142"/>
      <c r="I222">
        <v>9</v>
      </c>
      <c r="J222" s="1">
        <f t="shared" si="259"/>
        <v>30170</v>
      </c>
      <c r="K222">
        <f>ROUNDDOWN(MAX(Sheet2!K54*30.32% + C31*30% - C45*2.4481%,0)*125.8 + MAX(Sheet2!K54*40.48% + C31*30% - C45*89.5608%,0)*153.8 + MAX(Sheet2!K54*29.2% + C31*40% - C45*7.9911%,0)*172.4,0)</f>
        <v>32967</v>
      </c>
      <c r="L222" s="159">
        <f>INT(MAX(Sheet2!K54+C31-C45,0)*9)</f>
        <v>1102</v>
      </c>
      <c r="M222" s="159">
        <f>INT(MAX(Sheet2!K54+C31-C45,0)*5)</f>
        <v>612</v>
      </c>
      <c r="N222" s="1">
        <f t="shared" si="260"/>
        <v>64851</v>
      </c>
      <c r="O222" s="1">
        <f t="shared" si="261"/>
        <v>6485</v>
      </c>
      <c r="P222" s="1">
        <f t="shared" si="262"/>
        <v>1750</v>
      </c>
      <c r="Q222" s="1">
        <f t="shared" si="263"/>
        <v>73080</v>
      </c>
      <c r="R222" s="144">
        <f>Q222*(Sheet2!K54/(Sheet2!K54+C31))</f>
        <v>15495.901186895389</v>
      </c>
      <c r="U222" s="145"/>
    </row>
    <row r="223" spans="8:21">
      <c r="H223" s="142"/>
      <c r="I223">
        <v>10</v>
      </c>
      <c r="J223" s="1">
        <f t="shared" si="259"/>
        <v>30170</v>
      </c>
      <c r="K223">
        <f>ROUNDDOWN(MAX(Sheet2!L54*42.34% + C32*30% - C46*1.3153%,0)*125.8 + MAX(Sheet2!L54*28.1% + C32*30% - C46*93.9251%,0)*153.8 + MAX(Sheet2!L54*29.56% + C32*40% - C46*4.7596%,0)*172.4,0)</f>
        <v>31408</v>
      </c>
      <c r="L223" s="159">
        <f>INT(MAX(Sheet2!L54+C32-C46,0)*9)</f>
        <v>658</v>
      </c>
      <c r="M223" s="159">
        <f>INT(MAX(Sheet2!L54+C32-C46,0)*5)</f>
        <v>365</v>
      </c>
      <c r="N223" s="1">
        <f t="shared" si="260"/>
        <v>62601</v>
      </c>
      <c r="O223" s="1">
        <f t="shared" si="261"/>
        <v>6260</v>
      </c>
      <c r="P223" s="1">
        <f t="shared" si="262"/>
        <v>1690</v>
      </c>
      <c r="Q223" s="1">
        <f t="shared" si="263"/>
        <v>70550</v>
      </c>
      <c r="R223" s="144">
        <f>Q223*(Sheet2!L54/(Sheet2!L54+C32))</f>
        <v>16257.723542054</v>
      </c>
      <c r="U223" s="145"/>
    </row>
    <row r="224" spans="8:21">
      <c r="H224" s="142"/>
      <c r="I224">
        <v>11</v>
      </c>
      <c r="J224" s="1">
        <f t="shared" si="259"/>
        <v>30170</v>
      </c>
      <c r="K224">
        <f>ROUNDDOWN(MAX(Sheet2!M54*44.43% + C33*30% - C47*0.3291%,0)*138.7 + MAX(Sheet2!M54*27.22% + C33*30% - C47*97.1714%,0)*184.7 + MAX(Sheet2!M54*28.35% + C33*40% - C47*2.4994%,0)*220.5,0)</f>
        <v>66701</v>
      </c>
      <c r="L224" s="159">
        <f>INT(MAX(Sheet2!M54+C33-C47,0)*9)</f>
        <v>2694</v>
      </c>
      <c r="M224" s="159">
        <f>INT(MAX(Sheet2!M54+C33-C47,0)*5)</f>
        <v>1497</v>
      </c>
      <c r="N224" s="1">
        <f t="shared" si="260"/>
        <v>101062</v>
      </c>
      <c r="O224" s="1">
        <f t="shared" si="261"/>
        <v>10106</v>
      </c>
      <c r="P224" s="1">
        <f t="shared" si="262"/>
        <v>2720</v>
      </c>
      <c r="Q224" s="1">
        <f t="shared" si="263"/>
        <v>113880</v>
      </c>
      <c r="R224" s="144">
        <f>Q224*(Sheet2!M54/(Sheet2!M54+C33))</f>
        <v>59638.823930286431</v>
      </c>
      <c r="U224" s="145"/>
    </row>
    <row r="225" spans="8:21">
      <c r="H225" s="142"/>
      <c r="I225">
        <v>12</v>
      </c>
      <c r="J225" s="1">
        <f>$C$170*($D$109+3)</f>
        <v>30170</v>
      </c>
      <c r="K225">
        <f>ROUNDDOWN(MAX(Sheet2!N54*43.82% + C34*30% - C48*0.0353%,0)*138.7 + MAX(Sheet2!N54*28.18% + C34*30% - C48*97.784%,0)*184.7 + MAX(Sheet2!N54*28% + C34*40% - C48*2.1807%,0)*220.5,0)</f>
        <v>112321</v>
      </c>
      <c r="L225" s="159">
        <f>INT(MAX(Sheet2!N54+C34-C48,0)*9)</f>
        <v>5752</v>
      </c>
      <c r="M225" s="159">
        <f>INT(MAX(Sheet2!N54+C34-C48,0)*5)</f>
        <v>3195</v>
      </c>
      <c r="N225" s="1">
        <f t="shared" si="260"/>
        <v>151438</v>
      </c>
      <c r="O225" s="1">
        <f t="shared" si="261"/>
        <v>15144</v>
      </c>
      <c r="P225" s="1">
        <f t="shared" si="262"/>
        <v>4080</v>
      </c>
      <c r="Q225" s="1">
        <f t="shared" si="263"/>
        <v>170660</v>
      </c>
      <c r="R225" s="144">
        <f>Q225*(Sheet2!N54/(Sheet2!N54+C34))</f>
        <v>114921.89004745996</v>
      </c>
      <c r="U225" s="145"/>
    </row>
    <row r="226" spans="8:21">
      <c r="H226" s="142"/>
      <c r="I226" s="6" t="s">
        <v>407</v>
      </c>
      <c r="J226" s="1" t="s">
        <v>384</v>
      </c>
      <c r="K226" s="1" t="s">
        <v>385</v>
      </c>
      <c r="L226" s="1" t="s">
        <v>386</v>
      </c>
      <c r="M226" s="1" t="s">
        <v>387</v>
      </c>
      <c r="N226" s="1" t="s">
        <v>388</v>
      </c>
      <c r="O226" s="1" t="s">
        <v>389</v>
      </c>
      <c r="P226" s="1" t="s">
        <v>390</v>
      </c>
      <c r="Q226" s="1" t="s">
        <v>391</v>
      </c>
      <c r="R226" s="1" t="s">
        <v>430</v>
      </c>
      <c r="S226" s="144">
        <f>SUM(R227:R238)</f>
        <v>566669.74174808641</v>
      </c>
      <c r="T226" s="144">
        <f>Sheet2!$O$18</f>
        <v>1157329.3336407086</v>
      </c>
      <c r="U226" s="147">
        <f>(T226-S226)/T226</f>
        <v>0.51036431439487884</v>
      </c>
    </row>
    <row r="227" spans="8:21">
      <c r="H227" s="142"/>
      <c r="I227">
        <v>1</v>
      </c>
      <c r="J227" s="1">
        <f t="shared" ref="J227:J237" si="264">$C$170*($D$109+3)</f>
        <v>30170</v>
      </c>
      <c r="K227">
        <f>ROUNDDOWN(MAX(Sheet2!C55*43.37% + C23*30% - C37*0.0062%,0)*138.7 + MAX(Sheet2!C55*28.76% + C23*30% - C37*95.4981%,0)*184.7 + MAX(Sheet2!C55*27.87% + C23*40% - C37*4.4957%,0)*220.5,0)</f>
        <v>116766</v>
      </c>
      <c r="L227" s="159">
        <f>INT(MAX(Sheet2!C55+C23-C37,0)*9)</f>
        <v>5964</v>
      </c>
      <c r="M227" s="159">
        <f>INT(MAX(Sheet2!C55+C23-C37,0)*5)</f>
        <v>3313</v>
      </c>
      <c r="N227" s="1">
        <f t="shared" ref="N227:N238" si="265">SUM(J227:M227)</f>
        <v>156213</v>
      </c>
      <c r="O227" s="1">
        <f t="shared" ref="O227:O238" si="266">ROUND(N227*0.1, 0)</f>
        <v>15621</v>
      </c>
      <c r="P227" s="1">
        <f t="shared" ref="P227:P238" si="267">FLOOR(N227*0.027, 10)</f>
        <v>4210</v>
      </c>
      <c r="Q227" s="1">
        <f t="shared" ref="Q227:Q238" si="268">FLOOR(N227+O227+P227, 10)</f>
        <v>176040</v>
      </c>
      <c r="R227" s="159">
        <f>Q227*(Sheet2!C55/(Sheet2!C55+C23))</f>
        <v>113165.22648869353</v>
      </c>
      <c r="U227" s="145"/>
    </row>
    <row r="228" spans="8:21">
      <c r="H228" s="142"/>
      <c r="I228">
        <v>2</v>
      </c>
      <c r="J228" s="1">
        <f t="shared" si="264"/>
        <v>30170</v>
      </c>
      <c r="K228">
        <f>ROUNDDOWN(MAX(Sheet2!D55*44.03% + C24*30% - C38*0.1791%,0)*138.7 + MAX(Sheet2!D55*28.8% + C24*30% - C38*92.1596%,0)*184.7 + MAX(Sheet2!D55*27.16% + C24*40% - C38*7.6613%,0)*220.5,0)</f>
        <v>128096</v>
      </c>
      <c r="L228" s="159">
        <f>INT(MAX(Sheet2!D55+C24-C38,0)*9)</f>
        <v>6584</v>
      </c>
      <c r="M228" s="159">
        <f>INT(MAX(Sheet2!D55+C24-C38,0)*5)</f>
        <v>3658</v>
      </c>
      <c r="N228" s="1">
        <f t="shared" si="265"/>
        <v>168508</v>
      </c>
      <c r="O228" s="1">
        <f t="shared" si="266"/>
        <v>16851</v>
      </c>
      <c r="P228" s="1">
        <f t="shared" si="267"/>
        <v>4540</v>
      </c>
      <c r="Q228" s="1">
        <f t="shared" si="268"/>
        <v>189890</v>
      </c>
      <c r="R228" s="159">
        <f>Q228*(Sheet2!D55/(Sheet2!D55+C24))</f>
        <v>128626.41282251953</v>
      </c>
      <c r="U228" s="145"/>
    </row>
    <row r="229" spans="8:21">
      <c r="H229" s="142"/>
      <c r="I229">
        <v>3</v>
      </c>
      <c r="J229" s="1">
        <f t="shared" si="264"/>
        <v>30170</v>
      </c>
      <c r="K229">
        <f>ROUNDDOWN(MAX(Sheet2!E55*44.16% + C25*30% - C39*1.149%,0)*125.8 + MAX(Sheet2!E55*28.26% + C25*30% - C39*89.637%,0)*153.8 + MAX(Sheet2!E55*27.58% + C25*40% - C39*9.2139%,0)*172.4,0)</f>
        <v>50280</v>
      </c>
      <c r="L229" s="159">
        <f>INT(MAX(Sheet2!E55+C25-C39,0)*9)</f>
        <v>2345</v>
      </c>
      <c r="M229" s="159">
        <f>INT(MAX(Sheet2!E55+C25-C39,0)*5)</f>
        <v>1302</v>
      </c>
      <c r="N229" s="1">
        <f t="shared" si="265"/>
        <v>84097</v>
      </c>
      <c r="O229" s="1">
        <f t="shared" si="266"/>
        <v>8410</v>
      </c>
      <c r="P229" s="1">
        <f t="shared" si="267"/>
        <v>2270</v>
      </c>
      <c r="Q229" s="1">
        <f t="shared" si="268"/>
        <v>94770</v>
      </c>
      <c r="R229" s="159">
        <f>Q229*(Sheet2!E55/(Sheet2!E55+C25))</f>
        <v>44326.99770400954</v>
      </c>
      <c r="U229" s="145"/>
    </row>
    <row r="230" spans="8:21">
      <c r="H230" s="142"/>
      <c r="I230">
        <v>4</v>
      </c>
      <c r="J230" s="1">
        <f t="shared" si="264"/>
        <v>30170</v>
      </c>
      <c r="K230">
        <f>ROUNDDOWN(MAX(Sheet2!F55*42.51% + C26*30% - C40*2.6448%,0)*125.8 + MAX(Sheet2!F55*27.79% + C26*30% - C40*86.8176%,0)*153.8 + MAX(Sheet2!F55*29.7% + C26*40% - C40*10.5375%,0)*172.4,0)</f>
        <v>35307</v>
      </c>
      <c r="L230" s="159">
        <f>INT(MAX(Sheet2!F55+C26-C40,0)*9)</f>
        <v>499</v>
      </c>
      <c r="M230" s="159">
        <f>INT(MAX(Sheet2!F55+C26-C40,0)*5)</f>
        <v>277</v>
      </c>
      <c r="N230" s="1">
        <f t="shared" si="265"/>
        <v>66253</v>
      </c>
      <c r="O230" s="1">
        <f t="shared" si="266"/>
        <v>6625</v>
      </c>
      <c r="P230" s="1">
        <f t="shared" si="267"/>
        <v>1780</v>
      </c>
      <c r="Q230" s="1">
        <f t="shared" si="268"/>
        <v>74650</v>
      </c>
      <c r="R230" s="159">
        <f>Q230*(Sheet2!F55/(Sheet2!F55+C26))</f>
        <v>27409.306390668567</v>
      </c>
      <c r="U230" s="145"/>
    </row>
    <row r="231" spans="8:21">
      <c r="H231" s="142"/>
      <c r="I231">
        <v>5</v>
      </c>
      <c r="J231" s="1">
        <f t="shared" si="264"/>
        <v>30170</v>
      </c>
      <c r="K231">
        <f>ROUNDDOWN(MAX(Sheet2!G55*38.44% + C27*30% - C41*4.1831%,0)*125.8 + MAX(Sheet2!G55*30.44% + C27*30% - C41*84.4735%,0)*153.8 + MAX(Sheet2!G55*31.12% + C27*40% - C41*11.3434%,0)*172.4,0)</f>
        <v>30785</v>
      </c>
      <c r="L231" s="159">
        <f>INT(MAX(Sheet2!G55+C27-C41,0)*9)</f>
        <v>480</v>
      </c>
      <c r="M231" s="159">
        <f>INT(MAX(Sheet2!G55+C27-C41,0)*5)</f>
        <v>266</v>
      </c>
      <c r="N231" s="1">
        <f t="shared" si="265"/>
        <v>61701</v>
      </c>
      <c r="O231" s="1">
        <f t="shared" si="266"/>
        <v>6170</v>
      </c>
      <c r="P231" s="1">
        <f t="shared" si="267"/>
        <v>1660</v>
      </c>
      <c r="Q231" s="1">
        <f t="shared" si="268"/>
        <v>69530</v>
      </c>
      <c r="R231" s="159">
        <f>Q231*(Sheet2!G55/(Sheet2!G55+C27))</f>
        <v>23379.355227512377</v>
      </c>
      <c r="U231" s="145"/>
    </row>
    <row r="232" spans="8:21">
      <c r="H232" s="142"/>
      <c r="I232">
        <v>6</v>
      </c>
      <c r="J232" s="1">
        <f t="shared" si="264"/>
        <v>30170</v>
      </c>
      <c r="K232">
        <f>ROUNDDOWN(MAX(Sheet2!H55*31.92% + C28*30% - C42*4.7395%,0)*138.7 + MAX(Sheet2!H55*38.86% + C28*30% - C42*81.6742%,0)*184.7 + MAX(Sheet2!H55*29.22% + C28*40% - C42*13.5862%,0)*220.5,0)</f>
        <v>33727</v>
      </c>
      <c r="L232" s="159">
        <f>INT(MAX(Sheet2!H55+C28-C42,0)*9)</f>
        <v>697</v>
      </c>
      <c r="M232" s="159">
        <f>INT(MAX(Sheet2!H55+C28-C42,0)*5)</f>
        <v>387</v>
      </c>
      <c r="N232" s="1">
        <f t="shared" si="265"/>
        <v>64981</v>
      </c>
      <c r="O232" s="1">
        <f t="shared" si="266"/>
        <v>6498</v>
      </c>
      <c r="P232" s="1">
        <f t="shared" si="267"/>
        <v>1750</v>
      </c>
      <c r="Q232" s="1">
        <f t="shared" si="268"/>
        <v>73220</v>
      </c>
      <c r="R232" s="159">
        <f>Q232*(Sheet2!H55/(Sheet2!H55+C28))</f>
        <v>22844.231994079822</v>
      </c>
      <c r="U232" s="145"/>
    </row>
    <row r="233" spans="8:21">
      <c r="H233" s="142"/>
      <c r="I233">
        <v>7</v>
      </c>
      <c r="J233" s="1">
        <f t="shared" si="264"/>
        <v>30170</v>
      </c>
      <c r="K233">
        <f>ROUNDDOWN(MAX(Sheet2!I55*26.8% + C29*30% - C43*3.6986%,0)*138.7 + MAX(Sheet2!I55*43.76% + C29*30% - C43*81.8888%,0)*184.7 + MAX(Sheet2!I55*29.44% + C29*40% - C43*14.4126%,0)*220.5,0)</f>
        <v>34065</v>
      </c>
      <c r="L233" s="159">
        <f>INT(MAX(Sheet2!I55+C29-C43,0)*9)</f>
        <v>380</v>
      </c>
      <c r="M233" s="159">
        <f>INT(MAX(Sheet2!I55+C29-C43,0)*5)</f>
        <v>211</v>
      </c>
      <c r="N233" s="1">
        <f t="shared" si="265"/>
        <v>64826</v>
      </c>
      <c r="O233" s="1">
        <f t="shared" si="266"/>
        <v>6483</v>
      </c>
      <c r="P233" s="1">
        <f t="shared" si="267"/>
        <v>1750</v>
      </c>
      <c r="Q233" s="1">
        <f t="shared" si="268"/>
        <v>73050</v>
      </c>
      <c r="R233" s="159">
        <f>Q233*(Sheet2!I55/(Sheet2!I55+C29))</f>
        <v>10236.97923601281</v>
      </c>
      <c r="U233" s="145"/>
    </row>
    <row r="234" spans="8:21">
      <c r="H234" s="142"/>
      <c r="I234">
        <v>8</v>
      </c>
      <c r="J234" s="1">
        <f t="shared" si="264"/>
        <v>30170</v>
      </c>
      <c r="K234">
        <f>ROUNDDOWN(MAX(Sheet2!J55*26.88% + C30*30% - C44*3.2913%,0)*138.7 + MAX(Sheet2!J55*45.15% + C30*30% - C44*85.89%,0)*184.7 + MAX(Sheet2!J55*27.97% + C30*40% - C44*10.8187%,0)*220.5,0)</f>
        <v>43283</v>
      </c>
      <c r="L234" s="159">
        <f>INT(MAX(Sheet2!J55+C30-C44,0)*9)</f>
        <v>1312</v>
      </c>
      <c r="M234" s="159">
        <f>INT(MAX(Sheet2!J55+C30-C44,0)*5)</f>
        <v>729</v>
      </c>
      <c r="N234" s="1">
        <f t="shared" si="265"/>
        <v>75494</v>
      </c>
      <c r="O234" s="1">
        <f t="shared" si="266"/>
        <v>7549</v>
      </c>
      <c r="P234" s="1">
        <f t="shared" si="267"/>
        <v>2030</v>
      </c>
      <c r="Q234" s="1">
        <f t="shared" si="268"/>
        <v>85070</v>
      </c>
      <c r="R234" s="159">
        <f>Q234*(Sheet2!J55/(Sheet2!J55+C30))</f>
        <v>9845.9010538202292</v>
      </c>
      <c r="U234" s="145"/>
    </row>
    <row r="235" spans="8:21">
      <c r="H235" s="142"/>
      <c r="I235">
        <v>9</v>
      </c>
      <c r="J235" s="1">
        <f t="shared" si="264"/>
        <v>30170</v>
      </c>
      <c r="K235">
        <f>ROUNDDOWN(MAX(Sheet2!K55*30.32% + C31*30% - C45*2.4481%,0)*125.8 + MAX(Sheet2!K55*40.48% + C31*30% - C45*89.5608%,0)*153.8 + MAX(Sheet2!K55*29.2% + C31*40% - C45*7.9911%,0)*172.4,0)</f>
        <v>32308</v>
      </c>
      <c r="L235" s="159">
        <f>INT(MAX(Sheet2!K55+C31-C45,0)*9)</f>
        <v>1035</v>
      </c>
      <c r="M235" s="159">
        <f>INT(MAX(Sheet2!K55+C31-C45,0)*5)</f>
        <v>575</v>
      </c>
      <c r="N235" s="1">
        <f t="shared" si="265"/>
        <v>64088</v>
      </c>
      <c r="O235" s="1">
        <f t="shared" si="266"/>
        <v>6409</v>
      </c>
      <c r="P235" s="1">
        <f t="shared" si="267"/>
        <v>1730</v>
      </c>
      <c r="Q235" s="1">
        <f t="shared" si="268"/>
        <v>72220</v>
      </c>
      <c r="R235" s="159">
        <f>Q235*(Sheet2!K55/(Sheet2!K55+C31))</f>
        <v>14108.12809041153</v>
      </c>
      <c r="U235" s="145"/>
    </row>
    <row r="236" spans="8:21">
      <c r="H236" s="142"/>
      <c r="I236">
        <v>10</v>
      </c>
      <c r="J236" s="1">
        <f t="shared" si="264"/>
        <v>30170</v>
      </c>
      <c r="K236">
        <f>ROUNDDOWN(MAX(Sheet2!L55*42.34% + C32*30% - C46*1.3153%,0)*125.8 + MAX(Sheet2!L55*28.1% + C32*30% - C46*93.9251%,0)*153.8 + MAX(Sheet2!L55*29.56% + C32*40% - C46*4.7596%,0)*172.4,0)</f>
        <v>30659</v>
      </c>
      <c r="L236" s="159">
        <f>INT(MAX(Sheet2!L55+C32-C46,0)*9)</f>
        <v>594</v>
      </c>
      <c r="M236" s="159">
        <f>INT(MAX(Sheet2!L55+C32-C46,0)*5)</f>
        <v>330</v>
      </c>
      <c r="N236" s="1">
        <f t="shared" si="265"/>
        <v>61753</v>
      </c>
      <c r="O236" s="1">
        <f t="shared" si="266"/>
        <v>6175</v>
      </c>
      <c r="P236" s="1">
        <f t="shared" si="267"/>
        <v>1660</v>
      </c>
      <c r="Q236" s="1">
        <f t="shared" si="268"/>
        <v>69580</v>
      </c>
      <c r="R236" s="159">
        <f>Q236*(Sheet2!L55/(Sheet2!L55+C32))</f>
        <v>14799.255756811268</v>
      </c>
      <c r="U236" s="145"/>
    </row>
    <row r="237" spans="8:21">
      <c r="H237" s="142"/>
      <c r="I237">
        <v>11</v>
      </c>
      <c r="J237" s="1">
        <f t="shared" si="264"/>
        <v>30170</v>
      </c>
      <c r="K237">
        <f>ROUNDDOWN(MAX(Sheet2!M55*44.43% + C33*30% - C47*0.3291%,0)*138.7 + MAX(Sheet2!M55*27.22% + C33*30% - C47*97.1714%,0)*184.7 + MAX(Sheet2!M55*28.35% + C33*40% - C47*2.4994%,0)*220.5,0)</f>
        <v>63285</v>
      </c>
      <c r="L237" s="159">
        <f>INT(MAX(Sheet2!M55+C33-C47,0)*9)</f>
        <v>2447</v>
      </c>
      <c r="M237" s="159">
        <f>INT(MAX(Sheet2!M55+C33-C47,0)*5)</f>
        <v>1359</v>
      </c>
      <c r="N237" s="1">
        <f t="shared" si="265"/>
        <v>97261</v>
      </c>
      <c r="O237" s="1">
        <f t="shared" si="266"/>
        <v>9726</v>
      </c>
      <c r="P237" s="1">
        <f t="shared" si="267"/>
        <v>2620</v>
      </c>
      <c r="Q237" s="1">
        <f t="shared" si="268"/>
        <v>109600</v>
      </c>
      <c r="R237" s="159">
        <f>Q237*(Sheet2!M55/(Sheet2!M55+C33))</f>
        <v>54578.567416674545</v>
      </c>
      <c r="U237" s="145"/>
    </row>
    <row r="238" spans="8:21">
      <c r="H238" s="142"/>
      <c r="I238">
        <v>12</v>
      </c>
      <c r="J238" s="1">
        <f>$C$170*($D$109+3)</f>
        <v>30170</v>
      </c>
      <c r="K238">
        <f>ROUNDDOWN(MAX(Sheet2!N55*43.82% + C34*30% - C48*0.0353%,0)*138.7 + MAX(Sheet2!N55*28.18% + C34*30% - C48*97.784%,0)*184.7 + MAX(Sheet2!N55*28% + C34*40% - C48*2.1807%,0)*220.5,0)</f>
        <v>102673</v>
      </c>
      <c r="L238" s="159">
        <f>INT(MAX(Sheet2!N55+C34-C48,0)*9)</f>
        <v>5255</v>
      </c>
      <c r="M238" s="159">
        <f>INT(MAX(Sheet2!N55+C34-C48,0)*5)</f>
        <v>2919</v>
      </c>
      <c r="N238" s="1">
        <f t="shared" si="265"/>
        <v>141017</v>
      </c>
      <c r="O238" s="1">
        <f t="shared" si="266"/>
        <v>14102</v>
      </c>
      <c r="P238" s="1">
        <f t="shared" si="267"/>
        <v>3800</v>
      </c>
      <c r="Q238" s="1">
        <f t="shared" si="268"/>
        <v>158910</v>
      </c>
      <c r="R238" s="159">
        <f>Q238*(Sheet2!N55/(Sheet2!N55+C34))</f>
        <v>103349.37956687277</v>
      </c>
      <c r="U238" s="145"/>
    </row>
    <row r="239" spans="8:21">
      <c r="H239" s="142"/>
      <c r="I239" s="148" t="s">
        <v>410</v>
      </c>
      <c r="J239" s="1" t="s">
        <v>384</v>
      </c>
      <c r="K239" s="1" t="s">
        <v>385</v>
      </c>
      <c r="L239" s="1" t="s">
        <v>386</v>
      </c>
      <c r="M239" s="1" t="s">
        <v>387</v>
      </c>
      <c r="N239" s="1" t="s">
        <v>388</v>
      </c>
      <c r="O239" s="1" t="s">
        <v>389</v>
      </c>
      <c r="P239" s="1" t="s">
        <v>390</v>
      </c>
      <c r="Q239" s="1" t="s">
        <v>391</v>
      </c>
      <c r="R239" s="1" t="s">
        <v>430</v>
      </c>
      <c r="S239" s="144">
        <f>SUM(R240:R251)</f>
        <v>391671.6734035883</v>
      </c>
      <c r="T239" s="144">
        <f>Sheet2!$O$18</f>
        <v>1157329.3336407086</v>
      </c>
      <c r="U239" s="147">
        <f>(T239-S239)/T239</f>
        <v>0.66157284532703087</v>
      </c>
    </row>
    <row r="240" spans="8:21">
      <c r="H240" s="142"/>
      <c r="I240">
        <v>1</v>
      </c>
      <c r="J240" s="1">
        <f t="shared" ref="J240:J250" si="269">$C$170*($D$109+3)</f>
        <v>30170</v>
      </c>
      <c r="K240">
        <f>ROUNDDOWN(MAX(Sheet2!C56*43.37% + C23*30% - C37*0.0062%,0)*138.7 + MAX(Sheet2!C56*28.76% + C23*30% - C37*95.4981%,0)*184.7 + MAX(Sheet2!C56*27.87% + C23*40% - C37*4.4957%,0)*220.5,0)</f>
        <v>86207</v>
      </c>
      <c r="L240" s="159">
        <f>INT(MAX(Sheet2!C56+C23-C37,0)*9)</f>
        <v>4390</v>
      </c>
      <c r="M240" s="159">
        <f>INT(MAX(Sheet2!C56+C23-C37,0)*5)</f>
        <v>2439</v>
      </c>
      <c r="N240" s="1">
        <f t="shared" ref="N240:N251" si="270">SUM(J240:M240)</f>
        <v>123206</v>
      </c>
      <c r="O240" s="1">
        <f t="shared" ref="O240:O251" si="271">ROUND(N240*0.1, 0)</f>
        <v>12321</v>
      </c>
      <c r="P240" s="1">
        <f t="shared" ref="P240:P251" si="272">FLOOR(N240*0.027, 10)</f>
        <v>3320</v>
      </c>
      <c r="Q240" s="1">
        <f t="shared" ref="Q240:Q251" si="273">FLOOR(N240+O240+P240, 10)</f>
        <v>138840</v>
      </c>
      <c r="R240" s="159">
        <f>Q240*(Sheet2!C56/(Sheet2!C56+C23))</f>
        <v>76506.34239433179</v>
      </c>
      <c r="U240" s="145"/>
    </row>
    <row r="241" spans="8:21">
      <c r="H241" s="142"/>
      <c r="I241">
        <v>2</v>
      </c>
      <c r="J241" s="1">
        <f t="shared" si="269"/>
        <v>30170</v>
      </c>
      <c r="K241">
        <f>ROUNDDOWN(MAX(Sheet2!D56*44.03% + C24*30% - C38*0.1791%,0)*138.7 + MAX(Sheet2!D56*28.8% + C24*30% - C38*92.1596%,0)*184.7 + MAX(Sheet2!D56*27.16% + C24*40% - C38*7.6613%,0)*220.5,0)</f>
        <v>93125</v>
      </c>
      <c r="L241" s="159">
        <f>INT(MAX(Sheet2!D56+C24-C38,0)*9)</f>
        <v>4777</v>
      </c>
      <c r="M241" s="159">
        <f>INT(MAX(Sheet2!D56+C24-C38,0)*5)</f>
        <v>2654</v>
      </c>
      <c r="N241" s="1">
        <f t="shared" si="270"/>
        <v>130726</v>
      </c>
      <c r="O241" s="1">
        <f t="shared" si="271"/>
        <v>13073</v>
      </c>
      <c r="P241" s="1">
        <f t="shared" si="272"/>
        <v>3520</v>
      </c>
      <c r="Q241" s="1">
        <f t="shared" si="273"/>
        <v>147310</v>
      </c>
      <c r="R241" s="159">
        <f>Q241*(Sheet2!D56/(Sheet2!D56+C24))</f>
        <v>86732.128985962772</v>
      </c>
      <c r="U241" s="145"/>
    </row>
    <row r="242" spans="8:21">
      <c r="H242" s="142"/>
      <c r="I242">
        <v>3</v>
      </c>
      <c r="J242" s="1">
        <f t="shared" si="269"/>
        <v>30170</v>
      </c>
      <c r="K242">
        <f>ROUNDDOWN(MAX(Sheet2!E56*44.16% + C25*30% - C39*1.149%,0)*125.8 + MAX(Sheet2!E56*28.26% + C25*30% - C39*89.637%,0)*153.8 + MAX(Sheet2!E56*27.58% + C25*40% - C39*9.2139%,0)*172.4,0)</f>
        <v>42275</v>
      </c>
      <c r="L242" s="159">
        <f>INT(MAX(Sheet2!E56+C25-C39,0)*9)</f>
        <v>1646</v>
      </c>
      <c r="M242" s="159">
        <f>INT(MAX(Sheet2!E56+C25-C39,0)*5)</f>
        <v>914</v>
      </c>
      <c r="N242" s="1">
        <f t="shared" si="270"/>
        <v>75005</v>
      </c>
      <c r="O242" s="1">
        <f t="shared" si="271"/>
        <v>7501</v>
      </c>
      <c r="P242" s="1">
        <f t="shared" si="272"/>
        <v>2020</v>
      </c>
      <c r="Q242" s="1">
        <f t="shared" si="273"/>
        <v>84520</v>
      </c>
      <c r="R242" s="159">
        <f>Q242*(Sheet2!E56/(Sheet2!E56+C25))</f>
        <v>31670.117808008279</v>
      </c>
      <c r="U242" s="145"/>
    </row>
    <row r="243" spans="8:21">
      <c r="H243" s="142"/>
      <c r="I243">
        <v>4</v>
      </c>
      <c r="J243" s="1">
        <f t="shared" si="269"/>
        <v>30170</v>
      </c>
      <c r="K243">
        <f>ROUNDDOWN(MAX(Sheet2!F56*42.51% + C26*30% - C40*2.6448%,0)*125.8 + MAX(Sheet2!F56*27.79% + C26*30% - C40*86.8176%,0)*153.8 + MAX(Sheet2!F56*29.7% + C26*40% - C40*10.5375%,0)*172.4,0)</f>
        <v>30369</v>
      </c>
      <c r="L243" s="159">
        <f>INT(MAX(Sheet2!F56+C26-C40,0)*9)</f>
        <v>74</v>
      </c>
      <c r="M243" s="159">
        <f>INT(MAX(Sheet2!F56+C26-C40,0)*5)</f>
        <v>41</v>
      </c>
      <c r="N243" s="1">
        <f t="shared" si="270"/>
        <v>60654</v>
      </c>
      <c r="O243" s="1">
        <f t="shared" si="271"/>
        <v>6065</v>
      </c>
      <c r="P243" s="1">
        <f t="shared" si="272"/>
        <v>1630</v>
      </c>
      <c r="Q243" s="1">
        <f t="shared" si="273"/>
        <v>68340</v>
      </c>
      <c r="R243" s="159">
        <f>Q243*(Sheet2!F56/(Sheet2!F56+C26))</f>
        <v>19373.852273580502</v>
      </c>
      <c r="U243" s="145"/>
    </row>
    <row r="244" spans="8:21">
      <c r="H244" s="142"/>
      <c r="I244">
        <v>5</v>
      </c>
      <c r="J244" s="1">
        <f t="shared" si="269"/>
        <v>30170</v>
      </c>
      <c r="K244">
        <f>ROUNDDOWN(MAX(Sheet2!G56*38.44% + C27*30% - C41*4.1831%,0)*125.8 + MAX(Sheet2!G56*30.44% + C27*30% - C41*84.4735%,0)*153.8 + MAX(Sheet2!G56*31.12% + C27*40% - C41*11.3434%,0)*172.4,0)</f>
        <v>26782</v>
      </c>
      <c r="L244" s="159">
        <f>INT(MAX(Sheet2!G56+C27-C41,0)*9)</f>
        <v>127</v>
      </c>
      <c r="M244" s="159">
        <f>INT(MAX(Sheet2!G56+C27-C41,0)*5)</f>
        <v>70</v>
      </c>
      <c r="N244" s="1">
        <f t="shared" si="270"/>
        <v>57149</v>
      </c>
      <c r="O244" s="1">
        <f t="shared" si="271"/>
        <v>5715</v>
      </c>
      <c r="P244" s="1">
        <f t="shared" si="272"/>
        <v>1540</v>
      </c>
      <c r="Q244" s="1">
        <f t="shared" si="273"/>
        <v>64400</v>
      </c>
      <c r="R244" s="159">
        <f>Q244*(Sheet2!G56/(Sheet2!G56+C27))</f>
        <v>16535.194861895972</v>
      </c>
      <c r="U244" s="145"/>
    </row>
    <row r="245" spans="8:21">
      <c r="H245" s="142"/>
      <c r="I245">
        <v>6</v>
      </c>
      <c r="J245" s="1">
        <f t="shared" si="269"/>
        <v>30170</v>
      </c>
      <c r="K245">
        <f>ROUNDDOWN(MAX(Sheet2!H56*31.92% + C28*30% - C42*4.7395%,0)*138.7 + MAX(Sheet2!H56*38.86% + C28*30% - C42*81.6742%,0)*184.7 + MAX(Sheet2!H56*29.22% + C28*40% - C42*13.5862%,0)*220.5,0)</f>
        <v>29883</v>
      </c>
      <c r="L245" s="159">
        <f>INT(MAX(Sheet2!H56+C28-C42,0)*9)</f>
        <v>379</v>
      </c>
      <c r="M245" s="159">
        <f>INT(MAX(Sheet2!H56+C28-C42,0)*5)</f>
        <v>210</v>
      </c>
      <c r="N245" s="1">
        <f t="shared" si="270"/>
        <v>60642</v>
      </c>
      <c r="O245" s="1">
        <f t="shared" si="271"/>
        <v>6064</v>
      </c>
      <c r="P245" s="1">
        <f t="shared" si="272"/>
        <v>1630</v>
      </c>
      <c r="Q245" s="1">
        <f t="shared" si="273"/>
        <v>68330</v>
      </c>
      <c r="R245" s="159">
        <f>Q245*(Sheet2!H56/(Sheet2!H56+C28))</f>
        <v>16139.344690572383</v>
      </c>
      <c r="U245" s="145"/>
    </row>
    <row r="246" spans="8:21">
      <c r="H246" s="142"/>
      <c r="I246">
        <v>7</v>
      </c>
      <c r="J246" s="1">
        <f t="shared" si="269"/>
        <v>30170</v>
      </c>
      <c r="K246">
        <f>ROUNDDOWN(MAX(Sheet2!I56*26.8% + C29*30% - C43*3.6986%,0)*138.7 + MAX(Sheet2!I56*43.76% + C29*30% - C43*81.8888%,0)*184.7 + MAX(Sheet2!I56*29.44% + C29*40% - C43*14.4126%,0)*220.5,0)</f>
        <v>32403</v>
      </c>
      <c r="L246" s="159">
        <f>INT(MAX(Sheet2!I56+C29-C43,0)*9)</f>
        <v>233</v>
      </c>
      <c r="M246" s="159">
        <f>INT(MAX(Sheet2!I56+C29-C43,0)*5)</f>
        <v>129</v>
      </c>
      <c r="N246" s="1">
        <f t="shared" si="270"/>
        <v>62935</v>
      </c>
      <c r="O246" s="1">
        <f t="shared" si="271"/>
        <v>6294</v>
      </c>
      <c r="P246" s="1">
        <f t="shared" si="272"/>
        <v>1690</v>
      </c>
      <c r="Q246" s="1">
        <f t="shared" si="273"/>
        <v>70910</v>
      </c>
      <c r="R246" s="159">
        <f>Q246*(Sheet2!I56/(Sheet2!I56+C29))</f>
        <v>7092.5125017069895</v>
      </c>
      <c r="U246" s="145"/>
    </row>
    <row r="247" spans="8:21">
      <c r="H247" s="142"/>
      <c r="I247">
        <v>8</v>
      </c>
      <c r="J247" s="1">
        <f t="shared" si="269"/>
        <v>30170</v>
      </c>
      <c r="K247">
        <f>ROUNDDOWN(MAX(Sheet2!J56*26.88% + C30*30% - C44*3.2913%,0)*138.7 + MAX(Sheet2!J56*45.15% + C30*30% - C44*85.89%,0)*184.7 + MAX(Sheet2!J56*27.97% + C30*40% - C44*10.8187%,0)*220.5,0)</f>
        <v>41826</v>
      </c>
      <c r="L247" s="159">
        <f>INT(MAX(Sheet2!J56+C30-C44,0)*9)</f>
        <v>1180</v>
      </c>
      <c r="M247" s="159">
        <f>INT(MAX(Sheet2!J56+C30-C44,0)*5)</f>
        <v>655</v>
      </c>
      <c r="N247" s="1">
        <f t="shared" si="270"/>
        <v>73831</v>
      </c>
      <c r="O247" s="1">
        <f t="shared" si="271"/>
        <v>7383</v>
      </c>
      <c r="P247" s="1">
        <f t="shared" si="272"/>
        <v>1990</v>
      </c>
      <c r="Q247" s="1">
        <f t="shared" si="273"/>
        <v>83200</v>
      </c>
      <c r="R247" s="159">
        <f>Q247*(Sheet2!J56/(Sheet2!J56+C30))</f>
        <v>6817.5786895048213</v>
      </c>
      <c r="U247" s="145"/>
    </row>
    <row r="248" spans="8:21">
      <c r="H248" s="142"/>
      <c r="I248">
        <v>9</v>
      </c>
      <c r="J248" s="1">
        <f t="shared" si="269"/>
        <v>30170</v>
      </c>
      <c r="K248">
        <f>ROUNDDOWN(MAX(Sheet2!K56*30.32% + C31*30% - C45*2.4481%,0)*125.8 + MAX(Sheet2!K56*40.48% + C31*30% - C45*89.5608%,0)*153.8 + MAX(Sheet2!K56*29.2% + C31*40% - C45*7.9911%,0)*172.4,0)</f>
        <v>30373</v>
      </c>
      <c r="L248" s="159">
        <f>INT(MAX(Sheet2!K56+C31-C45,0)*9)</f>
        <v>838</v>
      </c>
      <c r="M248" s="159">
        <f>INT(MAX(Sheet2!K56+C31-C45,0)*5)</f>
        <v>466</v>
      </c>
      <c r="N248" s="1">
        <f t="shared" si="270"/>
        <v>61847</v>
      </c>
      <c r="O248" s="1">
        <f t="shared" si="271"/>
        <v>6185</v>
      </c>
      <c r="P248" s="1">
        <f t="shared" si="272"/>
        <v>1660</v>
      </c>
      <c r="Q248" s="1">
        <f t="shared" si="273"/>
        <v>69690</v>
      </c>
      <c r="R248" s="159">
        <f>Q248*(Sheet2!K56/(Sheet2!K56+C31))</f>
        <v>9898.7513902778392</v>
      </c>
      <c r="U248" s="145"/>
    </row>
    <row r="249" spans="8:21">
      <c r="H249" s="142"/>
      <c r="I249">
        <v>10</v>
      </c>
      <c r="J249" s="1">
        <f t="shared" si="269"/>
        <v>30170</v>
      </c>
      <c r="K249">
        <f>ROUNDDOWN(MAX(Sheet2!L56*42.34% + C32*30% - C46*1.3153%,0)*125.8 + MAX(Sheet2!L56*28.1% + C32*30% - C46*93.9251%,0)*153.8 + MAX(Sheet2!L56*29.56% + C32*40% - C46*4.7596%,0)*172.4,0)</f>
        <v>28462</v>
      </c>
      <c r="L249" s="159">
        <f>INT(MAX(Sheet2!L56+C32-C46,0)*9)</f>
        <v>404</v>
      </c>
      <c r="M249" s="159">
        <f>INT(MAX(Sheet2!L56+C32-C46,0)*5)</f>
        <v>224</v>
      </c>
      <c r="N249" s="1">
        <f t="shared" si="270"/>
        <v>59260</v>
      </c>
      <c r="O249" s="1">
        <f t="shared" si="271"/>
        <v>5926</v>
      </c>
      <c r="P249" s="1">
        <f t="shared" si="272"/>
        <v>1600</v>
      </c>
      <c r="Q249" s="1">
        <f t="shared" si="273"/>
        <v>66780</v>
      </c>
      <c r="R249" s="159">
        <f>Q249*(Sheet2!L56/(Sheet2!L56+C32))</f>
        <v>10388.722506646511</v>
      </c>
      <c r="U249" s="145"/>
    </row>
    <row r="250" spans="8:21">
      <c r="H250" s="142"/>
      <c r="I250">
        <v>11</v>
      </c>
      <c r="J250" s="1">
        <f t="shared" si="269"/>
        <v>30170</v>
      </c>
      <c r="K250">
        <f>ROUNDDOWN(MAX(Sheet2!M56*44.43% + C33*30% - C47*0.3291%,0)*138.7 + MAX(Sheet2!M56*27.22% + C33*30% - C47*97.1714%,0)*184.7 + MAX(Sheet2!M56*28.35% + C33*40% - C47*2.4994%,0)*220.5,0)</f>
        <v>53266</v>
      </c>
      <c r="L250" s="159">
        <f>INT(MAX(Sheet2!M56+C33-C47,0)*9)</f>
        <v>1720</v>
      </c>
      <c r="M250" s="159">
        <f>INT(MAX(Sheet2!M56+C33-C47,0)*5)</f>
        <v>955</v>
      </c>
      <c r="N250" s="1">
        <f t="shared" si="270"/>
        <v>86111</v>
      </c>
      <c r="O250" s="1">
        <f t="shared" si="271"/>
        <v>8611</v>
      </c>
      <c r="P250" s="1">
        <f t="shared" si="272"/>
        <v>2320</v>
      </c>
      <c r="Q250" s="1">
        <f t="shared" si="273"/>
        <v>97040</v>
      </c>
      <c r="R250" s="159">
        <f>Q250*(Sheet2!M56/(Sheet2!M56+C33))</f>
        <v>39155.393285711158</v>
      </c>
      <c r="U250" s="145"/>
    </row>
    <row r="251" spans="8:21">
      <c r="H251" s="142"/>
      <c r="I251">
        <v>12</v>
      </c>
      <c r="J251" s="1">
        <f>$C$170*($D$109+3)</f>
        <v>30170</v>
      </c>
      <c r="K251">
        <f>ROUNDDOWN(MAX(Sheet2!N56*43.82% + C34*30% - C48*0.0353%,0)*138.7 + MAX(Sheet2!N56*28.18% + C34*30% - C48*97.784%,0)*184.7 + MAX(Sheet2!N56*28% + C34*40% - C48*2.1807%,0)*220.5,0)</f>
        <v>77180</v>
      </c>
      <c r="L251" s="159">
        <f>INT(MAX(Sheet2!N56+C34-C48,0)*9)</f>
        <v>3796</v>
      </c>
      <c r="M251" s="159">
        <f>INT(MAX(Sheet2!N56+C34-C48,0)*5)</f>
        <v>2108</v>
      </c>
      <c r="N251" s="1">
        <f t="shared" si="270"/>
        <v>113254</v>
      </c>
      <c r="O251" s="1">
        <f t="shared" si="271"/>
        <v>11325</v>
      </c>
      <c r="P251" s="1">
        <f t="shared" si="272"/>
        <v>3050</v>
      </c>
      <c r="Q251" s="1">
        <f t="shared" si="273"/>
        <v>127620</v>
      </c>
      <c r="R251" s="159">
        <f>Q251*(Sheet2!N56/(Sheet2!N56+C34))</f>
        <v>71361.734015389273</v>
      </c>
      <c r="U251" s="145"/>
    </row>
    <row r="252" spans="8:21">
      <c r="H252" s="142"/>
      <c r="I252" t="s">
        <v>79</v>
      </c>
      <c r="J252" s="1" t="s">
        <v>384</v>
      </c>
      <c r="K252" s="1" t="s">
        <v>385</v>
      </c>
      <c r="L252" s="1" t="s">
        <v>386</v>
      </c>
      <c r="M252" s="1" t="s">
        <v>387</v>
      </c>
      <c r="N252" s="1" t="s">
        <v>388</v>
      </c>
      <c r="O252" s="1" t="s">
        <v>389</v>
      </c>
      <c r="P252" s="1" t="s">
        <v>390</v>
      </c>
      <c r="Q252" s="1" t="s">
        <v>391</v>
      </c>
      <c r="R252" s="1" t="s">
        <v>430</v>
      </c>
      <c r="S252" s="144">
        <f>SUM(R253:R264)</f>
        <v>322625.73908100929</v>
      </c>
      <c r="T252" s="144">
        <f>Sheet2!$O$18</f>
        <v>1157329.3336407086</v>
      </c>
      <c r="U252" s="147">
        <f>(T252-S252)/T252</f>
        <v>0.72123255697140387</v>
      </c>
    </row>
    <row r="253" spans="8:21">
      <c r="H253" s="142"/>
      <c r="I253">
        <v>1</v>
      </c>
      <c r="J253" s="1">
        <f t="shared" ref="J253:J263" si="274">$C$170*($D$109+3)</f>
        <v>30170</v>
      </c>
      <c r="K253">
        <f>ROUNDDOWN(MAX(Sheet2!C57*43.37% + C23*30% - C37*0.0062%,0)*138.7 + MAX(Sheet2!C57*28.76% + C23*30% - C37*95.4981%,0)*184.7 + MAX(Sheet2!C57*27.87% + C23*40% - C37*4.4957%,0)*220.5,0)</f>
        <v>74857</v>
      </c>
      <c r="L253" s="159">
        <f>INT(MAX(Sheet2!C57+C23-C37,0)*9)</f>
        <v>3762</v>
      </c>
      <c r="M253" s="159">
        <f>INT(MAX(Sheet2!C57+C23-C37,0)*5)</f>
        <v>2090</v>
      </c>
      <c r="N253" s="1">
        <f t="shared" ref="N253:N264" si="275">SUM(J253:M253)</f>
        <v>110879</v>
      </c>
      <c r="O253" s="1">
        <f t="shared" ref="O253:O264" si="276">ROUND(N253*0.1, 0)</f>
        <v>11088</v>
      </c>
      <c r="P253" s="1">
        <f t="shared" ref="P253:P264" si="277">FLOOR(N253*0.027, 10)</f>
        <v>2990</v>
      </c>
      <c r="Q253" s="1">
        <f t="shared" ref="Q253:Q264" si="278">FLOOR(N253+O253+P253, 10)</f>
        <v>124950</v>
      </c>
      <c r="R253" s="159">
        <f>Q253*(Sheet2!C57/(Sheet2!C57+C23))</f>
        <v>62442.341326990623</v>
      </c>
      <c r="U253" s="145"/>
    </row>
    <row r="254" spans="8:21">
      <c r="H254" s="142"/>
      <c r="I254">
        <v>2</v>
      </c>
      <c r="J254" s="1">
        <f t="shared" si="274"/>
        <v>30170</v>
      </c>
      <c r="K254">
        <f>ROUNDDOWN(MAX(Sheet2!D57*44.03% + C24*30% - C38*0.1791%,0)*138.7 + MAX(Sheet2!D57*28.8% + C24*30% - C38*92.1596%,0)*184.7 + MAX(Sheet2!D57*27.16% + C24*40% - C38*7.6613%,0)*220.5,0)</f>
        <v>79172</v>
      </c>
      <c r="L254" s="159">
        <f>INT(MAX(Sheet2!D57+C24-C38,0)*9)</f>
        <v>4056</v>
      </c>
      <c r="M254" s="159">
        <f>INT(MAX(Sheet2!D57+C24-C38,0)*5)</f>
        <v>2253</v>
      </c>
      <c r="N254" s="1">
        <f t="shared" si="275"/>
        <v>115651</v>
      </c>
      <c r="O254" s="1">
        <f t="shared" si="276"/>
        <v>11565</v>
      </c>
      <c r="P254" s="1">
        <f t="shared" si="277"/>
        <v>3120</v>
      </c>
      <c r="Q254" s="1">
        <f t="shared" si="278"/>
        <v>130330</v>
      </c>
      <c r="R254" s="159">
        <f>Q254*(Sheet2!D57/(Sheet2!D57+C24))</f>
        <v>70139.679345190467</v>
      </c>
      <c r="U254" s="145"/>
    </row>
    <row r="255" spans="8:21">
      <c r="H255" s="142"/>
      <c r="I255">
        <v>3</v>
      </c>
      <c r="J255" s="1">
        <f t="shared" si="274"/>
        <v>30170</v>
      </c>
      <c r="K255">
        <f>ROUNDDOWN(MAX(Sheet2!E57*44.16% + C25*30% - C39*1.149%,0)*125.8 + MAX(Sheet2!E57*28.26% + C25*30% - C39*89.637%,0)*153.8 + MAX(Sheet2!E57*27.58% + C25*40% - C39*9.2139%,0)*172.4,0)</f>
        <v>39081</v>
      </c>
      <c r="L255" s="159">
        <f>INT(MAX(Sheet2!E57+C25-C39,0)*9)</f>
        <v>1367</v>
      </c>
      <c r="M255" s="159">
        <f>INT(MAX(Sheet2!E57+C25-C39,0)*5)</f>
        <v>759</v>
      </c>
      <c r="N255" s="1">
        <f t="shared" si="275"/>
        <v>71377</v>
      </c>
      <c r="O255" s="1">
        <f t="shared" si="276"/>
        <v>7138</v>
      </c>
      <c r="P255" s="1">
        <f t="shared" si="277"/>
        <v>1920</v>
      </c>
      <c r="Q255" s="1">
        <f t="shared" si="278"/>
        <v>80430</v>
      </c>
      <c r="R255" s="159">
        <f>Q255*(Sheet2!E57/(Sheet2!E57+C25))</f>
        <v>26367.660942498456</v>
      </c>
      <c r="U255" s="145"/>
    </row>
    <row r="256" spans="8:21">
      <c r="H256" s="142"/>
      <c r="I256">
        <v>4</v>
      </c>
      <c r="J256" s="1">
        <f t="shared" si="274"/>
        <v>30170</v>
      </c>
      <c r="K256">
        <f>ROUNDDOWN(MAX(Sheet2!F57*42.51% + C26*30% - C40*2.6448%,0)*125.8 + MAX(Sheet2!F57*27.79% + C26*30% - C40*86.8176%,0)*153.8 + MAX(Sheet2!F57*29.7% + C26*40% - C40*10.5375%,0)*172.4,0)</f>
        <v>28399</v>
      </c>
      <c r="L256" s="159">
        <f>INT(MAX(Sheet2!F57+C26-C40,0)*9)</f>
        <v>0</v>
      </c>
      <c r="M256" s="159">
        <f>INT(MAX(Sheet2!F57+C26-C40,0)*5)</f>
        <v>0</v>
      </c>
      <c r="N256" s="1">
        <f t="shared" si="275"/>
        <v>58569</v>
      </c>
      <c r="O256" s="1">
        <f t="shared" si="276"/>
        <v>5857</v>
      </c>
      <c r="P256" s="1">
        <f t="shared" si="277"/>
        <v>1580</v>
      </c>
      <c r="Q256" s="1">
        <f t="shared" si="278"/>
        <v>66000</v>
      </c>
      <c r="R256" s="159">
        <f>Q256*(Sheet2!F57/(Sheet2!F57+C26))</f>
        <v>16076.631149765941</v>
      </c>
      <c r="U256" s="145"/>
    </row>
    <row r="257" spans="8:21">
      <c r="H257" s="142"/>
      <c r="I257">
        <v>5</v>
      </c>
      <c r="J257" s="1">
        <f t="shared" si="274"/>
        <v>30170</v>
      </c>
      <c r="K257">
        <f>ROUNDDOWN(MAX(Sheet2!G57*38.44% + C27*30% - C41*4.1831%,0)*125.8 + MAX(Sheet2!G57*30.44% + C27*30% - C41*84.4735%,0)*153.8 + MAX(Sheet2!G57*31.12% + C27*40% - C41*11.3434%,0)*172.4,0)</f>
        <v>25185</v>
      </c>
      <c r="L257" s="159">
        <f>INT(MAX(Sheet2!G57+C27-C41,0)*9)</f>
        <v>0</v>
      </c>
      <c r="M257" s="159">
        <f>INT(MAX(Sheet2!G57+C27-C41,0)*5)</f>
        <v>0</v>
      </c>
      <c r="N257" s="1">
        <f t="shared" si="275"/>
        <v>55355</v>
      </c>
      <c r="O257" s="1">
        <f t="shared" si="276"/>
        <v>5536</v>
      </c>
      <c r="P257" s="1">
        <f t="shared" si="277"/>
        <v>1490</v>
      </c>
      <c r="Q257" s="1">
        <f t="shared" si="278"/>
        <v>62380</v>
      </c>
      <c r="R257" s="159">
        <f>Q257*(Sheet2!G57/(Sheet2!G57+C27))</f>
        <v>13690.011485037887</v>
      </c>
      <c r="U257" s="145"/>
    </row>
    <row r="258" spans="8:21">
      <c r="H258" s="142"/>
      <c r="I258">
        <v>6</v>
      </c>
      <c r="J258" s="1">
        <f t="shared" si="274"/>
        <v>30170</v>
      </c>
      <c r="K258">
        <f>ROUNDDOWN(MAX(Sheet2!H57*31.92% + C28*30% - C42*4.7395%,0)*138.7 + MAX(Sheet2!H57*38.86% + C28*30% - C42*81.6742%,0)*184.7 + MAX(Sheet2!H57*29.22% + C28*40% - C42*13.5862%,0)*220.5,0)</f>
        <v>28349</v>
      </c>
      <c r="L258" s="159">
        <f>INT(MAX(Sheet2!H57+C28-C42,0)*9)</f>
        <v>252</v>
      </c>
      <c r="M258" s="159">
        <f>INT(MAX(Sheet2!H57+C28-C42,0)*5)</f>
        <v>140</v>
      </c>
      <c r="N258" s="1">
        <f t="shared" si="275"/>
        <v>58911</v>
      </c>
      <c r="O258" s="1">
        <f t="shared" si="276"/>
        <v>5891</v>
      </c>
      <c r="P258" s="1">
        <f t="shared" si="277"/>
        <v>1590</v>
      </c>
      <c r="Q258" s="1">
        <f t="shared" si="278"/>
        <v>66390</v>
      </c>
      <c r="R258" s="159">
        <f>Q258*(Sheet2!H57/(Sheet2!H57+C28))</f>
        <v>13349.668835768894</v>
      </c>
      <c r="U258" s="145"/>
    </row>
    <row r="259" spans="8:21">
      <c r="H259" s="142"/>
      <c r="I259">
        <v>7</v>
      </c>
      <c r="J259" s="1">
        <f t="shared" si="274"/>
        <v>30170</v>
      </c>
      <c r="K259">
        <f>ROUNDDOWN(MAX(Sheet2!I57*26.8% + C29*30% - C43*3.6986%,0)*138.7 + MAX(Sheet2!I57*43.76% + C29*30% - C43*81.8888%,0)*184.7 + MAX(Sheet2!I57*29.44% + C29*40% - C43*14.4126%,0)*220.5,0)</f>
        <v>31740</v>
      </c>
      <c r="L259" s="159">
        <f>INT(MAX(Sheet2!I57+C29-C43,0)*9)</f>
        <v>175</v>
      </c>
      <c r="M259" s="159">
        <f>INT(MAX(Sheet2!I57+C29-C43,0)*5)</f>
        <v>97</v>
      </c>
      <c r="N259" s="1">
        <f t="shared" si="275"/>
        <v>62182</v>
      </c>
      <c r="O259" s="1">
        <f t="shared" si="276"/>
        <v>6218</v>
      </c>
      <c r="P259" s="1">
        <f t="shared" si="277"/>
        <v>1670</v>
      </c>
      <c r="Q259" s="1">
        <f t="shared" si="278"/>
        <v>70070</v>
      </c>
      <c r="R259" s="159">
        <f>Q259*(Sheet2!I57/(Sheet2!I57+C29))</f>
        <v>5812.4065411209713</v>
      </c>
      <c r="U259" s="145"/>
    </row>
    <row r="260" spans="8:21">
      <c r="H260" s="142"/>
      <c r="I260">
        <v>8</v>
      </c>
      <c r="J260" s="1">
        <f t="shared" si="274"/>
        <v>30170</v>
      </c>
      <c r="K260">
        <f>ROUNDDOWN(MAX(Sheet2!J57*26.88% + C30*30% - C44*3.2913%,0)*138.7 + MAX(Sheet2!J57*45.15% + C30*30% - C44*85.89%,0)*184.7 + MAX(Sheet2!J57*27.97% + C30*40% - C44*10.8187%,0)*220.5,0)</f>
        <v>41244</v>
      </c>
      <c r="L260" s="159">
        <f>INT(MAX(Sheet2!J57+C30-C44,0)*9)</f>
        <v>1127</v>
      </c>
      <c r="M260" s="159">
        <f>INT(MAX(Sheet2!J57+C30-C44,0)*5)</f>
        <v>626</v>
      </c>
      <c r="N260" s="1">
        <f t="shared" si="275"/>
        <v>73167</v>
      </c>
      <c r="O260" s="1">
        <f t="shared" si="276"/>
        <v>7317</v>
      </c>
      <c r="P260" s="1">
        <f t="shared" si="277"/>
        <v>1970</v>
      </c>
      <c r="Q260" s="1">
        <f t="shared" si="278"/>
        <v>82450</v>
      </c>
      <c r="R260" s="159">
        <f>Q260*(Sheet2!J57/(Sheet2!J57+C30))</f>
        <v>5583.9607821834506</v>
      </c>
      <c r="U260" s="145"/>
    </row>
    <row r="261" spans="8:21">
      <c r="H261" s="142"/>
      <c r="I261">
        <v>9</v>
      </c>
      <c r="J261" s="1">
        <f t="shared" si="274"/>
        <v>30170</v>
      </c>
      <c r="K261">
        <f>ROUNDDOWN(MAX(Sheet2!K57*30.32% + C31*30% - C45*2.4481%,0)*125.8 + MAX(Sheet2!K57*40.48% + C31*30% - C45*89.5608%,0)*153.8 + MAX(Sheet2!K57*29.2% + C31*40% - C45*7.9911%,0)*172.4,0)</f>
        <v>29601</v>
      </c>
      <c r="L261" s="159">
        <f>INT(MAX(Sheet2!K57+C31-C45,0)*9)</f>
        <v>760</v>
      </c>
      <c r="M261" s="159">
        <f>INT(MAX(Sheet2!K57+C31-C45,0)*5)</f>
        <v>422</v>
      </c>
      <c r="N261" s="1">
        <f t="shared" si="275"/>
        <v>60953</v>
      </c>
      <c r="O261" s="1">
        <f t="shared" si="276"/>
        <v>6095</v>
      </c>
      <c r="P261" s="1">
        <f t="shared" si="277"/>
        <v>1640</v>
      </c>
      <c r="Q261" s="1">
        <f t="shared" si="278"/>
        <v>68680</v>
      </c>
      <c r="R261" s="159">
        <f>Q261*(Sheet2!K57/(Sheet2!K57+C31))</f>
        <v>8155.4094908245297</v>
      </c>
      <c r="U261" s="145"/>
    </row>
    <row r="262" spans="8:21">
      <c r="H262" s="142"/>
      <c r="I262">
        <v>10</v>
      </c>
      <c r="J262" s="1">
        <f t="shared" si="274"/>
        <v>30170</v>
      </c>
      <c r="K262">
        <f>ROUNDDOWN(MAX(Sheet2!L57*42.34% + C32*30% - C46*1.3153%,0)*125.8 + MAX(Sheet2!L57*28.1% + C32*30% - C46*93.9251%,0)*153.8 + MAX(Sheet2!L57*29.56% + C32*40% - C46*4.7596%,0)*172.4,0)</f>
        <v>27585</v>
      </c>
      <c r="L262" s="159">
        <f>INT(MAX(Sheet2!L57+C32-C46,0)*9)</f>
        <v>328</v>
      </c>
      <c r="M262" s="159">
        <f>INT(MAX(Sheet2!L57+C32-C46,0)*5)</f>
        <v>182</v>
      </c>
      <c r="N262" s="1">
        <f t="shared" si="275"/>
        <v>58265</v>
      </c>
      <c r="O262" s="1">
        <f t="shared" si="276"/>
        <v>5827</v>
      </c>
      <c r="P262" s="1">
        <f t="shared" si="277"/>
        <v>1570</v>
      </c>
      <c r="Q262" s="1">
        <f t="shared" si="278"/>
        <v>65660</v>
      </c>
      <c r="R262" s="159">
        <f>Q262*(Sheet2!L57/(Sheet2!L57+C32))</f>
        <v>8561.4343301298122</v>
      </c>
      <c r="U262" s="145"/>
    </row>
    <row r="263" spans="8:21">
      <c r="H263" s="142"/>
      <c r="I263">
        <v>11</v>
      </c>
      <c r="J263" s="1">
        <f t="shared" si="274"/>
        <v>30170</v>
      </c>
      <c r="K263">
        <f>ROUNDDOWN(MAX(Sheet2!M57*44.43% + C33*30% - C47*0.3291%,0)*138.7 + MAX(Sheet2!M57*27.22% + C33*30% - C47*97.1714%,0)*184.7 + MAX(Sheet2!M57*28.35% + C33*40% - C47*2.4994%,0)*220.5,0)</f>
        <v>49269</v>
      </c>
      <c r="L263" s="159">
        <f>INT(MAX(Sheet2!M57+C33-C47,0)*9)</f>
        <v>1430</v>
      </c>
      <c r="M263" s="159">
        <f>INT(MAX(Sheet2!M57+C33-C47,0)*5)</f>
        <v>794</v>
      </c>
      <c r="N263" s="1">
        <f t="shared" si="275"/>
        <v>81663</v>
      </c>
      <c r="O263" s="1">
        <f t="shared" si="276"/>
        <v>8166</v>
      </c>
      <c r="P263" s="1">
        <f t="shared" si="277"/>
        <v>2200</v>
      </c>
      <c r="Q263" s="1">
        <f t="shared" si="278"/>
        <v>92020</v>
      </c>
      <c r="R263" s="159">
        <f>Q263*(Sheet2!M57/(Sheet2!M57+C33))</f>
        <v>32673.455084466954</v>
      </c>
      <c r="U263" s="145"/>
    </row>
    <row r="264" spans="8:21">
      <c r="H264" s="149"/>
      <c r="I264" s="54">
        <v>12</v>
      </c>
      <c r="J264" s="155">
        <f>$C$170*($D$109+3)</f>
        <v>30170</v>
      </c>
      <c r="K264" s="54">
        <f>ROUNDDOWN(MAX(Sheet2!N57*43.82% + C34*30% - C48*0.0353%,0)*138.7 + MAX(Sheet2!N57*28.18% + C34*30% - C48*97.784%,0)*184.7 + MAX(Sheet2!N57*28% + C34*40% - C48*2.1807%,0)*220.5,0)</f>
        <v>69255</v>
      </c>
      <c r="L264" s="160">
        <f>INT(MAX(Sheet2!N57+C34-C48,0)*9)</f>
        <v>3214</v>
      </c>
      <c r="M264" s="160">
        <f>INT(MAX(Sheet2!N57+C34-C48,0)*5)</f>
        <v>1785</v>
      </c>
      <c r="N264" s="155">
        <f t="shared" si="275"/>
        <v>104424</v>
      </c>
      <c r="O264" s="155">
        <f t="shared" si="276"/>
        <v>10442</v>
      </c>
      <c r="P264" s="155">
        <f t="shared" si="277"/>
        <v>2810</v>
      </c>
      <c r="Q264" s="155">
        <f t="shared" si="278"/>
        <v>117670</v>
      </c>
      <c r="R264" s="160">
        <f>Q264*(Sheet2!N57/(Sheet2!N57+C34))</f>
        <v>59773.079767031304</v>
      </c>
      <c r="S264" s="155"/>
      <c r="T264" s="155"/>
      <c r="U264" s="152"/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 현지</dc:creator>
  <dc:description/>
  <cp:lastModifiedBy>이효은</cp:lastModifiedBy>
  <cp:revision>2</cp:revision>
  <dcterms:created xsi:type="dcterms:W3CDTF">2026-03-12T04:02:21Z</dcterms:created>
  <dcterms:modified xsi:type="dcterms:W3CDTF">2026-05-13T06:55:47Z</dcterms:modified>
  <dc:language>en-US</dc:language>
</cp:coreProperties>
</file>