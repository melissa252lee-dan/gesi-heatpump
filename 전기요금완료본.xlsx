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01. 녹색에너지전략연구소\0. 2026\0. TARA WP3\칼큘레이터\github\"/>
    </mc:Choice>
  </mc:AlternateContent>
  <xr:revisionPtr revIDLastSave="0" documentId="8_{33AD9B93-3540-4F82-9D23-5E94346FF0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1" r:id="rId1"/>
    <sheet name="Sheet3" sheetId="2" r:id="rId2"/>
    <sheet name="목록" sheetId="3" r:id="rId3"/>
    <sheet name="외기온도_시간분포" sheetId="4" r:id="rId4"/>
    <sheet name="COP_계산기" sheetId="5" r:id="rId5"/>
    <sheet name="전기요금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6" l="1"/>
  <c r="C47" i="6"/>
  <c r="C46" i="6"/>
  <c r="C45" i="6"/>
  <c r="C44" i="6"/>
  <c r="C43" i="6"/>
  <c r="C42" i="6"/>
  <c r="C41" i="6"/>
  <c r="C40" i="6"/>
  <c r="C39" i="6"/>
  <c r="C38" i="6"/>
  <c r="C37" i="6"/>
  <c r="C23" i="6"/>
  <c r="BD6" i="6" s="1"/>
  <c r="G17" i="6"/>
  <c r="G8" i="6"/>
  <c r="N25" i="5"/>
  <c r="L25" i="5"/>
  <c r="K25" i="5"/>
  <c r="I25" i="5"/>
  <c r="H25" i="5"/>
  <c r="Q24" i="5"/>
  <c r="N24" i="5"/>
  <c r="N26" i="5" s="1"/>
  <c r="M24" i="5"/>
  <c r="M26" i="5" s="1"/>
  <c r="L24" i="5"/>
  <c r="L26" i="5" s="1"/>
  <c r="K24" i="5"/>
  <c r="K26" i="5" s="1"/>
  <c r="J24" i="5"/>
  <c r="J26" i="5" s="1"/>
  <c r="I24" i="5"/>
  <c r="I26" i="5" s="1"/>
  <c r="H24" i="5"/>
  <c r="H26" i="5" s="1"/>
  <c r="G24" i="5"/>
  <c r="G26" i="5" s="1"/>
  <c r="F24" i="5"/>
  <c r="F25" i="5" s="1"/>
  <c r="E24" i="5"/>
  <c r="E26" i="5" s="1"/>
  <c r="D24" i="5"/>
  <c r="D26" i="5" s="1"/>
  <c r="C24" i="5"/>
  <c r="C26" i="5" s="1"/>
  <c r="F22" i="5"/>
  <c r="C22" i="5"/>
  <c r="L21" i="5"/>
  <c r="C21" i="5"/>
  <c r="Q20" i="5"/>
  <c r="N20" i="5"/>
  <c r="N22" i="5" s="1"/>
  <c r="M20" i="5"/>
  <c r="M22" i="5" s="1"/>
  <c r="L20" i="5"/>
  <c r="L22" i="5" s="1"/>
  <c r="K20" i="5"/>
  <c r="K21" i="5" s="1"/>
  <c r="J20" i="5"/>
  <c r="J21" i="5" s="1"/>
  <c r="I20" i="5"/>
  <c r="I21" i="5" s="1"/>
  <c r="H20" i="5"/>
  <c r="H22" i="5" s="1"/>
  <c r="G20" i="5"/>
  <c r="G22" i="5" s="1"/>
  <c r="F20" i="5"/>
  <c r="F21" i="5" s="1"/>
  <c r="E20" i="5"/>
  <c r="E22" i="5" s="1"/>
  <c r="D20" i="5"/>
  <c r="C20" i="5"/>
  <c r="E18" i="5"/>
  <c r="D18" i="5"/>
  <c r="C18" i="5"/>
  <c r="Q16" i="5"/>
  <c r="N16" i="5"/>
  <c r="N18" i="5" s="1"/>
  <c r="M16" i="5"/>
  <c r="M17" i="5" s="1"/>
  <c r="L16" i="5"/>
  <c r="L17" i="5" s="1"/>
  <c r="K16" i="5"/>
  <c r="K17" i="5" s="1"/>
  <c r="J16" i="5"/>
  <c r="J17" i="5" s="1"/>
  <c r="I16" i="5"/>
  <c r="I17" i="5" s="1"/>
  <c r="H16" i="5"/>
  <c r="H17" i="5" s="1"/>
  <c r="G16" i="5"/>
  <c r="G17" i="5" s="1"/>
  <c r="F16" i="5"/>
  <c r="F17" i="5" s="1"/>
  <c r="E16" i="5"/>
  <c r="E17" i="5" s="1"/>
  <c r="D16" i="5"/>
  <c r="D17" i="5" s="1"/>
  <c r="C16" i="5"/>
  <c r="C17" i="5" s="1"/>
  <c r="L14" i="5"/>
  <c r="K14" i="5"/>
  <c r="H14" i="5"/>
  <c r="N13" i="5"/>
  <c r="L13" i="5"/>
  <c r="K13" i="5"/>
  <c r="J13" i="5"/>
  <c r="Q12" i="5"/>
  <c r="N12" i="5"/>
  <c r="N14" i="5" s="1"/>
  <c r="M12" i="5"/>
  <c r="M14" i="5" s="1"/>
  <c r="L12" i="5"/>
  <c r="K12" i="5"/>
  <c r="J12" i="5"/>
  <c r="J14" i="5" s="1"/>
  <c r="I12" i="5"/>
  <c r="I14" i="5" s="1"/>
  <c r="H12" i="5"/>
  <c r="H13" i="5" s="1"/>
  <c r="G12" i="5"/>
  <c r="G14" i="5" s="1"/>
  <c r="F12" i="5"/>
  <c r="F13" i="5" s="1"/>
  <c r="E12" i="5"/>
  <c r="E13" i="5" s="1"/>
  <c r="D12" i="5"/>
  <c r="D13" i="5" s="1"/>
  <c r="C12" i="5"/>
  <c r="C13" i="5" s="1"/>
  <c r="M111" i="4"/>
  <c r="L111" i="4"/>
  <c r="K111" i="4"/>
  <c r="J111" i="4"/>
  <c r="I111" i="4"/>
  <c r="H111" i="4"/>
  <c r="G111" i="4"/>
  <c r="F111" i="4"/>
  <c r="E111" i="4"/>
  <c r="D111" i="4"/>
  <c r="C111" i="4"/>
  <c r="B111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N107" i="4" s="1"/>
  <c r="M106" i="4"/>
  <c r="L106" i="4"/>
  <c r="K106" i="4"/>
  <c r="J106" i="4"/>
  <c r="I106" i="4"/>
  <c r="H106" i="4"/>
  <c r="G106" i="4"/>
  <c r="F106" i="4"/>
  <c r="E106" i="4"/>
  <c r="D106" i="4"/>
  <c r="C106" i="4"/>
  <c r="B106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M104" i="4"/>
  <c r="L104" i="4"/>
  <c r="K104" i="4"/>
  <c r="J104" i="4"/>
  <c r="I104" i="4"/>
  <c r="H104" i="4"/>
  <c r="G104" i="4"/>
  <c r="F104" i="4"/>
  <c r="E104" i="4"/>
  <c r="D104" i="4"/>
  <c r="N104" i="4" s="1"/>
  <c r="C104" i="4"/>
  <c r="B104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M99" i="4"/>
  <c r="L99" i="4"/>
  <c r="K99" i="4"/>
  <c r="J99" i="4"/>
  <c r="I99" i="4"/>
  <c r="H99" i="4"/>
  <c r="G99" i="4"/>
  <c r="F99" i="4"/>
  <c r="E99" i="4"/>
  <c r="D99" i="4"/>
  <c r="C99" i="4"/>
  <c r="B99" i="4"/>
  <c r="M98" i="4"/>
  <c r="L98" i="4"/>
  <c r="K98" i="4"/>
  <c r="J98" i="4"/>
  <c r="I98" i="4"/>
  <c r="H98" i="4"/>
  <c r="G98" i="4"/>
  <c r="F98" i="4"/>
  <c r="E98" i="4"/>
  <c r="D98" i="4"/>
  <c r="C98" i="4"/>
  <c r="B98" i="4"/>
  <c r="M97" i="4"/>
  <c r="L97" i="4"/>
  <c r="K97" i="4"/>
  <c r="J97" i="4"/>
  <c r="I97" i="4"/>
  <c r="H97" i="4"/>
  <c r="G97" i="4"/>
  <c r="F97" i="4"/>
  <c r="E97" i="4"/>
  <c r="D97" i="4"/>
  <c r="C97" i="4"/>
  <c r="B97" i="4"/>
  <c r="M96" i="4"/>
  <c r="L96" i="4"/>
  <c r="K96" i="4"/>
  <c r="J96" i="4"/>
  <c r="I96" i="4"/>
  <c r="H96" i="4"/>
  <c r="G96" i="4"/>
  <c r="F96" i="4"/>
  <c r="E96" i="4"/>
  <c r="D96" i="4"/>
  <c r="C96" i="4"/>
  <c r="B96" i="4"/>
  <c r="N96" i="4" s="1"/>
  <c r="M95" i="4"/>
  <c r="L95" i="4"/>
  <c r="K95" i="4"/>
  <c r="J95" i="4"/>
  <c r="I95" i="4"/>
  <c r="H95" i="4"/>
  <c r="G95" i="4"/>
  <c r="F95" i="4"/>
  <c r="E95" i="4"/>
  <c r="D95" i="4"/>
  <c r="C95" i="4"/>
  <c r="B95" i="4"/>
  <c r="M94" i="4"/>
  <c r="L94" i="4"/>
  <c r="K94" i="4"/>
  <c r="J94" i="4"/>
  <c r="I94" i="4"/>
  <c r="H94" i="4"/>
  <c r="G94" i="4"/>
  <c r="F94" i="4"/>
  <c r="E94" i="4"/>
  <c r="D94" i="4"/>
  <c r="C94" i="4"/>
  <c r="B94" i="4"/>
  <c r="M93" i="4"/>
  <c r="L93" i="4"/>
  <c r="K93" i="4"/>
  <c r="J93" i="4"/>
  <c r="I93" i="4"/>
  <c r="H93" i="4"/>
  <c r="G93" i="4"/>
  <c r="F93" i="4"/>
  <c r="E93" i="4"/>
  <c r="D93" i="4"/>
  <c r="C93" i="4"/>
  <c r="B93" i="4"/>
  <c r="M92" i="4"/>
  <c r="L92" i="4"/>
  <c r="K92" i="4"/>
  <c r="J92" i="4"/>
  <c r="I92" i="4"/>
  <c r="H92" i="4"/>
  <c r="G92" i="4"/>
  <c r="F92" i="4"/>
  <c r="E92" i="4"/>
  <c r="D92" i="4"/>
  <c r="C92" i="4"/>
  <c r="B92" i="4"/>
  <c r="M91" i="4"/>
  <c r="L91" i="4"/>
  <c r="K91" i="4"/>
  <c r="J91" i="4"/>
  <c r="I91" i="4"/>
  <c r="H91" i="4"/>
  <c r="G91" i="4"/>
  <c r="F91" i="4"/>
  <c r="E91" i="4"/>
  <c r="D91" i="4"/>
  <c r="C91" i="4"/>
  <c r="B91" i="4"/>
  <c r="N91" i="4" s="1"/>
  <c r="M90" i="4"/>
  <c r="L90" i="4"/>
  <c r="K90" i="4"/>
  <c r="J90" i="4"/>
  <c r="I90" i="4"/>
  <c r="H90" i="4"/>
  <c r="G90" i="4"/>
  <c r="F90" i="4"/>
  <c r="E90" i="4"/>
  <c r="D90" i="4"/>
  <c r="C90" i="4"/>
  <c r="B90" i="4"/>
  <c r="M89" i="4"/>
  <c r="L89" i="4"/>
  <c r="K89" i="4"/>
  <c r="J89" i="4"/>
  <c r="I89" i="4"/>
  <c r="H89" i="4"/>
  <c r="G89" i="4"/>
  <c r="F89" i="4"/>
  <c r="E89" i="4"/>
  <c r="D89" i="4"/>
  <c r="C89" i="4"/>
  <c r="B89" i="4"/>
  <c r="M88" i="4"/>
  <c r="L88" i="4"/>
  <c r="K88" i="4"/>
  <c r="J88" i="4"/>
  <c r="I88" i="4"/>
  <c r="H88" i="4"/>
  <c r="G88" i="4"/>
  <c r="F88" i="4"/>
  <c r="E88" i="4"/>
  <c r="D88" i="4"/>
  <c r="C88" i="4"/>
  <c r="B88" i="4"/>
  <c r="N87" i="4"/>
  <c r="N86" i="4"/>
  <c r="M83" i="4"/>
  <c r="L83" i="4"/>
  <c r="K83" i="4"/>
  <c r="J83" i="4"/>
  <c r="I83" i="4"/>
  <c r="H83" i="4"/>
  <c r="G83" i="4"/>
  <c r="F83" i="4"/>
  <c r="E83" i="4"/>
  <c r="D83" i="4"/>
  <c r="C83" i="4"/>
  <c r="B83" i="4"/>
  <c r="M82" i="4"/>
  <c r="L82" i="4"/>
  <c r="K82" i="4"/>
  <c r="J82" i="4"/>
  <c r="I82" i="4"/>
  <c r="H82" i="4"/>
  <c r="G82" i="4"/>
  <c r="F82" i="4"/>
  <c r="E82" i="4"/>
  <c r="D82" i="4"/>
  <c r="C82" i="4"/>
  <c r="B82" i="4"/>
  <c r="M81" i="4"/>
  <c r="L81" i="4"/>
  <c r="K81" i="4"/>
  <c r="J81" i="4"/>
  <c r="I81" i="4"/>
  <c r="H81" i="4"/>
  <c r="G81" i="4"/>
  <c r="F81" i="4"/>
  <c r="E81" i="4"/>
  <c r="D81" i="4"/>
  <c r="C81" i="4"/>
  <c r="B81" i="4"/>
  <c r="M80" i="4"/>
  <c r="L80" i="4"/>
  <c r="K80" i="4"/>
  <c r="J80" i="4"/>
  <c r="I80" i="4"/>
  <c r="H80" i="4"/>
  <c r="G80" i="4"/>
  <c r="F80" i="4"/>
  <c r="E80" i="4"/>
  <c r="D80" i="4"/>
  <c r="C80" i="4"/>
  <c r="B80" i="4"/>
  <c r="M79" i="4"/>
  <c r="L79" i="4"/>
  <c r="K79" i="4"/>
  <c r="J79" i="4"/>
  <c r="I79" i="4"/>
  <c r="H79" i="4"/>
  <c r="G79" i="4"/>
  <c r="F79" i="4"/>
  <c r="E79" i="4"/>
  <c r="D79" i="4"/>
  <c r="C79" i="4"/>
  <c r="B79" i="4"/>
  <c r="M78" i="4"/>
  <c r="L78" i="4"/>
  <c r="K78" i="4"/>
  <c r="J78" i="4"/>
  <c r="I78" i="4"/>
  <c r="H78" i="4"/>
  <c r="G78" i="4"/>
  <c r="F78" i="4"/>
  <c r="E78" i="4"/>
  <c r="D78" i="4"/>
  <c r="C78" i="4"/>
  <c r="B78" i="4"/>
  <c r="N78" i="4" s="1"/>
  <c r="M77" i="4"/>
  <c r="L77" i="4"/>
  <c r="K77" i="4"/>
  <c r="J77" i="4"/>
  <c r="I77" i="4"/>
  <c r="H77" i="4"/>
  <c r="G77" i="4"/>
  <c r="F77" i="4"/>
  <c r="E77" i="4"/>
  <c r="D77" i="4"/>
  <c r="C77" i="4"/>
  <c r="B77" i="4"/>
  <c r="M76" i="4"/>
  <c r="L76" i="4"/>
  <c r="K76" i="4"/>
  <c r="J76" i="4"/>
  <c r="I76" i="4"/>
  <c r="H76" i="4"/>
  <c r="G76" i="4"/>
  <c r="F76" i="4"/>
  <c r="E76" i="4"/>
  <c r="D76" i="4"/>
  <c r="C76" i="4"/>
  <c r="B76" i="4"/>
  <c r="M75" i="4"/>
  <c r="L75" i="4"/>
  <c r="K75" i="4"/>
  <c r="J75" i="4"/>
  <c r="I75" i="4"/>
  <c r="H75" i="4"/>
  <c r="G75" i="4"/>
  <c r="F75" i="4"/>
  <c r="E75" i="4"/>
  <c r="D75" i="4"/>
  <c r="C75" i="4"/>
  <c r="B75" i="4"/>
  <c r="M74" i="4"/>
  <c r="L74" i="4"/>
  <c r="K74" i="4"/>
  <c r="J74" i="4"/>
  <c r="I74" i="4"/>
  <c r="H74" i="4"/>
  <c r="G74" i="4"/>
  <c r="F74" i="4"/>
  <c r="E74" i="4"/>
  <c r="D74" i="4"/>
  <c r="C74" i="4"/>
  <c r="B74" i="4"/>
  <c r="M73" i="4"/>
  <c r="L73" i="4"/>
  <c r="K73" i="4"/>
  <c r="J73" i="4"/>
  <c r="I73" i="4"/>
  <c r="H73" i="4"/>
  <c r="G73" i="4"/>
  <c r="F73" i="4"/>
  <c r="E73" i="4"/>
  <c r="D73" i="4"/>
  <c r="C73" i="4"/>
  <c r="B73" i="4"/>
  <c r="M72" i="4"/>
  <c r="L72" i="4"/>
  <c r="K72" i="4"/>
  <c r="J72" i="4"/>
  <c r="I72" i="4"/>
  <c r="H72" i="4"/>
  <c r="G72" i="4"/>
  <c r="F72" i="4"/>
  <c r="E72" i="4"/>
  <c r="D72" i="4"/>
  <c r="C72" i="4"/>
  <c r="B72" i="4"/>
  <c r="M71" i="4"/>
  <c r="L71" i="4"/>
  <c r="K71" i="4"/>
  <c r="J71" i="4"/>
  <c r="I71" i="4"/>
  <c r="H71" i="4"/>
  <c r="G71" i="4"/>
  <c r="F71" i="4"/>
  <c r="E71" i="4"/>
  <c r="D71" i="4"/>
  <c r="C71" i="4"/>
  <c r="B71" i="4"/>
  <c r="M70" i="4"/>
  <c r="L70" i="4"/>
  <c r="K70" i="4"/>
  <c r="J70" i="4"/>
  <c r="I70" i="4"/>
  <c r="H70" i="4"/>
  <c r="G70" i="4"/>
  <c r="F70" i="4"/>
  <c r="E70" i="4"/>
  <c r="D70" i="4"/>
  <c r="C70" i="4"/>
  <c r="B70" i="4"/>
  <c r="N70" i="4" s="1"/>
  <c r="M69" i="4"/>
  <c r="L69" i="4"/>
  <c r="K69" i="4"/>
  <c r="J69" i="4"/>
  <c r="I69" i="4"/>
  <c r="H69" i="4"/>
  <c r="G69" i="4"/>
  <c r="F69" i="4"/>
  <c r="E69" i="4"/>
  <c r="D69" i="4"/>
  <c r="C69" i="4"/>
  <c r="B69" i="4"/>
  <c r="M68" i="4"/>
  <c r="L68" i="4"/>
  <c r="K68" i="4"/>
  <c r="J68" i="4"/>
  <c r="I68" i="4"/>
  <c r="H68" i="4"/>
  <c r="G68" i="4"/>
  <c r="F68" i="4"/>
  <c r="E68" i="4"/>
  <c r="D68" i="4"/>
  <c r="C68" i="4"/>
  <c r="B68" i="4"/>
  <c r="M67" i="4"/>
  <c r="L67" i="4"/>
  <c r="K67" i="4"/>
  <c r="J67" i="4"/>
  <c r="I67" i="4"/>
  <c r="H67" i="4"/>
  <c r="G67" i="4"/>
  <c r="F67" i="4"/>
  <c r="E67" i="4"/>
  <c r="D67" i="4"/>
  <c r="C67" i="4"/>
  <c r="B67" i="4"/>
  <c r="M66" i="4"/>
  <c r="L66" i="4"/>
  <c r="K66" i="4"/>
  <c r="J66" i="4"/>
  <c r="I66" i="4"/>
  <c r="H66" i="4"/>
  <c r="G66" i="4"/>
  <c r="F66" i="4"/>
  <c r="E66" i="4"/>
  <c r="D66" i="4"/>
  <c r="C66" i="4"/>
  <c r="B66" i="4"/>
  <c r="M65" i="4"/>
  <c r="L65" i="4"/>
  <c r="K65" i="4"/>
  <c r="J65" i="4"/>
  <c r="I65" i="4"/>
  <c r="H65" i="4"/>
  <c r="G65" i="4"/>
  <c r="F65" i="4"/>
  <c r="E65" i="4"/>
  <c r="D65" i="4"/>
  <c r="C65" i="4"/>
  <c r="B65" i="4"/>
  <c r="N65" i="4" s="1"/>
  <c r="M64" i="4"/>
  <c r="L64" i="4"/>
  <c r="K64" i="4"/>
  <c r="J64" i="4"/>
  <c r="I64" i="4"/>
  <c r="H64" i="4"/>
  <c r="G64" i="4"/>
  <c r="F64" i="4"/>
  <c r="E64" i="4"/>
  <c r="D64" i="4"/>
  <c r="C64" i="4"/>
  <c r="B64" i="4"/>
  <c r="M63" i="4"/>
  <c r="L63" i="4"/>
  <c r="K63" i="4"/>
  <c r="J63" i="4"/>
  <c r="I63" i="4"/>
  <c r="H63" i="4"/>
  <c r="G63" i="4"/>
  <c r="F63" i="4"/>
  <c r="E63" i="4"/>
  <c r="D63" i="4"/>
  <c r="C63" i="4"/>
  <c r="B63" i="4"/>
  <c r="M62" i="4"/>
  <c r="L62" i="4"/>
  <c r="K62" i="4"/>
  <c r="J62" i="4"/>
  <c r="I62" i="4"/>
  <c r="H62" i="4"/>
  <c r="G62" i="4"/>
  <c r="F62" i="4"/>
  <c r="E62" i="4"/>
  <c r="D62" i="4"/>
  <c r="C62" i="4"/>
  <c r="B62" i="4"/>
  <c r="M61" i="4"/>
  <c r="L61" i="4"/>
  <c r="K61" i="4"/>
  <c r="J61" i="4"/>
  <c r="I61" i="4"/>
  <c r="H61" i="4"/>
  <c r="G61" i="4"/>
  <c r="F61" i="4"/>
  <c r="E61" i="4"/>
  <c r="D61" i="4"/>
  <c r="C61" i="4"/>
  <c r="B61" i="4"/>
  <c r="N61" i="4" s="1"/>
  <c r="N60" i="4"/>
  <c r="N59" i="4"/>
  <c r="M56" i="4"/>
  <c r="L56" i="4"/>
  <c r="K56" i="4"/>
  <c r="J56" i="4"/>
  <c r="I56" i="4"/>
  <c r="H56" i="4"/>
  <c r="G56" i="4"/>
  <c r="F56" i="4"/>
  <c r="E56" i="4"/>
  <c r="D56" i="4"/>
  <c r="C56" i="4"/>
  <c r="B56" i="4"/>
  <c r="M55" i="4"/>
  <c r="L55" i="4"/>
  <c r="K55" i="4"/>
  <c r="J55" i="4"/>
  <c r="I55" i="4"/>
  <c r="H55" i="4"/>
  <c r="G55" i="4"/>
  <c r="F55" i="4"/>
  <c r="E55" i="4"/>
  <c r="D55" i="4"/>
  <c r="C55" i="4"/>
  <c r="B55" i="4"/>
  <c r="M54" i="4"/>
  <c r="L54" i="4"/>
  <c r="K54" i="4"/>
  <c r="J54" i="4"/>
  <c r="I54" i="4"/>
  <c r="H54" i="4"/>
  <c r="G54" i="4"/>
  <c r="F54" i="4"/>
  <c r="E54" i="4"/>
  <c r="D54" i="4"/>
  <c r="C54" i="4"/>
  <c r="B54" i="4"/>
  <c r="M53" i="4"/>
  <c r="L53" i="4"/>
  <c r="K53" i="4"/>
  <c r="J53" i="4"/>
  <c r="I53" i="4"/>
  <c r="H53" i="4"/>
  <c r="G53" i="4"/>
  <c r="F53" i="4"/>
  <c r="E53" i="4"/>
  <c r="D53" i="4"/>
  <c r="C53" i="4"/>
  <c r="B53" i="4"/>
  <c r="N53" i="4" s="1"/>
  <c r="M52" i="4"/>
  <c r="N52" i="4" s="1"/>
  <c r="L52" i="4"/>
  <c r="K52" i="4"/>
  <c r="J52" i="4"/>
  <c r="I52" i="4"/>
  <c r="H52" i="4"/>
  <c r="G52" i="4"/>
  <c r="F52" i="4"/>
  <c r="E52" i="4"/>
  <c r="D52" i="4"/>
  <c r="C52" i="4"/>
  <c r="B52" i="4"/>
  <c r="M51" i="4"/>
  <c r="L51" i="4"/>
  <c r="K51" i="4"/>
  <c r="J51" i="4"/>
  <c r="I51" i="4"/>
  <c r="H51" i="4"/>
  <c r="G51" i="4"/>
  <c r="F51" i="4"/>
  <c r="E51" i="4"/>
  <c r="D51" i="4"/>
  <c r="C51" i="4"/>
  <c r="B51" i="4"/>
  <c r="M50" i="4"/>
  <c r="L50" i="4"/>
  <c r="K50" i="4"/>
  <c r="J50" i="4"/>
  <c r="I50" i="4"/>
  <c r="H50" i="4"/>
  <c r="G50" i="4"/>
  <c r="F50" i="4"/>
  <c r="E50" i="4"/>
  <c r="D50" i="4"/>
  <c r="C50" i="4"/>
  <c r="B50" i="4"/>
  <c r="M49" i="4"/>
  <c r="L49" i="4"/>
  <c r="K49" i="4"/>
  <c r="J49" i="4"/>
  <c r="I49" i="4"/>
  <c r="H49" i="4"/>
  <c r="G49" i="4"/>
  <c r="F49" i="4"/>
  <c r="E49" i="4"/>
  <c r="D49" i="4"/>
  <c r="C49" i="4"/>
  <c r="B49" i="4"/>
  <c r="M48" i="4"/>
  <c r="L48" i="4"/>
  <c r="K48" i="4"/>
  <c r="J48" i="4"/>
  <c r="I48" i="4"/>
  <c r="H48" i="4"/>
  <c r="G48" i="4"/>
  <c r="F48" i="4"/>
  <c r="E48" i="4"/>
  <c r="D48" i="4"/>
  <c r="C48" i="4"/>
  <c r="B48" i="4"/>
  <c r="M47" i="4"/>
  <c r="L47" i="4"/>
  <c r="K47" i="4"/>
  <c r="J47" i="4"/>
  <c r="I47" i="4"/>
  <c r="H47" i="4"/>
  <c r="G47" i="4"/>
  <c r="F47" i="4"/>
  <c r="E47" i="4"/>
  <c r="D47" i="4"/>
  <c r="C47" i="4"/>
  <c r="B47" i="4"/>
  <c r="M46" i="4"/>
  <c r="L46" i="4"/>
  <c r="K46" i="4"/>
  <c r="J46" i="4"/>
  <c r="I46" i="4"/>
  <c r="H46" i="4"/>
  <c r="G46" i="4"/>
  <c r="F46" i="4"/>
  <c r="E46" i="4"/>
  <c r="D46" i="4"/>
  <c r="C46" i="4"/>
  <c r="B46" i="4"/>
  <c r="M45" i="4"/>
  <c r="L45" i="4"/>
  <c r="K45" i="4"/>
  <c r="J45" i="4"/>
  <c r="I45" i="4"/>
  <c r="H45" i="4"/>
  <c r="G45" i="4"/>
  <c r="F45" i="4"/>
  <c r="E45" i="4"/>
  <c r="D45" i="4"/>
  <c r="C45" i="4"/>
  <c r="B45" i="4"/>
  <c r="M44" i="4"/>
  <c r="L44" i="4"/>
  <c r="K44" i="4"/>
  <c r="J44" i="4"/>
  <c r="I44" i="4"/>
  <c r="H44" i="4"/>
  <c r="G44" i="4"/>
  <c r="F44" i="4"/>
  <c r="E44" i="4"/>
  <c r="D44" i="4"/>
  <c r="C44" i="4"/>
  <c r="B44" i="4"/>
  <c r="N44" i="4" s="1"/>
  <c r="M43" i="4"/>
  <c r="L43" i="4"/>
  <c r="K43" i="4"/>
  <c r="J43" i="4"/>
  <c r="I43" i="4"/>
  <c r="H43" i="4"/>
  <c r="G43" i="4"/>
  <c r="F43" i="4"/>
  <c r="E43" i="4"/>
  <c r="D43" i="4"/>
  <c r="C43" i="4"/>
  <c r="B43" i="4"/>
  <c r="M42" i="4"/>
  <c r="L42" i="4"/>
  <c r="K42" i="4"/>
  <c r="J42" i="4"/>
  <c r="I42" i="4"/>
  <c r="H42" i="4"/>
  <c r="G42" i="4"/>
  <c r="F42" i="4"/>
  <c r="E42" i="4"/>
  <c r="D42" i="4"/>
  <c r="C42" i="4"/>
  <c r="B42" i="4"/>
  <c r="M41" i="4"/>
  <c r="L41" i="4"/>
  <c r="K41" i="4"/>
  <c r="J41" i="4"/>
  <c r="I41" i="4"/>
  <c r="H41" i="4"/>
  <c r="G41" i="4"/>
  <c r="F41" i="4"/>
  <c r="E41" i="4"/>
  <c r="D41" i="4"/>
  <c r="C41" i="4"/>
  <c r="B41" i="4"/>
  <c r="M40" i="4"/>
  <c r="L40" i="4"/>
  <c r="K40" i="4"/>
  <c r="J40" i="4"/>
  <c r="I40" i="4"/>
  <c r="H40" i="4"/>
  <c r="G40" i="4"/>
  <c r="F40" i="4"/>
  <c r="E40" i="4"/>
  <c r="D40" i="4"/>
  <c r="C40" i="4"/>
  <c r="B40" i="4"/>
  <c r="N40" i="4" s="1"/>
  <c r="M39" i="4"/>
  <c r="L39" i="4"/>
  <c r="K39" i="4"/>
  <c r="N39" i="4" s="1"/>
  <c r="J39" i="4"/>
  <c r="I39" i="4"/>
  <c r="H39" i="4"/>
  <c r="G39" i="4"/>
  <c r="F39" i="4"/>
  <c r="E39" i="4"/>
  <c r="D39" i="4"/>
  <c r="C39" i="4"/>
  <c r="B39" i="4"/>
  <c r="M38" i="4"/>
  <c r="L38" i="4"/>
  <c r="K38" i="4"/>
  <c r="J38" i="4"/>
  <c r="I38" i="4"/>
  <c r="H38" i="4"/>
  <c r="G38" i="4"/>
  <c r="F38" i="4"/>
  <c r="E38" i="4"/>
  <c r="D38" i="4"/>
  <c r="C38" i="4"/>
  <c r="B38" i="4"/>
  <c r="M37" i="4"/>
  <c r="L37" i="4"/>
  <c r="K37" i="4"/>
  <c r="J37" i="4"/>
  <c r="I37" i="4"/>
  <c r="H37" i="4"/>
  <c r="G37" i="4"/>
  <c r="F37" i="4"/>
  <c r="E37" i="4"/>
  <c r="D37" i="4"/>
  <c r="C37" i="4"/>
  <c r="B37" i="4"/>
  <c r="M36" i="4"/>
  <c r="L36" i="4"/>
  <c r="K36" i="4"/>
  <c r="J36" i="4"/>
  <c r="I36" i="4"/>
  <c r="H36" i="4"/>
  <c r="G36" i="4"/>
  <c r="F36" i="4"/>
  <c r="E36" i="4"/>
  <c r="D36" i="4"/>
  <c r="C36" i="4"/>
  <c r="B36" i="4"/>
  <c r="M35" i="4"/>
  <c r="L35" i="4"/>
  <c r="K35" i="4"/>
  <c r="J35" i="4"/>
  <c r="I35" i="4"/>
  <c r="H35" i="4"/>
  <c r="G35" i="4"/>
  <c r="F35" i="4"/>
  <c r="E35" i="4"/>
  <c r="D35" i="4"/>
  <c r="C35" i="4"/>
  <c r="B35" i="4"/>
  <c r="M34" i="4"/>
  <c r="L34" i="4"/>
  <c r="K34" i="4"/>
  <c r="J34" i="4"/>
  <c r="I34" i="4"/>
  <c r="H34" i="4"/>
  <c r="G34" i="4"/>
  <c r="F34" i="4"/>
  <c r="E34" i="4"/>
  <c r="D34" i="4"/>
  <c r="C34" i="4"/>
  <c r="B34" i="4"/>
  <c r="N33" i="4"/>
  <c r="N32" i="4"/>
  <c r="M29" i="4"/>
  <c r="L29" i="4"/>
  <c r="K29" i="4"/>
  <c r="J29" i="4"/>
  <c r="I29" i="4"/>
  <c r="H29" i="4"/>
  <c r="G29" i="4"/>
  <c r="F29" i="4"/>
  <c r="E29" i="4"/>
  <c r="D29" i="4"/>
  <c r="C29" i="4"/>
  <c r="B29" i="4"/>
  <c r="M28" i="4"/>
  <c r="L28" i="4"/>
  <c r="K28" i="4"/>
  <c r="J28" i="4"/>
  <c r="I28" i="4"/>
  <c r="H28" i="4"/>
  <c r="G28" i="4"/>
  <c r="F28" i="4"/>
  <c r="E28" i="4"/>
  <c r="D28" i="4"/>
  <c r="C28" i="4"/>
  <c r="B28" i="4"/>
  <c r="M27" i="4"/>
  <c r="L27" i="4"/>
  <c r="K27" i="4"/>
  <c r="J27" i="4"/>
  <c r="I27" i="4"/>
  <c r="H27" i="4"/>
  <c r="G27" i="4"/>
  <c r="F27" i="4"/>
  <c r="E27" i="4"/>
  <c r="D27" i="4"/>
  <c r="C27" i="4"/>
  <c r="B27" i="4"/>
  <c r="M26" i="4"/>
  <c r="L26" i="4"/>
  <c r="N26" i="4" s="1"/>
  <c r="K26" i="4"/>
  <c r="J26" i="4"/>
  <c r="I26" i="4"/>
  <c r="H26" i="4"/>
  <c r="G26" i="4"/>
  <c r="F26" i="4"/>
  <c r="E26" i="4"/>
  <c r="D26" i="4"/>
  <c r="C26" i="4"/>
  <c r="B26" i="4"/>
  <c r="M25" i="4"/>
  <c r="L25" i="4"/>
  <c r="K25" i="4"/>
  <c r="J25" i="4"/>
  <c r="I25" i="4"/>
  <c r="H25" i="4"/>
  <c r="G25" i="4"/>
  <c r="F25" i="4"/>
  <c r="E25" i="4"/>
  <c r="D25" i="4"/>
  <c r="C25" i="4"/>
  <c r="B25" i="4"/>
  <c r="M24" i="4"/>
  <c r="L24" i="4"/>
  <c r="K24" i="4"/>
  <c r="J24" i="4"/>
  <c r="I24" i="4"/>
  <c r="H24" i="4"/>
  <c r="G24" i="4"/>
  <c r="F24" i="4"/>
  <c r="E24" i="4"/>
  <c r="D24" i="4"/>
  <c r="C24" i="4"/>
  <c r="B24" i="4"/>
  <c r="M23" i="4"/>
  <c r="L23" i="4"/>
  <c r="K23" i="4"/>
  <c r="J23" i="4"/>
  <c r="I23" i="4"/>
  <c r="H23" i="4"/>
  <c r="G23" i="4"/>
  <c r="F23" i="4"/>
  <c r="E23" i="4"/>
  <c r="D23" i="4"/>
  <c r="C23" i="4"/>
  <c r="B23" i="4"/>
  <c r="M22" i="4"/>
  <c r="L22" i="4"/>
  <c r="K22" i="4"/>
  <c r="J22" i="4"/>
  <c r="I22" i="4"/>
  <c r="H22" i="4"/>
  <c r="G22" i="4"/>
  <c r="F22" i="4"/>
  <c r="E22" i="4"/>
  <c r="D22" i="4"/>
  <c r="C22" i="4"/>
  <c r="B22" i="4"/>
  <c r="M21" i="4"/>
  <c r="L21" i="4"/>
  <c r="K21" i="4"/>
  <c r="J21" i="4"/>
  <c r="I21" i="4"/>
  <c r="H21" i="4"/>
  <c r="G21" i="4"/>
  <c r="F21" i="4"/>
  <c r="E21" i="4"/>
  <c r="D21" i="4"/>
  <c r="C21" i="4"/>
  <c r="B21" i="4"/>
  <c r="M20" i="4"/>
  <c r="L20" i="4"/>
  <c r="K20" i="4"/>
  <c r="J20" i="4"/>
  <c r="I20" i="4"/>
  <c r="H20" i="4"/>
  <c r="G20" i="4"/>
  <c r="F20" i="4"/>
  <c r="E20" i="4"/>
  <c r="D20" i="4"/>
  <c r="C20" i="4"/>
  <c r="B20" i="4"/>
  <c r="M19" i="4"/>
  <c r="L19" i="4"/>
  <c r="K19" i="4"/>
  <c r="J19" i="4"/>
  <c r="I19" i="4"/>
  <c r="H19" i="4"/>
  <c r="G19" i="4"/>
  <c r="F19" i="4"/>
  <c r="E19" i="4"/>
  <c r="D19" i="4"/>
  <c r="C19" i="4"/>
  <c r="B19" i="4"/>
  <c r="N19" i="4" s="1"/>
  <c r="M18" i="4"/>
  <c r="L18" i="4"/>
  <c r="K18" i="4"/>
  <c r="N18" i="4" s="1"/>
  <c r="J18" i="4"/>
  <c r="I18" i="4"/>
  <c r="H18" i="4"/>
  <c r="G18" i="4"/>
  <c r="F18" i="4"/>
  <c r="E18" i="4"/>
  <c r="D18" i="4"/>
  <c r="C18" i="4"/>
  <c r="B18" i="4"/>
  <c r="M17" i="4"/>
  <c r="L17" i="4"/>
  <c r="K17" i="4"/>
  <c r="J17" i="4"/>
  <c r="I17" i="4"/>
  <c r="H17" i="4"/>
  <c r="G17" i="4"/>
  <c r="F17" i="4"/>
  <c r="E17" i="4"/>
  <c r="D17" i="4"/>
  <c r="C17" i="4"/>
  <c r="B17" i="4"/>
  <c r="M16" i="4"/>
  <c r="L16" i="4"/>
  <c r="K16" i="4"/>
  <c r="J16" i="4"/>
  <c r="I16" i="4"/>
  <c r="H16" i="4"/>
  <c r="G16" i="4"/>
  <c r="F16" i="4"/>
  <c r="E16" i="4"/>
  <c r="D16" i="4"/>
  <c r="C16" i="4"/>
  <c r="B16" i="4"/>
  <c r="M15" i="4"/>
  <c r="L15" i="4"/>
  <c r="K15" i="4"/>
  <c r="J15" i="4"/>
  <c r="I15" i="4"/>
  <c r="H15" i="4"/>
  <c r="G15" i="4"/>
  <c r="F15" i="4"/>
  <c r="E15" i="4"/>
  <c r="D15" i="4"/>
  <c r="C15" i="4"/>
  <c r="B15" i="4"/>
  <c r="M14" i="4"/>
  <c r="L14" i="4"/>
  <c r="K14" i="4"/>
  <c r="J14" i="4"/>
  <c r="I14" i="4"/>
  <c r="H14" i="4"/>
  <c r="G14" i="4"/>
  <c r="F14" i="4"/>
  <c r="E14" i="4"/>
  <c r="D14" i="4"/>
  <c r="C14" i="4"/>
  <c r="B14" i="4"/>
  <c r="M13" i="4"/>
  <c r="L13" i="4"/>
  <c r="K13" i="4"/>
  <c r="J13" i="4"/>
  <c r="I13" i="4"/>
  <c r="H13" i="4"/>
  <c r="G13" i="4"/>
  <c r="F13" i="4"/>
  <c r="E13" i="4"/>
  <c r="D13" i="4"/>
  <c r="C13" i="4"/>
  <c r="B13" i="4"/>
  <c r="M12" i="4"/>
  <c r="L12" i="4"/>
  <c r="K12" i="4"/>
  <c r="J12" i="4"/>
  <c r="I12" i="4"/>
  <c r="H12" i="4"/>
  <c r="G12" i="4"/>
  <c r="F12" i="4"/>
  <c r="E12" i="4"/>
  <c r="D12" i="4"/>
  <c r="C12" i="4"/>
  <c r="B12" i="4"/>
  <c r="M11" i="4"/>
  <c r="L11" i="4"/>
  <c r="K11" i="4"/>
  <c r="J11" i="4"/>
  <c r="I11" i="4"/>
  <c r="H11" i="4"/>
  <c r="G11" i="4"/>
  <c r="F11" i="4"/>
  <c r="E11" i="4"/>
  <c r="D11" i="4"/>
  <c r="C11" i="4"/>
  <c r="B11" i="4"/>
  <c r="M10" i="4"/>
  <c r="L10" i="4"/>
  <c r="K10" i="4"/>
  <c r="J10" i="4"/>
  <c r="I10" i="4"/>
  <c r="H10" i="4"/>
  <c r="G10" i="4"/>
  <c r="F10" i="4"/>
  <c r="E10" i="4"/>
  <c r="D10" i="4"/>
  <c r="C10" i="4"/>
  <c r="B10" i="4"/>
  <c r="M9" i="4"/>
  <c r="L9" i="4"/>
  <c r="K9" i="4"/>
  <c r="J9" i="4"/>
  <c r="I9" i="4"/>
  <c r="H9" i="4"/>
  <c r="G9" i="4"/>
  <c r="F9" i="4"/>
  <c r="E9" i="4"/>
  <c r="D9" i="4"/>
  <c r="C9" i="4"/>
  <c r="B9" i="4"/>
  <c r="M8" i="4"/>
  <c r="L8" i="4"/>
  <c r="K8" i="4"/>
  <c r="J8" i="4"/>
  <c r="I8" i="4"/>
  <c r="H8" i="4"/>
  <c r="G8" i="4"/>
  <c r="F8" i="4"/>
  <c r="E8" i="4"/>
  <c r="D8" i="4"/>
  <c r="C8" i="4"/>
  <c r="B8" i="4"/>
  <c r="M7" i="4"/>
  <c r="L7" i="4"/>
  <c r="K7" i="4"/>
  <c r="J7" i="4"/>
  <c r="I7" i="4"/>
  <c r="H7" i="4"/>
  <c r="G7" i="4"/>
  <c r="F7" i="4"/>
  <c r="E7" i="4"/>
  <c r="D7" i="4"/>
  <c r="C7" i="4"/>
  <c r="B7" i="4"/>
  <c r="N6" i="4"/>
  <c r="N5" i="4"/>
  <c r="E2" i="3" a="1"/>
  <c r="E2" i="3" s="1"/>
  <c r="D2" i="3" a="1"/>
  <c r="D2" i="3" s="1"/>
  <c r="E85" i="1"/>
  <c r="B50" i="1"/>
  <c r="F42" i="1"/>
  <c r="E42" i="1"/>
  <c r="D41" i="1"/>
  <c r="D42" i="1" s="1"/>
  <c r="C41" i="1"/>
  <c r="C42" i="1" s="1"/>
  <c r="D40" i="1"/>
  <c r="C40" i="1"/>
  <c r="D37" i="1"/>
  <c r="N24" i="1"/>
  <c r="C34" i="6" s="1"/>
  <c r="BB17" i="6" s="1"/>
  <c r="M24" i="1"/>
  <c r="C33" i="6" s="1"/>
  <c r="BD16" i="6" s="1"/>
  <c r="L24" i="1"/>
  <c r="C32" i="6" s="1"/>
  <c r="BD15" i="6" s="1"/>
  <c r="K24" i="1"/>
  <c r="C31" i="6" s="1"/>
  <c r="J24" i="1"/>
  <c r="C30" i="6" s="1"/>
  <c r="BD13" i="6" s="1"/>
  <c r="I24" i="1"/>
  <c r="C29" i="6" s="1"/>
  <c r="BD12" i="6" s="1"/>
  <c r="H24" i="1"/>
  <c r="C28" i="6" s="1"/>
  <c r="BD11" i="6" s="1"/>
  <c r="G24" i="1"/>
  <c r="C27" i="6" s="1"/>
  <c r="F24" i="1"/>
  <c r="C26" i="6" s="1"/>
  <c r="BE9" i="6" s="1"/>
  <c r="E24" i="1"/>
  <c r="C25" i="6" s="1"/>
  <c r="BE8" i="6" s="1"/>
  <c r="D24" i="1"/>
  <c r="C14" i="1"/>
  <c r="C5" i="1"/>
  <c r="C4" i="1"/>
  <c r="D109" i="6" s="1"/>
  <c r="N7" i="4" l="1"/>
  <c r="N14" i="4"/>
  <c r="N22" i="4"/>
  <c r="N43" i="4"/>
  <c r="N47" i="4"/>
  <c r="N51" i="4"/>
  <c r="N68" i="4"/>
  <c r="N89" i="4"/>
  <c r="L18" i="5"/>
  <c r="E21" i="5"/>
  <c r="N55" i="4"/>
  <c r="N72" i="4"/>
  <c r="N98" i="4"/>
  <c r="N106" i="4"/>
  <c r="N9" i="4"/>
  <c r="N34" i="4"/>
  <c r="N38" i="4"/>
  <c r="N41" i="4"/>
  <c r="N97" i="4"/>
  <c r="O20" i="5"/>
  <c r="N17" i="4"/>
  <c r="N25" i="4"/>
  <c r="N42" i="4"/>
  <c r="N63" i="4"/>
  <c r="N105" i="4"/>
  <c r="M21" i="5"/>
  <c r="N21" i="4"/>
  <c r="N29" i="4"/>
  <c r="N80" i="4"/>
  <c r="N88" i="4"/>
  <c r="N101" i="4"/>
  <c r="N102" i="4"/>
  <c r="N21" i="5"/>
  <c r="N15" i="4"/>
  <c r="N46" i="4"/>
  <c r="N71" i="4"/>
  <c r="N92" i="4"/>
  <c r="I13" i="5"/>
  <c r="G25" i="5"/>
  <c r="N8" i="4"/>
  <c r="N12" i="4"/>
  <c r="N16" i="4"/>
  <c r="N37" i="4"/>
  <c r="N79" i="4"/>
  <c r="N13" i="4"/>
  <c r="N54" i="4"/>
  <c r="N62" i="4"/>
  <c r="N75" i="4"/>
  <c r="N76" i="4"/>
  <c r="N100" i="4"/>
  <c r="N108" i="4"/>
  <c r="BC14" i="6"/>
  <c r="N20" i="4"/>
  <c r="N45" i="4"/>
  <c r="N66" i="4"/>
  <c r="N11" i="4"/>
  <c r="N28" i="4"/>
  <c r="N36" i="4"/>
  <c r="N49" i="4"/>
  <c r="N50" i="4"/>
  <c r="N74" i="4"/>
  <c r="N82" i="4"/>
  <c r="N83" i="4"/>
  <c r="N95" i="4"/>
  <c r="N99" i="4"/>
  <c r="N103" i="4"/>
  <c r="D14" i="5"/>
  <c r="M25" i="5"/>
  <c r="N27" i="4"/>
  <c r="N90" i="4"/>
  <c r="N93" i="4"/>
  <c r="N111" i="4"/>
  <c r="N23" i="4"/>
  <c r="N24" i="4"/>
  <c r="N48" i="4"/>
  <c r="N56" i="4"/>
  <c r="N69" i="4"/>
  <c r="N77" i="4"/>
  <c r="N94" i="4"/>
  <c r="N10" i="4"/>
  <c r="N35" i="4"/>
  <c r="N73" i="4"/>
  <c r="N81" i="4"/>
  <c r="N109" i="4"/>
  <c r="H18" i="5"/>
  <c r="N64" i="4"/>
  <c r="N67" i="4"/>
  <c r="N110" i="4"/>
  <c r="K18" i="5"/>
  <c r="D21" i="5"/>
  <c r="BE12" i="6"/>
  <c r="BE10" i="6"/>
  <c r="BE11" i="6"/>
  <c r="BE13" i="6"/>
  <c r="BE14" i="6"/>
  <c r="BE15" i="6"/>
  <c r="BE16" i="6"/>
  <c r="BE17" i="6"/>
  <c r="BD8" i="6"/>
  <c r="BD9" i="6"/>
  <c r="BD10" i="6"/>
  <c r="BD14" i="6"/>
  <c r="O24" i="1"/>
  <c r="BD17" i="6"/>
  <c r="BE6" i="6"/>
  <c r="BC16" i="6"/>
  <c r="BC9" i="6"/>
  <c r="BC10" i="6"/>
  <c r="BB10" i="6"/>
  <c r="BC11" i="6"/>
  <c r="BB11" i="6"/>
  <c r="BC13" i="6"/>
  <c r="BB13" i="6"/>
  <c r="BC12" i="6"/>
  <c r="BB12" i="6"/>
  <c r="BC8" i="6"/>
  <c r="BB8" i="6"/>
  <c r="BC15" i="6"/>
  <c r="BB15" i="6"/>
  <c r="G13" i="5"/>
  <c r="J25" i="5"/>
  <c r="J177" i="6"/>
  <c r="F18" i="5"/>
  <c r="F51" i="1" s="1"/>
  <c r="BB16" i="6"/>
  <c r="G18" i="5"/>
  <c r="G51" i="1" s="1"/>
  <c r="C24" i="6"/>
  <c r="J259" i="6"/>
  <c r="J245" i="6"/>
  <c r="J231" i="6"/>
  <c r="J225" i="6"/>
  <c r="J217" i="6"/>
  <c r="J211" i="6"/>
  <c r="J203" i="6"/>
  <c r="J197" i="6"/>
  <c r="J189" i="6"/>
  <c r="J183" i="6"/>
  <c r="J175" i="6"/>
  <c r="J169" i="6"/>
  <c r="J155" i="6"/>
  <c r="J141" i="6"/>
  <c r="J127" i="6"/>
  <c r="J121" i="6"/>
  <c r="J113" i="6"/>
  <c r="J264" i="6"/>
  <c r="J263" i="6"/>
  <c r="J255" i="6"/>
  <c r="J249" i="6"/>
  <c r="J241" i="6"/>
  <c r="J235" i="6"/>
  <c r="J227" i="6"/>
  <c r="J221" i="6"/>
  <c r="J207" i="6"/>
  <c r="J193" i="6"/>
  <c r="J179" i="6"/>
  <c r="J173" i="6"/>
  <c r="J165" i="6"/>
  <c r="J159" i="6"/>
  <c r="J151" i="6"/>
  <c r="J145" i="6"/>
  <c r="J137" i="6"/>
  <c r="J131" i="6"/>
  <c r="J123" i="6"/>
  <c r="J117" i="6"/>
  <c r="J257" i="6"/>
  <c r="J251" i="6"/>
  <c r="J243" i="6"/>
  <c r="J237" i="6"/>
  <c r="J229" i="6"/>
  <c r="J223" i="6"/>
  <c r="J215" i="6"/>
  <c r="J209" i="6"/>
  <c r="J201" i="6"/>
  <c r="J195" i="6"/>
  <c r="J181" i="6"/>
  <c r="J167" i="6"/>
  <c r="J153" i="6"/>
  <c r="J147" i="6"/>
  <c r="J139" i="6"/>
  <c r="J133" i="6"/>
  <c r="J125" i="6"/>
  <c r="J119" i="6"/>
  <c r="J111" i="6"/>
  <c r="J216" i="6"/>
  <c r="J212" i="6"/>
  <c r="J191" i="6"/>
  <c r="J166" i="6"/>
  <c r="J230" i="6"/>
  <c r="J205" i="6"/>
  <c r="J180" i="6"/>
  <c r="J262" i="6"/>
  <c r="J244" i="6"/>
  <c r="J219" i="6"/>
  <c r="J194" i="6"/>
  <c r="J258" i="6"/>
  <c r="J233" i="6"/>
  <c r="J208" i="6"/>
  <c r="J116" i="6"/>
  <c r="J247" i="6"/>
  <c r="J222" i="6"/>
  <c r="J130" i="6"/>
  <c r="J236" i="6"/>
  <c r="J144" i="6"/>
  <c r="J261" i="6"/>
  <c r="J250" i="6"/>
  <c r="J162" i="6"/>
  <c r="J158" i="6"/>
  <c r="J240" i="6"/>
  <c r="J176" i="6"/>
  <c r="J172" i="6"/>
  <c r="J112" i="6"/>
  <c r="J254" i="6"/>
  <c r="J190" i="6"/>
  <c r="J186" i="6"/>
  <c r="J126" i="6"/>
  <c r="J204" i="6"/>
  <c r="J140" i="6"/>
  <c r="J115" i="6"/>
  <c r="J218" i="6"/>
  <c r="J154" i="6"/>
  <c r="J129" i="6"/>
  <c r="J232" i="6"/>
  <c r="J168" i="6"/>
  <c r="J143" i="6"/>
  <c r="J118" i="6"/>
  <c r="J246" i="6"/>
  <c r="J182" i="6"/>
  <c r="J157" i="6"/>
  <c r="J132" i="6"/>
  <c r="J214" i="6"/>
  <c r="J196" i="6"/>
  <c r="J171" i="6"/>
  <c r="J146" i="6"/>
  <c r="J260" i="6"/>
  <c r="J253" i="6"/>
  <c r="J228" i="6"/>
  <c r="J210" i="6"/>
  <c r="J185" i="6"/>
  <c r="J160" i="6"/>
  <c r="J136" i="6"/>
  <c r="J242" i="6"/>
  <c r="J224" i="6"/>
  <c r="J199" i="6"/>
  <c r="J150" i="6"/>
  <c r="J256" i="6"/>
  <c r="J238" i="6"/>
  <c r="J164" i="6"/>
  <c r="J178" i="6"/>
  <c r="J114" i="6"/>
  <c r="J192" i="6"/>
  <c r="J128" i="6"/>
  <c r="J206" i="6"/>
  <c r="J142" i="6"/>
  <c r="J220" i="6"/>
  <c r="J156" i="6"/>
  <c r="J110" i="6"/>
  <c r="J234" i="6"/>
  <c r="J170" i="6"/>
  <c r="J149" i="6"/>
  <c r="J124" i="6"/>
  <c r="J248" i="6"/>
  <c r="J188" i="6"/>
  <c r="J184" i="6"/>
  <c r="J163" i="6"/>
  <c r="J138" i="6"/>
  <c r="J120" i="6"/>
  <c r="I18" i="5"/>
  <c r="O18" i="5" s="1"/>
  <c r="F26" i="5"/>
  <c r="O26" i="5" s="1"/>
  <c r="BB9" i="6"/>
  <c r="M13" i="5"/>
  <c r="J18" i="5"/>
  <c r="J51" i="1" s="1"/>
  <c r="G21" i="5"/>
  <c r="BB14" i="6"/>
  <c r="J198" i="6"/>
  <c r="C51" i="1"/>
  <c r="H21" i="5"/>
  <c r="J202" i="6"/>
  <c r="D51" i="1"/>
  <c r="C14" i="5"/>
  <c r="O16" i="5"/>
  <c r="M18" i="5"/>
  <c r="E14" i="5"/>
  <c r="E51" i="1"/>
  <c r="H51" i="1"/>
  <c r="F14" i="5"/>
  <c r="BC17" i="6"/>
  <c r="J134" i="6"/>
  <c r="D22" i="5"/>
  <c r="O22" i="5" s="1"/>
  <c r="O24" i="5"/>
  <c r="K51" i="1"/>
  <c r="L51" i="1"/>
  <c r="O12" i="5"/>
  <c r="M51" i="1"/>
  <c r="C25" i="5"/>
  <c r="J152" i="6"/>
  <c r="N51" i="1"/>
  <c r="I22" i="5"/>
  <c r="D25" i="5"/>
  <c r="J22" i="5"/>
  <c r="E25" i="5"/>
  <c r="K22" i="5"/>
  <c r="N17" i="5"/>
  <c r="O17" i="5" s="1"/>
  <c r="BC6" i="6"/>
  <c r="BB6" i="6"/>
  <c r="P12" i="5" l="1"/>
  <c r="R12" i="5" s="1"/>
  <c r="I51" i="1"/>
  <c r="O21" i="5"/>
  <c r="BE7" i="6"/>
  <c r="BD7" i="6"/>
  <c r="P20" i="5"/>
  <c r="R20" i="5" s="1"/>
  <c r="P16" i="5"/>
  <c r="O25" i="5"/>
  <c r="P24" i="5"/>
  <c r="R24" i="5" s="1"/>
  <c r="BC7" i="6"/>
  <c r="BB7" i="6"/>
  <c r="O13" i="5"/>
  <c r="O14" i="5"/>
  <c r="R16" i="5" l="1"/>
  <c r="O51" i="1"/>
  <c r="I9" i="1" s="1"/>
  <c r="J9" i="1" l="1"/>
  <c r="J10" i="1" s="1"/>
  <c r="I10" i="1"/>
  <c r="N20" i="1" l="1"/>
  <c r="M20" i="1"/>
  <c r="L20" i="1"/>
  <c r="K20" i="1"/>
  <c r="J20" i="1"/>
  <c r="I20" i="1"/>
  <c r="H20" i="1"/>
  <c r="G20" i="1"/>
  <c r="F20" i="1"/>
  <c r="E20" i="1"/>
  <c r="D20" i="1"/>
  <c r="C20" i="1"/>
  <c r="D18" i="1" l="1"/>
  <c r="K18" i="1"/>
  <c r="N18" i="1"/>
  <c r="J18" i="1"/>
  <c r="G18" i="1"/>
  <c r="I18" i="1"/>
  <c r="M18" i="1"/>
  <c r="E18" i="1"/>
  <c r="L18" i="1"/>
  <c r="H18" i="1"/>
  <c r="F18" i="1"/>
  <c r="O18" i="1" l="1"/>
  <c r="T57" i="6" l="1"/>
  <c r="D44" i="1"/>
  <c r="C44" i="1"/>
  <c r="T213" i="6"/>
  <c r="T252" i="6"/>
  <c r="T109" i="6"/>
  <c r="T122" i="6"/>
  <c r="E44" i="1"/>
  <c r="F43" i="1"/>
  <c r="F66" i="1" s="1"/>
  <c r="T135" i="6"/>
  <c r="T226" i="6"/>
  <c r="D43" i="1"/>
  <c r="D66" i="1" s="1"/>
  <c r="T187" i="6"/>
  <c r="C43" i="1"/>
  <c r="C66" i="1" s="1"/>
  <c r="T96" i="6"/>
  <c r="T148" i="6"/>
  <c r="T44" i="6"/>
  <c r="T18" i="6"/>
  <c r="T83" i="6"/>
  <c r="T5" i="6"/>
  <c r="F44" i="1"/>
  <c r="T239" i="6"/>
  <c r="T200" i="6"/>
  <c r="T161" i="6"/>
  <c r="T70" i="6"/>
  <c r="T174" i="6"/>
  <c r="E43" i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T31" i="6"/>
  <c r="C67" i="1" l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/>
  <c r="F67" i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D47" i="1"/>
  <c r="D55" i="1" s="1"/>
  <c r="C47" i="1"/>
  <c r="C55" i="1" s="1"/>
  <c r="L47" i="1"/>
  <c r="L55" i="1" s="1"/>
  <c r="K47" i="1"/>
  <c r="K55" i="1" s="1"/>
  <c r="J47" i="1"/>
  <c r="J55" i="1" s="1"/>
  <c r="G47" i="1"/>
  <c r="G55" i="1" s="1"/>
  <c r="F47" i="1"/>
  <c r="F55" i="1" s="1"/>
  <c r="E47" i="1"/>
  <c r="E55" i="1" s="1"/>
  <c r="N47" i="1"/>
  <c r="N55" i="1" s="1"/>
  <c r="M47" i="1"/>
  <c r="M55" i="1" s="1"/>
  <c r="I47" i="1"/>
  <c r="I55" i="1" s="1"/>
  <c r="H47" i="1"/>
  <c r="H55" i="1" s="1"/>
  <c r="D67" i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/>
  <c r="G48" i="1"/>
  <c r="G56" i="1" s="1"/>
  <c r="F48" i="1"/>
  <c r="F56" i="1" s="1"/>
  <c r="E48" i="1"/>
  <c r="E56" i="1" s="1"/>
  <c r="D48" i="1"/>
  <c r="D56" i="1" s="1"/>
  <c r="K48" i="1"/>
  <c r="K56" i="1" s="1"/>
  <c r="N48" i="1"/>
  <c r="N56" i="1" s="1"/>
  <c r="M48" i="1"/>
  <c r="M56" i="1" s="1"/>
  <c r="L48" i="1"/>
  <c r="L56" i="1" s="1"/>
  <c r="J48" i="1"/>
  <c r="J56" i="1" s="1"/>
  <c r="C48" i="1"/>
  <c r="C56" i="1" s="1"/>
  <c r="I48" i="1"/>
  <c r="I56" i="1" s="1"/>
  <c r="H48" i="1"/>
  <c r="H56" i="1" s="1"/>
  <c r="H49" i="1"/>
  <c r="H57" i="1" s="1"/>
  <c r="E49" i="1"/>
  <c r="E57" i="1" s="1"/>
  <c r="C49" i="1"/>
  <c r="C57" i="1" s="1"/>
  <c r="M49" i="1"/>
  <c r="M57" i="1" s="1"/>
  <c r="G49" i="1"/>
  <c r="G57" i="1" s="1"/>
  <c r="J49" i="1"/>
  <c r="J57" i="1" s="1"/>
  <c r="I49" i="1"/>
  <c r="I57" i="1" s="1"/>
  <c r="F49" i="1"/>
  <c r="F57" i="1" s="1"/>
  <c r="D49" i="1"/>
  <c r="D57" i="1" s="1"/>
  <c r="N49" i="1"/>
  <c r="N57" i="1" s="1"/>
  <c r="L49" i="1"/>
  <c r="L57" i="1" s="1"/>
  <c r="K49" i="1"/>
  <c r="K57" i="1" s="1"/>
  <c r="N46" i="1"/>
  <c r="N54" i="1" s="1"/>
  <c r="M46" i="1"/>
  <c r="M54" i="1" s="1"/>
  <c r="L46" i="1"/>
  <c r="L54" i="1" s="1"/>
  <c r="G46" i="1"/>
  <c r="G54" i="1" s="1"/>
  <c r="J46" i="1"/>
  <c r="J54" i="1" s="1"/>
  <c r="I46" i="1"/>
  <c r="I54" i="1" s="1"/>
  <c r="H46" i="1"/>
  <c r="H54" i="1" s="1"/>
  <c r="E46" i="1"/>
  <c r="E54" i="1" s="1"/>
  <c r="D46" i="1"/>
  <c r="D54" i="1" s="1"/>
  <c r="C46" i="1"/>
  <c r="C54" i="1" s="1"/>
  <c r="K46" i="1"/>
  <c r="K54" i="1" s="1"/>
  <c r="F46" i="1"/>
  <c r="F54" i="1" s="1"/>
  <c r="G66" i="1" a="1"/>
  <c r="G66" i="1" s="1"/>
  <c r="G78" i="1" a="1"/>
  <c r="G78" i="1" s="1"/>
  <c r="G79" i="1" s="1"/>
  <c r="G80" i="1" s="1"/>
  <c r="L133" i="6" l="1"/>
  <c r="K133" i="6"/>
  <c r="M185" i="6"/>
  <c r="L185" i="6"/>
  <c r="K185" i="6"/>
  <c r="M29" i="6"/>
  <c r="L81" i="6"/>
  <c r="M81" i="6"/>
  <c r="K81" i="6"/>
  <c r="J29" i="6"/>
  <c r="M237" i="6"/>
  <c r="L237" i="6"/>
  <c r="J81" i="6"/>
  <c r="N81" i="6" s="1"/>
  <c r="M133" i="6"/>
  <c r="K237" i="6"/>
  <c r="N237" i="6" s="1"/>
  <c r="L29" i="6"/>
  <c r="K29" i="6"/>
  <c r="M223" i="6"/>
  <c r="L223" i="6"/>
  <c r="K223" i="6"/>
  <c r="N223" i="6" s="1"/>
  <c r="M15" i="6"/>
  <c r="K15" i="6"/>
  <c r="M119" i="6"/>
  <c r="J15" i="6"/>
  <c r="L119" i="6"/>
  <c r="K119" i="6"/>
  <c r="M171" i="6"/>
  <c r="L67" i="6"/>
  <c r="M67" i="6"/>
  <c r="K67" i="6"/>
  <c r="J67" i="6"/>
  <c r="N67" i="6" s="1"/>
  <c r="L15" i="6"/>
  <c r="K171" i="6"/>
  <c r="L171" i="6"/>
  <c r="L37" i="6"/>
  <c r="K37" i="6"/>
  <c r="M193" i="6"/>
  <c r="L245" i="6"/>
  <c r="J37" i="6"/>
  <c r="N37" i="6" s="1"/>
  <c r="L141" i="6"/>
  <c r="M141" i="6"/>
  <c r="K141" i="6"/>
  <c r="M89" i="6"/>
  <c r="L193" i="6"/>
  <c r="K89" i="6"/>
  <c r="K193" i="6"/>
  <c r="N193" i="6" s="1"/>
  <c r="K245" i="6"/>
  <c r="N245" i="6" s="1"/>
  <c r="L89" i="6"/>
  <c r="J89" i="6"/>
  <c r="M245" i="6"/>
  <c r="M37" i="6"/>
  <c r="M151" i="6"/>
  <c r="K151" i="6"/>
  <c r="J47" i="6"/>
  <c r="L151" i="6"/>
  <c r="M203" i="6"/>
  <c r="K203" i="6"/>
  <c r="L203" i="6"/>
  <c r="M255" i="6"/>
  <c r="L255" i="6"/>
  <c r="J99" i="6"/>
  <c r="M47" i="6"/>
  <c r="L47" i="6"/>
  <c r="K99" i="6"/>
  <c r="K255" i="6"/>
  <c r="M99" i="6"/>
  <c r="L99" i="6"/>
  <c r="K47" i="6"/>
  <c r="J76" i="6"/>
  <c r="L128" i="6"/>
  <c r="K128" i="6"/>
  <c r="M24" i="6"/>
  <c r="L24" i="6"/>
  <c r="K24" i="6"/>
  <c r="M180" i="6"/>
  <c r="J24" i="6"/>
  <c r="L180" i="6"/>
  <c r="M232" i="6"/>
  <c r="M128" i="6"/>
  <c r="K180" i="6"/>
  <c r="N180" i="6" s="1"/>
  <c r="K76" i="6"/>
  <c r="L232" i="6"/>
  <c r="M76" i="6"/>
  <c r="L76" i="6"/>
  <c r="K232" i="6"/>
  <c r="L65" i="6"/>
  <c r="K65" i="6"/>
  <c r="M221" i="6"/>
  <c r="L221" i="6"/>
  <c r="K221" i="6"/>
  <c r="K13" i="6"/>
  <c r="M117" i="6"/>
  <c r="L117" i="6"/>
  <c r="M13" i="6"/>
  <c r="L13" i="6"/>
  <c r="K117" i="6"/>
  <c r="N117" i="6" s="1"/>
  <c r="J13" i="6"/>
  <c r="L169" i="6"/>
  <c r="M65" i="6"/>
  <c r="J65" i="6"/>
  <c r="M169" i="6"/>
  <c r="K169" i="6"/>
  <c r="L50" i="6"/>
  <c r="K50" i="6"/>
  <c r="K258" i="6"/>
  <c r="N258" i="6" s="1"/>
  <c r="M102" i="6"/>
  <c r="L102" i="6"/>
  <c r="M154" i="6"/>
  <c r="J50" i="6"/>
  <c r="N50" i="6" s="1"/>
  <c r="K102" i="6"/>
  <c r="K154" i="6"/>
  <c r="N154" i="6" s="1"/>
  <c r="J102" i="6"/>
  <c r="N102" i="6" s="1"/>
  <c r="M50" i="6"/>
  <c r="M206" i="6"/>
  <c r="L258" i="6"/>
  <c r="M258" i="6"/>
  <c r="K206" i="6"/>
  <c r="N206" i="6" s="1"/>
  <c r="L154" i="6"/>
  <c r="L206" i="6"/>
  <c r="L77" i="6"/>
  <c r="M129" i="6"/>
  <c r="K77" i="6"/>
  <c r="L129" i="6"/>
  <c r="J77" i="6"/>
  <c r="K129" i="6"/>
  <c r="N129" i="6" s="1"/>
  <c r="M181" i="6"/>
  <c r="L181" i="6"/>
  <c r="L25" i="6"/>
  <c r="K25" i="6"/>
  <c r="M77" i="6"/>
  <c r="K233" i="6"/>
  <c r="K181" i="6"/>
  <c r="J25" i="6"/>
  <c r="M233" i="6"/>
  <c r="M25" i="6"/>
  <c r="L233" i="6"/>
  <c r="L62" i="6"/>
  <c r="L10" i="6"/>
  <c r="K62" i="6"/>
  <c r="J62" i="6"/>
  <c r="K114" i="6"/>
  <c r="L218" i="6"/>
  <c r="K218" i="6"/>
  <c r="N218" i="6" s="1"/>
  <c r="L114" i="6"/>
  <c r="K10" i="6"/>
  <c r="M166" i="6"/>
  <c r="J10" i="6"/>
  <c r="M10" i="6"/>
  <c r="K166" i="6"/>
  <c r="N166" i="6" s="1"/>
  <c r="M114" i="6"/>
  <c r="L166" i="6"/>
  <c r="M218" i="6"/>
  <c r="M62" i="6"/>
  <c r="M90" i="6"/>
  <c r="K90" i="6"/>
  <c r="K38" i="6"/>
  <c r="M246" i="6"/>
  <c r="M142" i="6"/>
  <c r="L246" i="6"/>
  <c r="K194" i="6"/>
  <c r="N194" i="6" s="1"/>
  <c r="J90" i="6"/>
  <c r="K246" i="6"/>
  <c r="M194" i="6"/>
  <c r="L90" i="6"/>
  <c r="L38" i="6"/>
  <c r="L142" i="6"/>
  <c r="L194" i="6"/>
  <c r="M38" i="6"/>
  <c r="J38" i="6"/>
  <c r="N38" i="6" s="1"/>
  <c r="K142" i="6"/>
  <c r="M238" i="6"/>
  <c r="L238" i="6"/>
  <c r="L82" i="6"/>
  <c r="K82" i="6"/>
  <c r="K238" i="6"/>
  <c r="N238" i="6" s="1"/>
  <c r="M134" i="6"/>
  <c r="L134" i="6"/>
  <c r="K134" i="6"/>
  <c r="L30" i="6"/>
  <c r="L186" i="6"/>
  <c r="J82" i="6"/>
  <c r="M30" i="6"/>
  <c r="J30" i="6"/>
  <c r="N30" i="6" s="1"/>
  <c r="K186" i="6"/>
  <c r="N186" i="6" s="1"/>
  <c r="M82" i="6"/>
  <c r="K30" i="6"/>
  <c r="M186" i="6"/>
  <c r="M16" i="6"/>
  <c r="J68" i="6"/>
  <c r="N68" i="6" s="1"/>
  <c r="L16" i="6"/>
  <c r="J16" i="6"/>
  <c r="K16" i="6"/>
  <c r="M172" i="6"/>
  <c r="M68" i="6"/>
  <c r="L68" i="6"/>
  <c r="K68" i="6"/>
  <c r="K172" i="6"/>
  <c r="M224" i="6"/>
  <c r="K120" i="6"/>
  <c r="L172" i="6"/>
  <c r="K224" i="6"/>
  <c r="N224" i="6" s="1"/>
  <c r="M120" i="6"/>
  <c r="L224" i="6"/>
  <c r="L120" i="6"/>
  <c r="K240" i="6"/>
  <c r="L136" i="6"/>
  <c r="M188" i="6"/>
  <c r="L188" i="6"/>
  <c r="K136" i="6"/>
  <c r="K188" i="6"/>
  <c r="M32" i="6"/>
  <c r="L32" i="6"/>
  <c r="M240" i="6"/>
  <c r="J32" i="6"/>
  <c r="M136" i="6"/>
  <c r="K84" i="6"/>
  <c r="L240" i="6"/>
  <c r="K32" i="6"/>
  <c r="M84" i="6"/>
  <c r="L84" i="6"/>
  <c r="J84" i="6"/>
  <c r="N84" i="6" s="1"/>
  <c r="L73" i="6"/>
  <c r="M21" i="6"/>
  <c r="K125" i="6"/>
  <c r="N125" i="6" s="1"/>
  <c r="J73" i="6"/>
  <c r="K73" i="6"/>
  <c r="M177" i="6"/>
  <c r="L177" i="6"/>
  <c r="K177" i="6"/>
  <c r="N177" i="6" s="1"/>
  <c r="K21" i="6"/>
  <c r="M229" i="6"/>
  <c r="J21" i="6"/>
  <c r="L21" i="6"/>
  <c r="M73" i="6"/>
  <c r="K229" i="6"/>
  <c r="L229" i="6"/>
  <c r="M125" i="6"/>
  <c r="L125" i="6"/>
  <c r="M225" i="6"/>
  <c r="K225" i="6"/>
  <c r="N225" i="6" s="1"/>
  <c r="M121" i="6"/>
  <c r="K121" i="6"/>
  <c r="M69" i="6"/>
  <c r="L69" i="6"/>
  <c r="K69" i="6"/>
  <c r="J69" i="6"/>
  <c r="L173" i="6"/>
  <c r="K173" i="6"/>
  <c r="N173" i="6" s="1"/>
  <c r="K17" i="6"/>
  <c r="J17" i="6"/>
  <c r="M173" i="6"/>
  <c r="L225" i="6"/>
  <c r="L17" i="6"/>
  <c r="L121" i="6"/>
  <c r="M17" i="6"/>
  <c r="K143" i="6"/>
  <c r="N143" i="6" s="1"/>
  <c r="K195" i="6"/>
  <c r="M91" i="6"/>
  <c r="M39" i="6"/>
  <c r="L91" i="6"/>
  <c r="K91" i="6"/>
  <c r="M195" i="6"/>
  <c r="J91" i="6"/>
  <c r="L195" i="6"/>
  <c r="L39" i="6"/>
  <c r="L247" i="6"/>
  <c r="M143" i="6"/>
  <c r="M247" i="6"/>
  <c r="J39" i="6"/>
  <c r="L143" i="6"/>
  <c r="K39" i="6"/>
  <c r="K247" i="6"/>
  <c r="N247" i="6" s="1"/>
  <c r="M22" i="6"/>
  <c r="J22" i="6"/>
  <c r="N22" i="6" s="1"/>
  <c r="L22" i="6"/>
  <c r="L230" i="6"/>
  <c r="J74" i="6"/>
  <c r="M178" i="6"/>
  <c r="K230" i="6"/>
  <c r="M126" i="6"/>
  <c r="L126" i="6"/>
  <c r="K126" i="6"/>
  <c r="K74" i="6"/>
  <c r="L178" i="6"/>
  <c r="M230" i="6"/>
  <c r="M74" i="6"/>
  <c r="L74" i="6"/>
  <c r="K178" i="6"/>
  <c r="N178" i="6" s="1"/>
  <c r="K22" i="6"/>
  <c r="K105" i="6"/>
  <c r="L105" i="6"/>
  <c r="L53" i="6"/>
  <c r="K53" i="6"/>
  <c r="J53" i="6"/>
  <c r="M261" i="6"/>
  <c r="M105" i="6"/>
  <c r="L261" i="6"/>
  <c r="M157" i="6"/>
  <c r="L157" i="6"/>
  <c r="M53" i="6"/>
  <c r="K209" i="6"/>
  <c r="N209" i="6" s="1"/>
  <c r="K261" i="6"/>
  <c r="N261" i="6" s="1"/>
  <c r="J105" i="6"/>
  <c r="N105" i="6" s="1"/>
  <c r="K157" i="6"/>
  <c r="N157" i="6" s="1"/>
  <c r="M209" i="6"/>
  <c r="L209" i="6"/>
  <c r="K145" i="6"/>
  <c r="M41" i="6"/>
  <c r="L41" i="6"/>
  <c r="K41" i="6"/>
  <c r="J41" i="6"/>
  <c r="L197" i="6"/>
  <c r="L93" i="6"/>
  <c r="J93" i="6"/>
  <c r="M93" i="6"/>
  <c r="M197" i="6"/>
  <c r="K197" i="6"/>
  <c r="N197" i="6" s="1"/>
  <c r="K93" i="6"/>
  <c r="M249" i="6"/>
  <c r="L249" i="6"/>
  <c r="K249" i="6"/>
  <c r="M145" i="6"/>
  <c r="L145" i="6"/>
  <c r="L127" i="6"/>
  <c r="M23" i="6"/>
  <c r="K127" i="6"/>
  <c r="L23" i="6"/>
  <c r="J75" i="6"/>
  <c r="L179" i="6"/>
  <c r="K23" i="6"/>
  <c r="M179" i="6"/>
  <c r="M231" i="6"/>
  <c r="L231" i="6"/>
  <c r="K179" i="6"/>
  <c r="N179" i="6" s="1"/>
  <c r="L75" i="6"/>
  <c r="M75" i="6"/>
  <c r="K75" i="6"/>
  <c r="K231" i="6"/>
  <c r="J23" i="6"/>
  <c r="M127" i="6"/>
  <c r="L262" i="6"/>
  <c r="K262" i="6"/>
  <c r="L158" i="6"/>
  <c r="K158" i="6"/>
  <c r="N158" i="6" s="1"/>
  <c r="M210" i="6"/>
  <c r="L210" i="6"/>
  <c r="M106" i="6"/>
  <c r="K210" i="6"/>
  <c r="K106" i="6"/>
  <c r="J106" i="6"/>
  <c r="L106" i="6"/>
  <c r="M54" i="6"/>
  <c r="J54" i="6"/>
  <c r="M262" i="6"/>
  <c r="M158" i="6"/>
  <c r="L54" i="6"/>
  <c r="K54" i="6"/>
  <c r="M94" i="6"/>
  <c r="L94" i="6"/>
  <c r="K94" i="6"/>
  <c r="K42" i="6"/>
  <c r="J94" i="6"/>
  <c r="L198" i="6"/>
  <c r="L42" i="6"/>
  <c r="K198" i="6"/>
  <c r="N198" i="6" s="1"/>
  <c r="M42" i="6"/>
  <c r="M250" i="6"/>
  <c r="J42" i="6"/>
  <c r="N42" i="6" s="1"/>
  <c r="M146" i="6"/>
  <c r="L146" i="6"/>
  <c r="L250" i="6"/>
  <c r="K146" i="6"/>
  <c r="N146" i="6" s="1"/>
  <c r="K250" i="6"/>
  <c r="M198" i="6"/>
  <c r="M182" i="6"/>
  <c r="L234" i="6"/>
  <c r="L182" i="6"/>
  <c r="K78" i="6"/>
  <c r="K182" i="6"/>
  <c r="K234" i="6"/>
  <c r="M78" i="6"/>
  <c r="L78" i="6"/>
  <c r="L26" i="6"/>
  <c r="J78" i="6"/>
  <c r="N78" i="6" s="1"/>
  <c r="K26" i="6"/>
  <c r="M130" i="6"/>
  <c r="M234" i="6"/>
  <c r="L130" i="6"/>
  <c r="M26" i="6"/>
  <c r="K130" i="6"/>
  <c r="J26" i="6"/>
  <c r="K108" i="6"/>
  <c r="K160" i="6"/>
  <c r="J108" i="6"/>
  <c r="L212" i="6"/>
  <c r="L56" i="6"/>
  <c r="M264" i="6"/>
  <c r="K212" i="6"/>
  <c r="N212" i="6" s="1"/>
  <c r="M160" i="6"/>
  <c r="L264" i="6"/>
  <c r="M56" i="6"/>
  <c r="M108" i="6"/>
  <c r="J56" i="6"/>
  <c r="L108" i="6"/>
  <c r="L160" i="6"/>
  <c r="K264" i="6"/>
  <c r="M212" i="6"/>
  <c r="K56" i="6"/>
  <c r="L95" i="6"/>
  <c r="K147" i="6"/>
  <c r="K95" i="6"/>
  <c r="J95" i="6"/>
  <c r="M43" i="6"/>
  <c r="M199" i="6"/>
  <c r="L199" i="6"/>
  <c r="J43" i="6"/>
  <c r="N43" i="6" s="1"/>
  <c r="M251" i="6"/>
  <c r="L251" i="6"/>
  <c r="L147" i="6"/>
  <c r="L43" i="6"/>
  <c r="K251" i="6"/>
  <c r="N251" i="6" s="1"/>
  <c r="M147" i="6"/>
  <c r="K43" i="6"/>
  <c r="M95" i="6"/>
  <c r="K199" i="6"/>
  <c r="K144" i="6"/>
  <c r="M92" i="6"/>
  <c r="L92" i="6"/>
  <c r="K92" i="6"/>
  <c r="J92" i="6"/>
  <c r="N92" i="6" s="1"/>
  <c r="M196" i="6"/>
  <c r="L196" i="6"/>
  <c r="K196" i="6"/>
  <c r="L40" i="6"/>
  <c r="L248" i="6"/>
  <c r="J40" i="6"/>
  <c r="K248" i="6"/>
  <c r="K40" i="6"/>
  <c r="M144" i="6"/>
  <c r="M248" i="6"/>
  <c r="L144" i="6"/>
  <c r="M40" i="6"/>
  <c r="L256" i="6"/>
  <c r="L152" i="6"/>
  <c r="M204" i="6"/>
  <c r="M48" i="6"/>
  <c r="M100" i="6"/>
  <c r="L204" i="6"/>
  <c r="K204" i="6"/>
  <c r="K256" i="6"/>
  <c r="K100" i="6"/>
  <c r="M256" i="6"/>
  <c r="L100" i="6"/>
  <c r="K48" i="6"/>
  <c r="M152" i="6"/>
  <c r="J100" i="6"/>
  <c r="K152" i="6"/>
  <c r="N152" i="6" s="1"/>
  <c r="L48" i="6"/>
  <c r="J48" i="6"/>
  <c r="M155" i="6"/>
  <c r="K155" i="6"/>
  <c r="N155" i="6" s="1"/>
  <c r="M207" i="6"/>
  <c r="L207" i="6"/>
  <c r="K207" i="6"/>
  <c r="N207" i="6" s="1"/>
  <c r="M103" i="6"/>
  <c r="L103" i="6"/>
  <c r="M259" i="6"/>
  <c r="K103" i="6"/>
  <c r="J103" i="6"/>
  <c r="N103" i="6" s="1"/>
  <c r="L155" i="6"/>
  <c r="M51" i="6"/>
  <c r="L51" i="6"/>
  <c r="K51" i="6"/>
  <c r="J51" i="6"/>
  <c r="K259" i="6"/>
  <c r="L259" i="6"/>
  <c r="L79" i="6"/>
  <c r="L131" i="6"/>
  <c r="M79" i="6"/>
  <c r="J27" i="6"/>
  <c r="N27" i="6" s="1"/>
  <c r="K79" i="6"/>
  <c r="M131" i="6"/>
  <c r="K131" i="6"/>
  <c r="K27" i="6"/>
  <c r="L183" i="6"/>
  <c r="M183" i="6"/>
  <c r="L235" i="6"/>
  <c r="M235" i="6"/>
  <c r="K235" i="6"/>
  <c r="N235" i="6" s="1"/>
  <c r="K183" i="6"/>
  <c r="M27" i="6"/>
  <c r="L27" i="6"/>
  <c r="J79" i="6"/>
  <c r="K98" i="6"/>
  <c r="L150" i="6"/>
  <c r="J98" i="6"/>
  <c r="N98" i="6" s="1"/>
  <c r="K46" i="6"/>
  <c r="K150" i="6"/>
  <c r="J46" i="6"/>
  <c r="L202" i="6"/>
  <c r="M202" i="6"/>
  <c r="L46" i="6"/>
  <c r="M46" i="6"/>
  <c r="M254" i="6"/>
  <c r="M150" i="6"/>
  <c r="L254" i="6"/>
  <c r="K254" i="6"/>
  <c r="M98" i="6"/>
  <c r="L98" i="6"/>
  <c r="K202" i="6"/>
  <c r="N202" i="6" s="1"/>
  <c r="L61" i="6"/>
  <c r="K61" i="6"/>
  <c r="J61" i="6"/>
  <c r="M217" i="6"/>
  <c r="K217" i="6"/>
  <c r="M113" i="6"/>
  <c r="K9" i="6"/>
  <c r="J9" i="6"/>
  <c r="M9" i="6"/>
  <c r="L217" i="6"/>
  <c r="L9" i="6"/>
  <c r="L113" i="6"/>
  <c r="M165" i="6"/>
  <c r="L165" i="6"/>
  <c r="K165" i="6"/>
  <c r="N165" i="6" s="1"/>
  <c r="M61" i="6"/>
  <c r="K113" i="6"/>
  <c r="N113" i="6" s="1"/>
  <c r="K227" i="6"/>
  <c r="N227" i="6" s="1"/>
  <c r="M19" i="6"/>
  <c r="L19" i="6"/>
  <c r="K19" i="6"/>
  <c r="L175" i="6"/>
  <c r="J19" i="6"/>
  <c r="N19" i="6" s="1"/>
  <c r="M71" i="6"/>
  <c r="M123" i="6"/>
  <c r="J71" i="6"/>
  <c r="K123" i="6"/>
  <c r="N123" i="6" s="1"/>
  <c r="L71" i="6"/>
  <c r="L123" i="6"/>
  <c r="L227" i="6"/>
  <c r="K71" i="6"/>
  <c r="M175" i="6"/>
  <c r="K175" i="6"/>
  <c r="N175" i="6" s="1"/>
  <c r="M227" i="6"/>
  <c r="L34" i="6"/>
  <c r="M242" i="6"/>
  <c r="K34" i="6"/>
  <c r="L242" i="6"/>
  <c r="M138" i="6"/>
  <c r="L138" i="6"/>
  <c r="M190" i="6"/>
  <c r="J34" i="6"/>
  <c r="L190" i="6"/>
  <c r="M86" i="6"/>
  <c r="L86" i="6"/>
  <c r="K138" i="6"/>
  <c r="M34" i="6"/>
  <c r="K190" i="6"/>
  <c r="N190" i="6" s="1"/>
  <c r="J86" i="6"/>
  <c r="K86" i="6"/>
  <c r="K242" i="6"/>
  <c r="F81" i="1"/>
  <c r="K211" i="6"/>
  <c r="M55" i="6"/>
  <c r="L55" i="6"/>
  <c r="K55" i="6"/>
  <c r="J55" i="6"/>
  <c r="L107" i="6"/>
  <c r="M159" i="6"/>
  <c r="L159" i="6"/>
  <c r="M107" i="6"/>
  <c r="K107" i="6"/>
  <c r="L211" i="6"/>
  <c r="J107" i="6"/>
  <c r="N107" i="6" s="1"/>
  <c r="K263" i="6"/>
  <c r="M263" i="6"/>
  <c r="L263" i="6"/>
  <c r="M211" i="6"/>
  <c r="K159" i="6"/>
  <c r="L64" i="6"/>
  <c r="K64" i="6"/>
  <c r="K220" i="6"/>
  <c r="J64" i="6"/>
  <c r="L220" i="6"/>
  <c r="M220" i="6"/>
  <c r="L116" i="6"/>
  <c r="M116" i="6"/>
  <c r="M12" i="6"/>
  <c r="K116" i="6"/>
  <c r="N116" i="6" s="1"/>
  <c r="M168" i="6"/>
  <c r="L12" i="6"/>
  <c r="L168" i="6"/>
  <c r="K168" i="6"/>
  <c r="M64" i="6"/>
  <c r="K12" i="6"/>
  <c r="J12" i="6"/>
  <c r="G70" i="1"/>
  <c r="G74" i="1"/>
  <c r="G69" i="1"/>
  <c r="G73" i="1"/>
  <c r="G68" i="1"/>
  <c r="G77" i="1"/>
  <c r="G67" i="1"/>
  <c r="G72" i="1"/>
  <c r="G71" i="1"/>
  <c r="G76" i="1"/>
  <c r="G75" i="1"/>
  <c r="G81" i="1"/>
  <c r="K236" i="6"/>
  <c r="J80" i="6"/>
  <c r="M80" i="6"/>
  <c r="K184" i="6"/>
  <c r="L80" i="6"/>
  <c r="K80" i="6"/>
  <c r="K132" i="6"/>
  <c r="L184" i="6"/>
  <c r="M132" i="6"/>
  <c r="J28" i="6"/>
  <c r="L132" i="6"/>
  <c r="M184" i="6"/>
  <c r="M236" i="6"/>
  <c r="L236" i="6"/>
  <c r="M28" i="6"/>
  <c r="L28" i="6"/>
  <c r="K28" i="6"/>
  <c r="L33" i="6"/>
  <c r="L189" i="6"/>
  <c r="J33" i="6"/>
  <c r="M85" i="6"/>
  <c r="K137" i="6"/>
  <c r="J85" i="6"/>
  <c r="K33" i="6"/>
  <c r="M137" i="6"/>
  <c r="L137" i="6"/>
  <c r="K189" i="6"/>
  <c r="N189" i="6" s="1"/>
  <c r="L85" i="6"/>
  <c r="K85" i="6"/>
  <c r="M241" i="6"/>
  <c r="K241" i="6"/>
  <c r="L241" i="6"/>
  <c r="M33" i="6"/>
  <c r="M189" i="6"/>
  <c r="L118" i="6"/>
  <c r="M170" i="6"/>
  <c r="K14" i="6"/>
  <c r="J14" i="6"/>
  <c r="N14" i="6" s="1"/>
  <c r="K222" i="6"/>
  <c r="K118" i="6"/>
  <c r="M66" i="6"/>
  <c r="L170" i="6"/>
  <c r="K170" i="6"/>
  <c r="N170" i="6" s="1"/>
  <c r="K66" i="6"/>
  <c r="M222" i="6"/>
  <c r="M118" i="6"/>
  <c r="L222" i="6"/>
  <c r="L66" i="6"/>
  <c r="J66" i="6"/>
  <c r="L14" i="6"/>
  <c r="M14" i="6"/>
  <c r="K124" i="6"/>
  <c r="M124" i="6"/>
  <c r="M72" i="6"/>
  <c r="L72" i="6"/>
  <c r="M20" i="6"/>
  <c r="L20" i="6"/>
  <c r="K20" i="6"/>
  <c r="M228" i="6"/>
  <c r="J20" i="6"/>
  <c r="L124" i="6"/>
  <c r="M176" i="6"/>
  <c r="L176" i="6"/>
  <c r="K72" i="6"/>
  <c r="K176" i="6"/>
  <c r="K228" i="6"/>
  <c r="J72" i="6"/>
  <c r="L228" i="6"/>
  <c r="K214" i="6"/>
  <c r="M58" i="6"/>
  <c r="L58" i="6"/>
  <c r="L6" i="6"/>
  <c r="K6" i="6"/>
  <c r="K58" i="6"/>
  <c r="J58" i="6"/>
  <c r="K110" i="6"/>
  <c r="M214" i="6"/>
  <c r="M6" i="6"/>
  <c r="M110" i="6"/>
  <c r="L214" i="6"/>
  <c r="L110" i="6"/>
  <c r="M162" i="6"/>
  <c r="L162" i="6"/>
  <c r="K162" i="6"/>
  <c r="N162" i="6" s="1"/>
  <c r="J6" i="6"/>
  <c r="M104" i="6"/>
  <c r="M260" i="6"/>
  <c r="M156" i="6"/>
  <c r="K208" i="6"/>
  <c r="N208" i="6" s="1"/>
  <c r="M52" i="6"/>
  <c r="L52" i="6"/>
  <c r="L104" i="6"/>
  <c r="K52" i="6"/>
  <c r="J52" i="6"/>
  <c r="N52" i="6" s="1"/>
  <c r="L260" i="6"/>
  <c r="K156" i="6"/>
  <c r="N156" i="6" s="1"/>
  <c r="J104" i="6"/>
  <c r="L156" i="6"/>
  <c r="M208" i="6"/>
  <c r="L208" i="6"/>
  <c r="K260" i="6"/>
  <c r="K104" i="6"/>
  <c r="L243" i="6"/>
  <c r="K35" i="6"/>
  <c r="K139" i="6"/>
  <c r="N139" i="6" s="1"/>
  <c r="K243" i="6"/>
  <c r="L35" i="6"/>
  <c r="M139" i="6"/>
  <c r="L139" i="6"/>
  <c r="J35" i="6"/>
  <c r="L191" i="6"/>
  <c r="M35" i="6"/>
  <c r="L87" i="6"/>
  <c r="J87" i="6"/>
  <c r="M87" i="6"/>
  <c r="K87" i="6"/>
  <c r="M243" i="6"/>
  <c r="M191" i="6"/>
  <c r="K191" i="6"/>
  <c r="K111" i="6"/>
  <c r="N111" i="6" s="1"/>
  <c r="M163" i="6"/>
  <c r="M59" i="6"/>
  <c r="L163" i="6"/>
  <c r="J7" i="6"/>
  <c r="K163" i="6"/>
  <c r="M7" i="6"/>
  <c r="L7" i="6"/>
  <c r="K7" i="6"/>
  <c r="M215" i="6"/>
  <c r="K59" i="6"/>
  <c r="L111" i="6"/>
  <c r="K215" i="6"/>
  <c r="N215" i="6" s="1"/>
  <c r="M111" i="6"/>
  <c r="L59" i="6"/>
  <c r="L215" i="6"/>
  <c r="J59" i="6"/>
  <c r="N59" i="6" s="1"/>
  <c r="K205" i="6"/>
  <c r="N205" i="6" s="1"/>
  <c r="J49" i="6"/>
  <c r="M101" i="6"/>
  <c r="L49" i="6"/>
  <c r="M257" i="6"/>
  <c r="L257" i="6"/>
  <c r="M49" i="6"/>
  <c r="K257" i="6"/>
  <c r="N257" i="6" s="1"/>
  <c r="L101" i="6"/>
  <c r="K49" i="6"/>
  <c r="L205" i="6"/>
  <c r="K101" i="6"/>
  <c r="L153" i="6"/>
  <c r="M205" i="6"/>
  <c r="J101" i="6"/>
  <c r="M153" i="6"/>
  <c r="K153" i="6"/>
  <c r="N153" i="6" s="1"/>
  <c r="K244" i="6"/>
  <c r="L140" i="6"/>
  <c r="M140" i="6"/>
  <c r="K140" i="6"/>
  <c r="N140" i="6" s="1"/>
  <c r="L192" i="6"/>
  <c r="M88" i="6"/>
  <c r="K192" i="6"/>
  <c r="N192" i="6" s="1"/>
  <c r="L88" i="6"/>
  <c r="M244" i="6"/>
  <c r="J88" i="6"/>
  <c r="M192" i="6"/>
  <c r="L244" i="6"/>
  <c r="J36" i="6"/>
  <c r="K88" i="6"/>
  <c r="M36" i="6"/>
  <c r="K36" i="6"/>
  <c r="L36" i="6"/>
  <c r="K112" i="6"/>
  <c r="L164" i="6"/>
  <c r="K164" i="6"/>
  <c r="M60" i="6"/>
  <c r="M216" i="6"/>
  <c r="L60" i="6"/>
  <c r="L216" i="6"/>
  <c r="K60" i="6"/>
  <c r="L8" i="6"/>
  <c r="K8" i="6"/>
  <c r="L112" i="6"/>
  <c r="K216" i="6"/>
  <c r="M8" i="6"/>
  <c r="J8" i="6"/>
  <c r="N8" i="6" s="1"/>
  <c r="M164" i="6"/>
  <c r="J60" i="6"/>
  <c r="M112" i="6"/>
  <c r="K11" i="6"/>
  <c r="J11" i="6"/>
  <c r="N11" i="6" s="1"/>
  <c r="L219" i="6"/>
  <c r="M219" i="6"/>
  <c r="K219" i="6"/>
  <c r="N219" i="6" s="1"/>
  <c r="M115" i="6"/>
  <c r="L115" i="6"/>
  <c r="K115" i="6"/>
  <c r="M11" i="6"/>
  <c r="L167" i="6"/>
  <c r="K167" i="6"/>
  <c r="M63" i="6"/>
  <c r="M167" i="6"/>
  <c r="L63" i="6"/>
  <c r="K63" i="6"/>
  <c r="L11" i="6"/>
  <c r="J63" i="6"/>
  <c r="J45" i="6"/>
  <c r="K45" i="6"/>
  <c r="M201" i="6"/>
  <c r="M149" i="6"/>
  <c r="L201" i="6"/>
  <c r="K201" i="6"/>
  <c r="M253" i="6"/>
  <c r="L253" i="6"/>
  <c r="K253" i="6"/>
  <c r="N253" i="6" s="1"/>
  <c r="M97" i="6"/>
  <c r="K149" i="6"/>
  <c r="K97" i="6"/>
  <c r="L45" i="6"/>
  <c r="L97" i="6"/>
  <c r="J97" i="6"/>
  <c r="L149" i="6"/>
  <c r="M45" i="6"/>
  <c r="P227" i="6" l="1"/>
  <c r="O227" i="6"/>
  <c r="Q227" i="6"/>
  <c r="R227" i="6" s="1"/>
  <c r="O194" i="6"/>
  <c r="P194" i="6"/>
  <c r="Q194" i="6" s="1"/>
  <c r="R194" i="6" s="1"/>
  <c r="N263" i="6"/>
  <c r="P218" i="6"/>
  <c r="O218" i="6"/>
  <c r="Q218" i="6" s="1"/>
  <c r="R218" i="6" s="1"/>
  <c r="P212" i="6"/>
  <c r="O212" i="6"/>
  <c r="Q212" i="6"/>
  <c r="R212" i="6" s="1"/>
  <c r="P11" i="6"/>
  <c r="O11" i="6"/>
  <c r="Q11" i="6"/>
  <c r="R11" i="6" s="1"/>
  <c r="P140" i="6"/>
  <c r="O140" i="6"/>
  <c r="P165" i="6"/>
  <c r="O165" i="6"/>
  <c r="Q165" i="6"/>
  <c r="R165" i="6" s="1"/>
  <c r="N240" i="6"/>
  <c r="N114" i="6"/>
  <c r="N99" i="6"/>
  <c r="N110" i="6"/>
  <c r="N20" i="6"/>
  <c r="N138" i="6"/>
  <c r="N95" i="6"/>
  <c r="N234" i="6"/>
  <c r="N210" i="6"/>
  <c r="N62" i="6"/>
  <c r="N77" i="6"/>
  <c r="N24" i="6"/>
  <c r="O27" i="6"/>
  <c r="P27" i="6"/>
  <c r="Q27" i="6"/>
  <c r="R27" i="6" s="1"/>
  <c r="P178" i="6"/>
  <c r="O178" i="6"/>
  <c r="Q178" i="6" s="1"/>
  <c r="R178" i="6" s="1"/>
  <c r="P175" i="6"/>
  <c r="O175" i="6"/>
  <c r="Q175" i="6"/>
  <c r="R175" i="6" s="1"/>
  <c r="N164" i="6"/>
  <c r="P116" i="6"/>
  <c r="O116" i="6"/>
  <c r="Q116" i="6" s="1"/>
  <c r="R116" i="6" s="1"/>
  <c r="O198" i="6"/>
  <c r="P198" i="6"/>
  <c r="Q198" i="6" s="1"/>
  <c r="R198" i="6" s="1"/>
  <c r="O197" i="6"/>
  <c r="P197" i="6"/>
  <c r="Q197" i="6" s="1"/>
  <c r="R197" i="6" s="1"/>
  <c r="P68" i="6"/>
  <c r="O68" i="6"/>
  <c r="O129" i="6"/>
  <c r="P129" i="6"/>
  <c r="Q129" i="6"/>
  <c r="R129" i="6" s="1"/>
  <c r="N63" i="6"/>
  <c r="N97" i="6"/>
  <c r="P170" i="6"/>
  <c r="O170" i="6"/>
  <c r="Q170" i="6" s="1"/>
  <c r="R170" i="6" s="1"/>
  <c r="N254" i="6"/>
  <c r="N259" i="6"/>
  <c r="N48" i="6"/>
  <c r="N182" i="6"/>
  <c r="N229" i="6"/>
  <c r="O207" i="6"/>
  <c r="P207" i="6"/>
  <c r="Q207" i="6" s="1"/>
  <c r="R207" i="6" s="1"/>
  <c r="P42" i="6"/>
  <c r="O42" i="6"/>
  <c r="Q42" i="6"/>
  <c r="R42" i="6" s="1"/>
  <c r="N241" i="6"/>
  <c r="P238" i="6"/>
  <c r="O238" i="6"/>
  <c r="P190" i="6"/>
  <c r="O190" i="6"/>
  <c r="Q190" i="6" s="1"/>
  <c r="R190" i="6" s="1"/>
  <c r="O193" i="6"/>
  <c r="P193" i="6"/>
  <c r="Q193" i="6"/>
  <c r="R193" i="6" s="1"/>
  <c r="N45" i="6"/>
  <c r="N163" i="6"/>
  <c r="N79" i="6"/>
  <c r="P155" i="6"/>
  <c r="O155" i="6"/>
  <c r="Q155" i="6" s="1"/>
  <c r="R155" i="6" s="1"/>
  <c r="P209" i="6"/>
  <c r="O209" i="6"/>
  <c r="Q209" i="6"/>
  <c r="R209" i="6" s="1"/>
  <c r="N39" i="6"/>
  <c r="P84" i="6"/>
  <c r="O84" i="6"/>
  <c r="Q84" i="6" s="1"/>
  <c r="R84" i="6" s="1"/>
  <c r="P50" i="6"/>
  <c r="O50" i="6"/>
  <c r="P81" i="6"/>
  <c r="O81" i="6"/>
  <c r="Q81" i="6"/>
  <c r="R81" i="6" s="1"/>
  <c r="N7" i="6"/>
  <c r="N112" i="6"/>
  <c r="N58" i="6"/>
  <c r="P189" i="6"/>
  <c r="O189" i="6"/>
  <c r="N60" i="6"/>
  <c r="N244" i="6"/>
  <c r="N49" i="6"/>
  <c r="N243" i="6"/>
  <c r="N28" i="6"/>
  <c r="N183" i="6"/>
  <c r="N51" i="6"/>
  <c r="N144" i="6"/>
  <c r="N147" i="6"/>
  <c r="N108" i="6"/>
  <c r="N94" i="6"/>
  <c r="N93" i="6"/>
  <c r="N126" i="6"/>
  <c r="N17" i="6"/>
  <c r="N142" i="6"/>
  <c r="N221" i="6"/>
  <c r="N141" i="6"/>
  <c r="N119" i="6"/>
  <c r="N29" i="6"/>
  <c r="O180" i="6"/>
  <c r="P180" i="6"/>
  <c r="Q180" i="6"/>
  <c r="R180" i="6" s="1"/>
  <c r="O152" i="6"/>
  <c r="Q152" i="6" s="1"/>
  <c r="R152" i="6" s="1"/>
  <c r="P152" i="6"/>
  <c r="P224" i="6"/>
  <c r="O224" i="6"/>
  <c r="Q224" i="6" s="1"/>
  <c r="R224" i="6" s="1"/>
  <c r="P38" i="6"/>
  <c r="O38" i="6"/>
  <c r="Q38" i="6"/>
  <c r="R38" i="6" s="1"/>
  <c r="P258" i="6"/>
  <c r="O258" i="6"/>
  <c r="Q258" i="6" s="1"/>
  <c r="R258" i="6" s="1"/>
  <c r="N203" i="6"/>
  <c r="P219" i="6"/>
  <c r="O219" i="6"/>
  <c r="O225" i="6"/>
  <c r="P225" i="6"/>
  <c r="Q225" i="6" s="1"/>
  <c r="R225" i="6" s="1"/>
  <c r="O67" i="6"/>
  <c r="Q67" i="6" s="1"/>
  <c r="R67" i="6" s="1"/>
  <c r="P67" i="6"/>
  <c r="N35" i="6"/>
  <c r="P92" i="6"/>
  <c r="O92" i="6"/>
  <c r="Q92" i="6" s="1"/>
  <c r="R92" i="6" s="1"/>
  <c r="N106" i="6"/>
  <c r="N199" i="6"/>
  <c r="O158" i="6"/>
  <c r="Q158" i="6" s="1"/>
  <c r="R158" i="6" s="1"/>
  <c r="P158" i="6"/>
  <c r="N75" i="6"/>
  <c r="P186" i="6"/>
  <c r="O186" i="6"/>
  <c r="Q186" i="6" s="1"/>
  <c r="R186" i="6" s="1"/>
  <c r="N15" i="6"/>
  <c r="N149" i="6"/>
  <c r="N101" i="6"/>
  <c r="N191" i="6"/>
  <c r="N222" i="6"/>
  <c r="N85" i="6"/>
  <c r="N132" i="6"/>
  <c r="N64" i="6"/>
  <c r="N55" i="6"/>
  <c r="N26" i="6"/>
  <c r="N41" i="6"/>
  <c r="N230" i="6"/>
  <c r="N91" i="6"/>
  <c r="N120" i="6"/>
  <c r="O30" i="6"/>
  <c r="Q30" i="6" s="1"/>
  <c r="R30" i="6" s="1"/>
  <c r="P30" i="6"/>
  <c r="N128" i="6"/>
  <c r="P37" i="6"/>
  <c r="O37" i="6"/>
  <c r="Q37" i="6" s="1"/>
  <c r="R37" i="6" s="1"/>
  <c r="N86" i="6"/>
  <c r="N16" i="6"/>
  <c r="P202" i="6"/>
  <c r="O202" i="6"/>
  <c r="Q202" i="6"/>
  <c r="R202" i="6" s="1"/>
  <c r="P235" i="6"/>
  <c r="O235" i="6"/>
  <c r="P8" i="6"/>
  <c r="O8" i="6"/>
  <c r="Q8" i="6"/>
  <c r="R8" i="6" s="1"/>
  <c r="N34" i="6"/>
  <c r="P14" i="6"/>
  <c r="O14" i="6"/>
  <c r="Q14" i="6" s="1"/>
  <c r="R14" i="6" s="1"/>
  <c r="N220" i="6"/>
  <c r="N9" i="6"/>
  <c r="N264" i="6"/>
  <c r="N130" i="6"/>
  <c r="N262" i="6"/>
  <c r="N127" i="6"/>
  <c r="N53" i="6"/>
  <c r="N69" i="6"/>
  <c r="N32" i="6"/>
  <c r="N169" i="6"/>
  <c r="N47" i="6"/>
  <c r="O192" i="6"/>
  <c r="P192" i="6"/>
  <c r="Q192" i="6" s="1"/>
  <c r="R192" i="6" s="1"/>
  <c r="P98" i="6"/>
  <c r="O98" i="6"/>
  <c r="Q98" i="6"/>
  <c r="R98" i="6" s="1"/>
  <c r="O205" i="6"/>
  <c r="Q205" i="6" s="1"/>
  <c r="R205" i="6" s="1"/>
  <c r="P205" i="6"/>
  <c r="N100" i="6"/>
  <c r="N216" i="6"/>
  <c r="N248" i="6"/>
  <c r="N250" i="6"/>
  <c r="N74" i="6"/>
  <c r="P177" i="6"/>
  <c r="O177" i="6"/>
  <c r="N172" i="6"/>
  <c r="N82" i="6"/>
  <c r="O166" i="6"/>
  <c r="Q166" i="6" s="1"/>
  <c r="R166" i="6" s="1"/>
  <c r="P166" i="6"/>
  <c r="N25" i="6"/>
  <c r="P206" i="6"/>
  <c r="O206" i="6"/>
  <c r="N232" i="6"/>
  <c r="N76" i="6"/>
  <c r="N151" i="6"/>
  <c r="N185" i="6"/>
  <c r="O43" i="6"/>
  <c r="P43" i="6"/>
  <c r="Q43" i="6"/>
  <c r="R43" i="6" s="1"/>
  <c r="P102" i="6"/>
  <c r="O102" i="6"/>
  <c r="Q102" i="6"/>
  <c r="R102" i="6" s="1"/>
  <c r="O113" i="6"/>
  <c r="Q113" i="6" s="1"/>
  <c r="R113" i="6" s="1"/>
  <c r="P113" i="6"/>
  <c r="P105" i="6"/>
  <c r="O105" i="6"/>
  <c r="Q105" i="6" s="1"/>
  <c r="R105" i="6" s="1"/>
  <c r="P154" i="6"/>
  <c r="O154" i="6"/>
  <c r="Q154" i="6"/>
  <c r="R154" i="6" s="1"/>
  <c r="O153" i="6"/>
  <c r="P153" i="6"/>
  <c r="Q153" i="6"/>
  <c r="R153" i="6" s="1"/>
  <c r="N160" i="6"/>
  <c r="P111" i="6"/>
  <c r="O111" i="6"/>
  <c r="Q111" i="6" s="1"/>
  <c r="R111" i="6" s="1"/>
  <c r="P173" i="6"/>
  <c r="O173" i="6"/>
  <c r="Q173" i="6" s="1"/>
  <c r="R173" i="6" s="1"/>
  <c r="N260" i="6"/>
  <c r="O19" i="6"/>
  <c r="P19" i="6"/>
  <c r="N184" i="6"/>
  <c r="P146" i="6"/>
  <c r="O146" i="6"/>
  <c r="Q146" i="6"/>
  <c r="R146" i="6" s="1"/>
  <c r="N181" i="6"/>
  <c r="N65" i="6"/>
  <c r="O223" i="6"/>
  <c r="P223" i="6"/>
  <c r="O156" i="6"/>
  <c r="P156" i="6"/>
  <c r="Q156" i="6"/>
  <c r="R156" i="6" s="1"/>
  <c r="P78" i="6"/>
  <c r="O78" i="6"/>
  <c r="O157" i="6"/>
  <c r="P157" i="6"/>
  <c r="Q157" i="6" s="1"/>
  <c r="R157" i="6" s="1"/>
  <c r="O143" i="6"/>
  <c r="P143" i="6"/>
  <c r="Q143" i="6"/>
  <c r="R143" i="6" s="1"/>
  <c r="O237" i="6"/>
  <c r="P237" i="6"/>
  <c r="Q237" i="6"/>
  <c r="R237" i="6" s="1"/>
  <c r="P107" i="6"/>
  <c r="O107" i="6"/>
  <c r="Q107" i="6" s="1"/>
  <c r="R107" i="6" s="1"/>
  <c r="P179" i="6"/>
  <c r="O179" i="6"/>
  <c r="Q179" i="6" s="1"/>
  <c r="R179" i="6" s="1"/>
  <c r="O208" i="6"/>
  <c r="P208" i="6"/>
  <c r="N71" i="6"/>
  <c r="N167" i="6"/>
  <c r="N137" i="6"/>
  <c r="N214" i="6"/>
  <c r="P103" i="6"/>
  <c r="O103" i="6"/>
  <c r="Q103" i="6"/>
  <c r="R103" i="6" s="1"/>
  <c r="P162" i="6"/>
  <c r="O162" i="6"/>
  <c r="Q162" i="6"/>
  <c r="R162" i="6" s="1"/>
  <c r="N124" i="6"/>
  <c r="N33" i="6"/>
  <c r="N12" i="6"/>
  <c r="N40" i="6"/>
  <c r="N115" i="6"/>
  <c r="N88" i="6"/>
  <c r="N72" i="6"/>
  <c r="N159" i="6"/>
  <c r="N211" i="6"/>
  <c r="N217" i="6"/>
  <c r="N46" i="6"/>
  <c r="N131" i="6"/>
  <c r="N56" i="6"/>
  <c r="N23" i="6"/>
  <c r="N145" i="6"/>
  <c r="N10" i="6"/>
  <c r="N233" i="6"/>
  <c r="O257" i="6"/>
  <c r="P257" i="6"/>
  <c r="Q257" i="6"/>
  <c r="R257" i="6" s="1"/>
  <c r="O117" i="6"/>
  <c r="P117" i="6"/>
  <c r="Q117" i="6"/>
  <c r="R117" i="6" s="1"/>
  <c r="O52" i="6"/>
  <c r="Q52" i="6" s="1"/>
  <c r="R52" i="6" s="1"/>
  <c r="P52" i="6"/>
  <c r="O139" i="6"/>
  <c r="P139" i="6"/>
  <c r="Q139" i="6"/>
  <c r="R139" i="6" s="1"/>
  <c r="N21" i="6"/>
  <c r="P251" i="6"/>
  <c r="O251" i="6"/>
  <c r="Q251" i="6" s="1"/>
  <c r="R251" i="6" s="1"/>
  <c r="N228" i="6"/>
  <c r="N80" i="6"/>
  <c r="N150" i="6"/>
  <c r="N256" i="6"/>
  <c r="N231" i="6"/>
  <c r="O22" i="6"/>
  <c r="P22" i="6"/>
  <c r="Q22" i="6" s="1"/>
  <c r="R22" i="6" s="1"/>
  <c r="N121" i="6"/>
  <c r="N188" i="6"/>
  <c r="N134" i="6"/>
  <c r="N246" i="6"/>
  <c r="N133" i="6"/>
  <c r="P247" i="6"/>
  <c r="O247" i="6"/>
  <c r="Q247" i="6" s="1"/>
  <c r="R247" i="6" s="1"/>
  <c r="P125" i="6"/>
  <c r="O125" i="6"/>
  <c r="P245" i="6"/>
  <c r="O245" i="6"/>
  <c r="Q245" i="6" s="1"/>
  <c r="R245" i="6" s="1"/>
  <c r="O261" i="6"/>
  <c r="P261" i="6"/>
  <c r="Q261" i="6" s="1"/>
  <c r="R261" i="6" s="1"/>
  <c r="O123" i="6"/>
  <c r="P123" i="6"/>
  <c r="Q123" i="6" s="1"/>
  <c r="R123" i="6" s="1"/>
  <c r="P59" i="6"/>
  <c r="Q59" i="6" s="1"/>
  <c r="R59" i="6" s="1"/>
  <c r="O59" i="6"/>
  <c r="N118" i="6"/>
  <c r="N36" i="6"/>
  <c r="O253" i="6"/>
  <c r="P253" i="6"/>
  <c r="Q253" i="6" s="1"/>
  <c r="R253" i="6" s="1"/>
  <c r="N6" i="6"/>
  <c r="O215" i="6"/>
  <c r="Q215" i="6" s="1"/>
  <c r="R215" i="6" s="1"/>
  <c r="P215" i="6"/>
  <c r="N201" i="6"/>
  <c r="N87" i="6"/>
  <c r="N104" i="6"/>
  <c r="N176" i="6"/>
  <c r="N66" i="6"/>
  <c r="N236" i="6"/>
  <c r="N168" i="6"/>
  <c r="N242" i="6"/>
  <c r="N61" i="6"/>
  <c r="N204" i="6"/>
  <c r="N196" i="6"/>
  <c r="N54" i="6"/>
  <c r="N249" i="6"/>
  <c r="N195" i="6"/>
  <c r="N73" i="6"/>
  <c r="N136" i="6"/>
  <c r="N90" i="6"/>
  <c r="N13" i="6"/>
  <c r="N255" i="6"/>
  <c r="N89" i="6"/>
  <c r="N171" i="6"/>
  <c r="P74" i="6" l="1"/>
  <c r="O74" i="6"/>
  <c r="Q74" i="6"/>
  <c r="R74" i="6" s="1"/>
  <c r="P204" i="6"/>
  <c r="O204" i="6"/>
  <c r="Q204" i="6"/>
  <c r="R204" i="6" s="1"/>
  <c r="P248" i="6"/>
  <c r="O248" i="6"/>
  <c r="P262" i="6"/>
  <c r="O262" i="6"/>
  <c r="Q262" i="6" s="1"/>
  <c r="R262" i="6" s="1"/>
  <c r="O132" i="6"/>
  <c r="P132" i="6"/>
  <c r="Q132" i="6"/>
  <c r="R132" i="6" s="1"/>
  <c r="O94" i="6"/>
  <c r="P94" i="6"/>
  <c r="Q94" i="6" s="1"/>
  <c r="R94" i="6" s="1"/>
  <c r="P45" i="6"/>
  <c r="O45" i="6"/>
  <c r="Q45" i="6"/>
  <c r="R45" i="6" s="1"/>
  <c r="O48" i="6"/>
  <c r="Q48" i="6" s="1"/>
  <c r="R48" i="6" s="1"/>
  <c r="P48" i="6"/>
  <c r="P234" i="6"/>
  <c r="O234" i="6"/>
  <c r="Q234" i="6" s="1"/>
  <c r="R234" i="6" s="1"/>
  <c r="O10" i="6"/>
  <c r="P10" i="6"/>
  <c r="Q10" i="6"/>
  <c r="R10" i="6" s="1"/>
  <c r="P142" i="6"/>
  <c r="O142" i="6"/>
  <c r="Q142" i="6" s="1"/>
  <c r="R142" i="6" s="1"/>
  <c r="P199" i="6"/>
  <c r="O199" i="6"/>
  <c r="Q199" i="6" s="1"/>
  <c r="R199" i="6" s="1"/>
  <c r="O58" i="6"/>
  <c r="P58" i="6"/>
  <c r="Q58" i="6" s="1"/>
  <c r="R58" i="6" s="1"/>
  <c r="O62" i="6"/>
  <c r="P62" i="6"/>
  <c r="Q62" i="6" s="1"/>
  <c r="R62" i="6" s="1"/>
  <c r="P133" i="6"/>
  <c r="O133" i="6"/>
  <c r="Q133" i="6"/>
  <c r="R133" i="6" s="1"/>
  <c r="P185" i="6"/>
  <c r="O185" i="6"/>
  <c r="Q185" i="6" s="1"/>
  <c r="R185" i="6" s="1"/>
  <c r="P64" i="6"/>
  <c r="O64" i="6"/>
  <c r="Q64" i="6"/>
  <c r="R64" i="6" s="1"/>
  <c r="P93" i="6"/>
  <c r="O93" i="6"/>
  <c r="Q93" i="6"/>
  <c r="R93" i="6" s="1"/>
  <c r="P246" i="6"/>
  <c r="O246" i="6"/>
  <c r="Q246" i="6" s="1"/>
  <c r="R246" i="6" s="1"/>
  <c r="P151" i="6"/>
  <c r="O151" i="6"/>
  <c r="Q151" i="6" s="1"/>
  <c r="R151" i="6" s="1"/>
  <c r="P216" i="6"/>
  <c r="O216" i="6"/>
  <c r="Q216" i="6"/>
  <c r="R216" i="6" s="1"/>
  <c r="O242" i="6"/>
  <c r="Q242" i="6" s="1"/>
  <c r="R242" i="6" s="1"/>
  <c r="P242" i="6"/>
  <c r="P134" i="6"/>
  <c r="O134" i="6"/>
  <c r="Q134" i="6"/>
  <c r="R134" i="6" s="1"/>
  <c r="P100" i="6"/>
  <c r="O100" i="6"/>
  <c r="Q100" i="6"/>
  <c r="R100" i="6" s="1"/>
  <c r="O130" i="6"/>
  <c r="P130" i="6"/>
  <c r="Q130" i="6" s="1"/>
  <c r="R130" i="6" s="1"/>
  <c r="P86" i="6"/>
  <c r="O86" i="6"/>
  <c r="O35" i="6"/>
  <c r="P35" i="6"/>
  <c r="Q35" i="6"/>
  <c r="R35" i="6" s="1"/>
  <c r="P108" i="6"/>
  <c r="O108" i="6"/>
  <c r="Q108" i="6"/>
  <c r="R108" i="6" s="1"/>
  <c r="P259" i="6"/>
  <c r="O259" i="6"/>
  <c r="Q259" i="6"/>
  <c r="R259" i="6" s="1"/>
  <c r="P95" i="6"/>
  <c r="O95" i="6"/>
  <c r="Q95" i="6" s="1"/>
  <c r="R95" i="6" s="1"/>
  <c r="P24" i="6"/>
  <c r="O24" i="6"/>
  <c r="Q24" i="6" s="1"/>
  <c r="R24" i="6" s="1"/>
  <c r="O65" i="6"/>
  <c r="Q65" i="6" s="1"/>
  <c r="R65" i="6" s="1"/>
  <c r="P65" i="6"/>
  <c r="O26" i="6"/>
  <c r="Q26" i="6" s="1"/>
  <c r="R26" i="6" s="1"/>
  <c r="P26" i="6"/>
  <c r="P21" i="6"/>
  <c r="O21" i="6"/>
  <c r="Q21" i="6"/>
  <c r="R21" i="6" s="1"/>
  <c r="P229" i="6"/>
  <c r="O229" i="6"/>
  <c r="Q229" i="6"/>
  <c r="R229" i="6" s="1"/>
  <c r="P61" i="6"/>
  <c r="O61" i="6"/>
  <c r="P46" i="6"/>
  <c r="O46" i="6"/>
  <c r="Q46" i="6"/>
  <c r="R46" i="6" s="1"/>
  <c r="P76" i="6"/>
  <c r="O76" i="6"/>
  <c r="Q76" i="6"/>
  <c r="R76" i="6" s="1"/>
  <c r="O85" i="6"/>
  <c r="Q85" i="6" s="1"/>
  <c r="R85" i="6" s="1"/>
  <c r="P85" i="6"/>
  <c r="O168" i="6"/>
  <c r="P168" i="6"/>
  <c r="Q168" i="6" s="1"/>
  <c r="R168" i="6" s="1"/>
  <c r="P188" i="6"/>
  <c r="O188" i="6"/>
  <c r="Q188" i="6"/>
  <c r="R188" i="6" s="1"/>
  <c r="P217" i="6"/>
  <c r="Q217" i="6" s="1"/>
  <c r="R217" i="6" s="1"/>
  <c r="O217" i="6"/>
  <c r="P214" i="6"/>
  <c r="O214" i="6"/>
  <c r="O184" i="6"/>
  <c r="P184" i="6"/>
  <c r="Q184" i="6"/>
  <c r="R184" i="6" s="1"/>
  <c r="P232" i="6"/>
  <c r="O232" i="6"/>
  <c r="Q232" i="6" s="1"/>
  <c r="R232" i="6" s="1"/>
  <c r="O264" i="6"/>
  <c r="P264" i="6"/>
  <c r="Q264" i="6"/>
  <c r="R264" i="6" s="1"/>
  <c r="O222" i="6"/>
  <c r="P222" i="6"/>
  <c r="Q222" i="6" s="1"/>
  <c r="R222" i="6" s="1"/>
  <c r="P147" i="6"/>
  <c r="Q147" i="6" s="1"/>
  <c r="R147" i="6" s="1"/>
  <c r="O147" i="6"/>
  <c r="O254" i="6"/>
  <c r="P254" i="6"/>
  <c r="Q254" i="6" s="1"/>
  <c r="R254" i="6" s="1"/>
  <c r="P138" i="6"/>
  <c r="O138" i="6"/>
  <c r="Q138" i="6"/>
  <c r="R138" i="6" s="1"/>
  <c r="P145" i="6"/>
  <c r="O145" i="6"/>
  <c r="Q145" i="6"/>
  <c r="R145" i="6" s="1"/>
  <c r="P56" i="6"/>
  <c r="O56" i="6"/>
  <c r="Q56" i="6"/>
  <c r="R56" i="6" s="1"/>
  <c r="O127" i="6"/>
  <c r="Q127" i="6" s="1"/>
  <c r="R127" i="6" s="1"/>
  <c r="P127" i="6"/>
  <c r="P16" i="6"/>
  <c r="O16" i="6"/>
  <c r="O236" i="6"/>
  <c r="Q236" i="6" s="1"/>
  <c r="R236" i="6" s="1"/>
  <c r="P236" i="6"/>
  <c r="O121" i="6"/>
  <c r="Q121" i="6" s="1"/>
  <c r="R121" i="6" s="1"/>
  <c r="P121" i="6"/>
  <c r="O211" i="6"/>
  <c r="P211" i="6"/>
  <c r="Q211" i="6"/>
  <c r="R211" i="6" s="1"/>
  <c r="P137" i="6"/>
  <c r="O137" i="6"/>
  <c r="Q137" i="6"/>
  <c r="R137" i="6" s="1"/>
  <c r="Q19" i="6"/>
  <c r="R19" i="6" s="1"/>
  <c r="Q206" i="6"/>
  <c r="R206" i="6" s="1"/>
  <c r="O9" i="6"/>
  <c r="P9" i="6"/>
  <c r="Q9" i="6"/>
  <c r="R9" i="6" s="1"/>
  <c r="P191" i="6"/>
  <c r="O191" i="6"/>
  <c r="Q191" i="6"/>
  <c r="R191" i="6" s="1"/>
  <c r="P144" i="6"/>
  <c r="O144" i="6"/>
  <c r="Q50" i="6"/>
  <c r="R50" i="6" s="1"/>
  <c r="O164" i="6"/>
  <c r="P164" i="6"/>
  <c r="Q164" i="6" s="1"/>
  <c r="R164" i="6" s="1"/>
  <c r="P20" i="6"/>
  <c r="O20" i="6"/>
  <c r="Q20" i="6"/>
  <c r="R20" i="6" s="1"/>
  <c r="O160" i="6"/>
  <c r="Q160" i="6" s="1"/>
  <c r="R160" i="6" s="1"/>
  <c r="P160" i="6"/>
  <c r="P196" i="6"/>
  <c r="O196" i="6"/>
  <c r="Q196" i="6" s="1"/>
  <c r="R196" i="6" s="1"/>
  <c r="P53" i="6"/>
  <c r="O53" i="6"/>
  <c r="Q53" i="6"/>
  <c r="R53" i="6" s="1"/>
  <c r="P55" i="6"/>
  <c r="O55" i="6"/>
  <c r="Q55" i="6"/>
  <c r="R55" i="6" s="1"/>
  <c r="P176" i="6"/>
  <c r="O176" i="6"/>
  <c r="Q176" i="6" s="1"/>
  <c r="R176" i="6" s="1"/>
  <c r="P71" i="6"/>
  <c r="O71" i="6"/>
  <c r="Q71" i="6" s="1"/>
  <c r="R71" i="6" s="1"/>
  <c r="O128" i="6"/>
  <c r="P128" i="6"/>
  <c r="Q128" i="6"/>
  <c r="R128" i="6" s="1"/>
  <c r="P183" i="6"/>
  <c r="O183" i="6"/>
  <c r="Q183" i="6"/>
  <c r="R183" i="6" s="1"/>
  <c r="P255" i="6"/>
  <c r="O255" i="6"/>
  <c r="Q255" i="6" s="1"/>
  <c r="R255" i="6" s="1"/>
  <c r="P104" i="6"/>
  <c r="O104" i="6"/>
  <c r="Q104" i="6" s="1"/>
  <c r="R104" i="6" s="1"/>
  <c r="P231" i="6"/>
  <c r="O231" i="6"/>
  <c r="Q231" i="6"/>
  <c r="R231" i="6" s="1"/>
  <c r="P88" i="6"/>
  <c r="Q88" i="6" s="1"/>
  <c r="R88" i="6" s="1"/>
  <c r="O88" i="6"/>
  <c r="Q208" i="6"/>
  <c r="R208" i="6" s="1"/>
  <c r="Q78" i="6"/>
  <c r="R78" i="6" s="1"/>
  <c r="O15" i="6"/>
  <c r="P15" i="6"/>
  <c r="Q15" i="6"/>
  <c r="R15" i="6" s="1"/>
  <c r="P28" i="6"/>
  <c r="O28" i="6"/>
  <c r="Q238" i="6"/>
  <c r="R238" i="6" s="1"/>
  <c r="P97" i="6"/>
  <c r="O97" i="6"/>
  <c r="Q97" i="6"/>
  <c r="R97" i="6" s="1"/>
  <c r="P114" i="6"/>
  <c r="O114" i="6"/>
  <c r="Q114" i="6" s="1"/>
  <c r="R114" i="6" s="1"/>
  <c r="P263" i="6"/>
  <c r="Q263" i="6" s="1"/>
  <c r="R263" i="6" s="1"/>
  <c r="O263" i="6"/>
  <c r="P181" i="6"/>
  <c r="O181" i="6"/>
  <c r="Q181" i="6" s="1"/>
  <c r="R181" i="6" s="1"/>
  <c r="P126" i="6"/>
  <c r="O126" i="6"/>
  <c r="Q126" i="6" s="1"/>
  <c r="R126" i="6" s="1"/>
  <c r="O163" i="6"/>
  <c r="P163" i="6"/>
  <c r="Q163" i="6"/>
  <c r="R163" i="6" s="1"/>
  <c r="P171" i="6"/>
  <c r="O171" i="6"/>
  <c r="Q171" i="6"/>
  <c r="R171" i="6" s="1"/>
  <c r="P167" i="6"/>
  <c r="Q167" i="6" s="1"/>
  <c r="R167" i="6" s="1"/>
  <c r="O167" i="6"/>
  <c r="P101" i="6"/>
  <c r="O101" i="6"/>
  <c r="Q101" i="6"/>
  <c r="R101" i="6" s="1"/>
  <c r="O260" i="6"/>
  <c r="P260" i="6"/>
  <c r="Q260" i="6" s="1"/>
  <c r="R260" i="6" s="1"/>
  <c r="P34" i="6"/>
  <c r="O34" i="6"/>
  <c r="Q34" i="6" s="1"/>
  <c r="R34" i="6" s="1"/>
  <c r="Q219" i="6"/>
  <c r="R219" i="6" s="1"/>
  <c r="P243" i="6"/>
  <c r="O243" i="6"/>
  <c r="Q243" i="6"/>
  <c r="R243" i="6" s="1"/>
  <c r="P39" i="6"/>
  <c r="O39" i="6"/>
  <c r="Q39" i="6" s="1"/>
  <c r="R39" i="6" s="1"/>
  <c r="P63" i="6"/>
  <c r="O63" i="6"/>
  <c r="Q63" i="6"/>
  <c r="R63" i="6" s="1"/>
  <c r="P240" i="6"/>
  <c r="O240" i="6"/>
  <c r="Q240" i="6"/>
  <c r="R240" i="6" s="1"/>
  <c r="P17" i="6"/>
  <c r="O17" i="6"/>
  <c r="Q17" i="6" s="1"/>
  <c r="R17" i="6" s="1"/>
  <c r="P36" i="6"/>
  <c r="O36" i="6"/>
  <c r="Q36" i="6"/>
  <c r="R36" i="6" s="1"/>
  <c r="O7" i="6"/>
  <c r="P7" i="6"/>
  <c r="Q7" i="6"/>
  <c r="R7" i="6" s="1"/>
  <c r="P89" i="6"/>
  <c r="O89" i="6"/>
  <c r="Q89" i="6" s="1"/>
  <c r="R89" i="6" s="1"/>
  <c r="O29" i="6"/>
  <c r="P29" i="6"/>
  <c r="Q29" i="6"/>
  <c r="R29" i="6" s="1"/>
  <c r="P49" i="6"/>
  <c r="O49" i="6"/>
  <c r="Q49" i="6" s="1"/>
  <c r="R49" i="6" s="1"/>
  <c r="O241" i="6"/>
  <c r="P241" i="6"/>
  <c r="Q241" i="6"/>
  <c r="R241" i="6" s="1"/>
  <c r="P32" i="6"/>
  <c r="O32" i="6"/>
  <c r="Q32" i="6"/>
  <c r="R32" i="6" s="1"/>
  <c r="P79" i="6"/>
  <c r="O79" i="6"/>
  <c r="Q79" i="6" s="1"/>
  <c r="R79" i="6" s="1"/>
  <c r="P182" i="6"/>
  <c r="O182" i="6"/>
  <c r="Q182" i="6" s="1"/>
  <c r="R182" i="6" s="1"/>
  <c r="P110" i="6"/>
  <c r="O110" i="6"/>
  <c r="O72" i="6"/>
  <c r="P72" i="6"/>
  <c r="Q72" i="6" s="1"/>
  <c r="R72" i="6" s="1"/>
  <c r="O149" i="6"/>
  <c r="P149" i="6"/>
  <c r="P87" i="6"/>
  <c r="O87" i="6"/>
  <c r="Q87" i="6" s="1"/>
  <c r="R87" i="6" s="1"/>
  <c r="O90" i="6"/>
  <c r="P90" i="6"/>
  <c r="Q90" i="6" s="1"/>
  <c r="R90" i="6" s="1"/>
  <c r="P150" i="6"/>
  <c r="O150" i="6"/>
  <c r="Q150" i="6" s="1"/>
  <c r="R150" i="6" s="1"/>
  <c r="O136" i="6"/>
  <c r="P136" i="6"/>
  <c r="Q136" i="6" s="1"/>
  <c r="R136" i="6" s="1"/>
  <c r="P80" i="6"/>
  <c r="O80" i="6"/>
  <c r="P12" i="6"/>
  <c r="O12" i="6"/>
  <c r="Q12" i="6"/>
  <c r="R12" i="6" s="1"/>
  <c r="P82" i="6"/>
  <c r="O82" i="6"/>
  <c r="Q82" i="6"/>
  <c r="R82" i="6" s="1"/>
  <c r="O120" i="6"/>
  <c r="P120" i="6"/>
  <c r="Q120" i="6" s="1"/>
  <c r="R120" i="6" s="1"/>
  <c r="P75" i="6"/>
  <c r="O75" i="6"/>
  <c r="Q75" i="6" s="1"/>
  <c r="R75" i="6" s="1"/>
  <c r="P203" i="6"/>
  <c r="O203" i="6"/>
  <c r="Q203" i="6" s="1"/>
  <c r="R203" i="6" s="1"/>
  <c r="P119" i="6"/>
  <c r="O119" i="6"/>
  <c r="Q119" i="6" s="1"/>
  <c r="R119" i="6" s="1"/>
  <c r="O244" i="6"/>
  <c r="P244" i="6"/>
  <c r="Q244" i="6" s="1"/>
  <c r="R244" i="6" s="1"/>
  <c r="P6" i="6"/>
  <c r="O6" i="6"/>
  <c r="Q6" i="6"/>
  <c r="R6" i="6" s="1"/>
  <c r="O23" i="6"/>
  <c r="P23" i="6"/>
  <c r="Q23" i="6" s="1"/>
  <c r="R23" i="6" s="1"/>
  <c r="P112" i="6"/>
  <c r="O112" i="6"/>
  <c r="Q112" i="6"/>
  <c r="R112" i="6" s="1"/>
  <c r="O118" i="6"/>
  <c r="Q118" i="6" s="1"/>
  <c r="R118" i="6" s="1"/>
  <c r="P118" i="6"/>
  <c r="P131" i="6"/>
  <c r="O131" i="6"/>
  <c r="Q131" i="6" s="1"/>
  <c r="R131" i="6" s="1"/>
  <c r="P220" i="6"/>
  <c r="O220" i="6"/>
  <c r="Q220" i="6"/>
  <c r="R220" i="6" s="1"/>
  <c r="P115" i="6"/>
  <c r="O115" i="6"/>
  <c r="Q115" i="6" s="1"/>
  <c r="R115" i="6" s="1"/>
  <c r="P73" i="6"/>
  <c r="O73" i="6"/>
  <c r="Q73" i="6"/>
  <c r="R73" i="6" s="1"/>
  <c r="P228" i="6"/>
  <c r="O228" i="6"/>
  <c r="Q228" i="6"/>
  <c r="R228" i="6" s="1"/>
  <c r="P33" i="6"/>
  <c r="O33" i="6"/>
  <c r="Q33" i="6" s="1"/>
  <c r="R33" i="6" s="1"/>
  <c r="P172" i="6"/>
  <c r="O172" i="6"/>
  <c r="Q172" i="6" s="1"/>
  <c r="R172" i="6" s="1"/>
  <c r="O47" i="6"/>
  <c r="P47" i="6"/>
  <c r="Q47" i="6" s="1"/>
  <c r="R47" i="6" s="1"/>
  <c r="P91" i="6"/>
  <c r="O91" i="6"/>
  <c r="Q91" i="6" s="1"/>
  <c r="R91" i="6" s="1"/>
  <c r="P141" i="6"/>
  <c r="O141" i="6"/>
  <c r="Q141" i="6"/>
  <c r="R141" i="6" s="1"/>
  <c r="P60" i="6"/>
  <c r="O60" i="6"/>
  <c r="Q60" i="6"/>
  <c r="R60" i="6" s="1"/>
  <c r="P249" i="6"/>
  <c r="O249" i="6"/>
  <c r="P41" i="6"/>
  <c r="O41" i="6"/>
  <c r="Q41" i="6" s="1"/>
  <c r="R41" i="6" s="1"/>
  <c r="O54" i="6"/>
  <c r="P54" i="6"/>
  <c r="Q54" i="6" s="1"/>
  <c r="R54" i="6" s="1"/>
  <c r="P69" i="6"/>
  <c r="O69" i="6"/>
  <c r="Q69" i="6"/>
  <c r="R69" i="6" s="1"/>
  <c r="P77" i="6"/>
  <c r="O77" i="6"/>
  <c r="Q77" i="6" s="1"/>
  <c r="R77" i="6" s="1"/>
  <c r="P250" i="6"/>
  <c r="O250" i="6"/>
  <c r="Q250" i="6"/>
  <c r="R250" i="6" s="1"/>
  <c r="O106" i="6"/>
  <c r="Q106" i="6"/>
  <c r="R106" i="6" s="1"/>
  <c r="P106" i="6"/>
  <c r="P210" i="6"/>
  <c r="O210" i="6"/>
  <c r="Q210" i="6" s="1"/>
  <c r="R210" i="6" s="1"/>
  <c r="O66" i="6"/>
  <c r="P66" i="6"/>
  <c r="Q66" i="6"/>
  <c r="R66" i="6" s="1"/>
  <c r="P159" i="6"/>
  <c r="O159" i="6"/>
  <c r="Q159" i="6" s="1"/>
  <c r="R159" i="6" s="1"/>
  <c r="P51" i="6"/>
  <c r="O51" i="6"/>
  <c r="Q51" i="6" s="1"/>
  <c r="R51" i="6" s="1"/>
  <c r="P25" i="6"/>
  <c r="O25" i="6"/>
  <c r="Q25" i="6"/>
  <c r="R25" i="6" s="1"/>
  <c r="P99" i="6"/>
  <c r="O99" i="6"/>
  <c r="Q99" i="6" s="1"/>
  <c r="R99" i="6" s="1"/>
  <c r="P13" i="6"/>
  <c r="O13" i="6"/>
  <c r="Q13" i="6" s="1"/>
  <c r="R13" i="6" s="1"/>
  <c r="P256" i="6"/>
  <c r="O256" i="6"/>
  <c r="Q256" i="6"/>
  <c r="R256" i="6" s="1"/>
  <c r="P201" i="6"/>
  <c r="O201" i="6"/>
  <c r="Q201" i="6" s="1"/>
  <c r="R201" i="6" s="1"/>
  <c r="S200" i="6" s="1"/>
  <c r="U200" i="6" s="1"/>
  <c r="O40" i="6"/>
  <c r="P40" i="6"/>
  <c r="Q40" i="6" s="1"/>
  <c r="R40" i="6" s="1"/>
  <c r="P195" i="6"/>
  <c r="O195" i="6"/>
  <c r="Q195" i="6"/>
  <c r="R195" i="6" s="1"/>
  <c r="Q125" i="6"/>
  <c r="R125" i="6" s="1"/>
  <c r="P233" i="6"/>
  <c r="O233" i="6"/>
  <c r="Q233" i="6" s="1"/>
  <c r="R233" i="6" s="1"/>
  <c r="O124" i="6"/>
  <c r="P124" i="6"/>
  <c r="Q124" i="6"/>
  <c r="R124" i="6" s="1"/>
  <c r="Q223" i="6"/>
  <c r="R223" i="6" s="1"/>
  <c r="Q177" i="6"/>
  <c r="R177" i="6" s="1"/>
  <c r="O169" i="6"/>
  <c r="Q169" i="6" s="1"/>
  <c r="R169" i="6" s="1"/>
  <c r="P169" i="6"/>
  <c r="Q235" i="6"/>
  <c r="R235" i="6" s="1"/>
  <c r="P230" i="6"/>
  <c r="O230" i="6"/>
  <c r="Q230" i="6"/>
  <c r="R230" i="6" s="1"/>
  <c r="P221" i="6"/>
  <c r="O221" i="6"/>
  <c r="Q221" i="6" s="1"/>
  <c r="R221" i="6" s="1"/>
  <c r="Q189" i="6"/>
  <c r="R189" i="6" s="1"/>
  <c r="Q68" i="6"/>
  <c r="R68" i="6" s="1"/>
  <c r="Q140" i="6"/>
  <c r="R140" i="6" s="1"/>
  <c r="S174" i="6" l="1"/>
  <c r="U174" i="6" s="1"/>
  <c r="S252" i="6"/>
  <c r="U252" i="6" s="1"/>
  <c r="S122" i="6"/>
  <c r="U122" i="6" s="1"/>
  <c r="S226" i="6"/>
  <c r="U226" i="6" s="1"/>
  <c r="S161" i="6"/>
  <c r="U161" i="6" s="1"/>
  <c r="S96" i="6"/>
  <c r="U96" i="6" s="1"/>
  <c r="Q80" i="6"/>
  <c r="R80" i="6" s="1"/>
  <c r="S70" i="6" s="1"/>
  <c r="U70" i="6" s="1"/>
  <c r="Q149" i="6"/>
  <c r="R149" i="6" s="1"/>
  <c r="S148" i="6" s="1"/>
  <c r="U148" i="6" s="1"/>
  <c r="Q249" i="6"/>
  <c r="R249" i="6" s="1"/>
  <c r="Q110" i="6"/>
  <c r="R110" i="6" s="1"/>
  <c r="S109" i="6" s="1"/>
  <c r="U109" i="6" s="1"/>
  <c r="Q28" i="6"/>
  <c r="R28" i="6" s="1"/>
  <c r="S18" i="6" s="1"/>
  <c r="U18" i="6" s="1"/>
  <c r="Q144" i="6"/>
  <c r="R144" i="6" s="1"/>
  <c r="S135" i="6" s="1"/>
  <c r="U135" i="6" s="1"/>
  <c r="Q248" i="6"/>
  <c r="R248" i="6" s="1"/>
  <c r="S239" i="6" s="1"/>
  <c r="U239" i="6" s="1"/>
  <c r="S187" i="6"/>
  <c r="U187" i="6" s="1"/>
  <c r="Q86" i="6"/>
  <c r="R86" i="6" s="1"/>
  <c r="S83" i="6" s="1"/>
  <c r="U83" i="6" s="1"/>
  <c r="Q16" i="6"/>
  <c r="R16" i="6" s="1"/>
  <c r="Q214" i="6"/>
  <c r="R214" i="6" s="1"/>
  <c r="S213" i="6" s="1"/>
  <c r="U213" i="6" s="1"/>
  <c r="S44" i="6"/>
  <c r="U44" i="6" s="1"/>
  <c r="S5" i="6"/>
  <c r="U5" i="6" s="1"/>
  <c r="S31" i="6"/>
  <c r="U31" i="6" s="1"/>
  <c r="Q61" i="6"/>
  <c r="R61" i="6" s="1"/>
  <c r="S57" i="6" s="1"/>
  <c r="U5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10" authorId="0" shapeId="0" xr:uid="{00000000-0006-0000-0000-000001000000}">
      <text>
        <r>
          <rPr>
            <sz val="11"/>
            <color theme="1"/>
            <rFont val="맑은 고딕"/>
            <family val="3"/>
            <charset val="129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제11차 전기본 온실가스 배출목표(백만톤)/전력계통소비량(TWh)</t>
        </r>
      </text>
    </comment>
    <comment ref="C14" authorId="0" shapeId="0" xr:uid="{00000000-0006-0000-0000-000002000000}">
      <text>
        <r>
          <rPr>
            <sz val="11"/>
            <color theme="1"/>
            <rFont val="맑은 고딕"/>
            <family val="3"/>
            <charset val="129"/>
          </rPr>
          <t>13차 가구에너지 패널조사에서,
(가스보일러 사용 가구의 연간 가스사용량 - 지역난방 가스취사 사용 가구의 가스 사용량)/가스보일러 사용 가구의 연간 가스사용량</t>
        </r>
      </text>
    </comment>
    <comment ref="B41" authorId="0" shapeId="0" xr:uid="{00000000-0006-0000-0000-000003000000}">
      <text>
        <r>
          <rPr>
            <sz val="11"/>
            <color theme="1"/>
            <rFont val="맑은 고딕"/>
            <family val="3"/>
            <charset val="129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2026년 1월 기준으로 통일함(1월 난방비 입력하게 하므로)</t>
        </r>
      </text>
    </comment>
    <comment ref="C41" authorId="0" shapeId="0" xr:uid="{00000000-0006-0000-0000-000004000000}">
      <text>
        <r>
          <rPr>
            <sz val="11"/>
            <color theme="1"/>
            <rFont val="맑은 고딕"/>
            <family val="3"/>
            <charset val="129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http://www.citygas.or.kr/info/charge.jsp (서울, 주택난방기준), 부가세 10% 가산</t>
        </r>
      </text>
    </comment>
    <comment ref="D41" authorId="0" shapeId="0" xr:uid="{00000000-0006-0000-0000-000005000000}">
      <text>
        <r>
          <rPr>
            <sz val="11"/>
            <color theme="1"/>
            <rFont val="맑은 고딕"/>
            <family val="3"/>
            <charset val="129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http://www.citygas.or.kr/info/charge.jsp (서울, 주택난방기준), 부가세 10% 가산</t>
        </r>
      </text>
    </comment>
    <comment ref="E41" authorId="0" shapeId="0" xr:uid="{00000000-0006-0000-0000-000006000000}">
      <text>
        <r>
          <rPr>
            <sz val="11"/>
            <color theme="1"/>
            <rFont val="맑은 고딕"/>
            <family val="3"/>
            <charset val="129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https://www.opinet.co.kr/user/dopospdrg/dopOsPdrgSelect.do 전체 주유소의 제품별 평균 판매가격(부가세 포함)-실내등유</t>
        </r>
      </text>
    </comment>
    <comment ref="F41" authorId="0" shapeId="0" xr:uid="{00000000-0006-0000-0000-000007000000}">
      <text>
        <r>
          <rPr>
            <sz val="11"/>
            <color theme="1"/>
            <rFont val="맑은 고딕"/>
            <family val="3"/>
            <charset val="129"/>
          </rPr>
          <t>https://www.klpg.or.kr/html/dh/board04 (프로판, 가정용)
Reply:
    https://www.opinet.co.kr/user/dopcsavsel/dopCsAvselSelect.do (LPG용기충전소의 평균 판매가격(부가세 포함) - 일반프로판)</t>
        </r>
      </text>
    </comment>
    <comment ref="B84" authorId="0" shapeId="0" xr:uid="{00000000-0006-0000-0000-000008000000}">
      <text>
        <r>
          <rPr>
            <sz val="11"/>
            <color theme="1"/>
            <rFont val="맑은 고딕"/>
            <family val="3"/>
            <charset val="129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제8차 열량환산기준</t>
        </r>
      </text>
    </comment>
    <comment ref="B87" authorId="0" shapeId="0" xr:uid="{00000000-0006-0000-0000-000009000000}">
      <text>
        <r>
          <rPr>
            <sz val="11"/>
            <color theme="1"/>
            <rFont val="맑은 고딕"/>
            <family val="3"/>
            <charset val="129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https://www.korealpg.or.kr/sub02/sub02.php?PHPSESSID=8e98397ead018545f08e87c757643013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100-000001000000}">
      <text>
        <r>
          <rPr>
            <sz val="11"/>
            <color theme="1"/>
            <rFont val="맑은 고딕"/>
            <family val="3"/>
            <charset val="129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13차 가구에너지패널조사에서
지역별 '단독주택 도시가스 주난방 사용 가구 도시가스 사용량 - 지역난방 도시가스 취사사용량'의 평균값 월별 비중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<sst xmlns="http://schemas.openxmlformats.org/spreadsheetml/2006/main" count="1046" uniqueCount="437">
  <si>
    <t>INPUT</t>
  </si>
  <si>
    <t>입력1</t>
  </si>
  <si>
    <t>전용 면적 (평)</t>
  </si>
  <si>
    <t>전용 면적(평) (선택)</t>
  </si>
  <si>
    <t>히트펌프 열용량(kW)</t>
  </si>
  <si>
    <t>필요 공간</t>
  </si>
  <si>
    <t>입력2</t>
  </si>
  <si>
    <t>현재 난방기기</t>
  </si>
  <si>
    <t>난방기기(선택)</t>
  </si>
  <si>
    <t>등유 보일러</t>
  </si>
  <si>
    <t>가스 콘덴싱보일러</t>
  </si>
  <si>
    <t>가스 일반보일러</t>
  </si>
  <si>
    <t>LPG 보일러</t>
  </si>
  <si>
    <t>히트펌프(2025년)</t>
  </si>
  <si>
    <t>히트펌프(2038년)</t>
  </si>
  <si>
    <t>기기 효율</t>
  </si>
  <si>
    <t>기기 온실가스 배출계수(tCO2eq/MWh)</t>
  </si>
  <si>
    <t>입력3</t>
  </si>
  <si>
    <t>취사기기</t>
  </si>
  <si>
    <t>취사기기(선택)</t>
  </si>
  <si>
    <t>인덕션(전기)</t>
  </si>
  <si>
    <t>도시가스</t>
  </si>
  <si>
    <t>LPG</t>
  </si>
  <si>
    <t>전체 사용량 대비 난방 비중</t>
  </si>
  <si>
    <t>입력4</t>
  </si>
  <si>
    <t>난방요금</t>
  </si>
  <si>
    <t>주) 1월만 입력하게 하고 월별 난방비중으로 추정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</si>
  <si>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</si>
  <si>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</si>
  <si>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</si>
  <si>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</si>
  <si>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</si>
  <si>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</si>
  <si>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</si>
  <si>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</si>
  <si>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</si>
  <si>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</si>
  <si>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</si>
  <si>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</si>
  <si>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계</t>
  </si>
  <si>
    <t>월별 난방요금(입력)</t>
  </si>
  <si>
    <t>지역 (선택)</t>
  </si>
  <si>
    <t>서울특별시</t>
  </si>
  <si>
    <t>강남구</t>
  </si>
  <si>
    <t>월별 난방비중</t>
  </si>
  <si>
    <t>입력5</t>
  </si>
  <si>
    <t>전기요금</t>
  </si>
  <si>
    <t>월별 전기사용량(입력)</t>
  </si>
  <si>
    <t>월별 전기요금 비중</t>
  </si>
  <si>
    <t>입력6</t>
  </si>
  <si>
    <t>태양광</t>
  </si>
  <si>
    <t>태양광 설치 유무(선택)</t>
  </si>
  <si>
    <t>유/무</t>
  </si>
  <si>
    <t>설치 용량(입력)(kW)</t>
  </si>
  <si>
    <t>OUTPUT</t>
  </si>
  <si>
    <t>결과1</t>
  </si>
  <si>
    <t>TCO</t>
  </si>
  <si>
    <t>도시가스(콘덴싱)</t>
  </si>
  <si>
    <t>전기</t>
  </si>
  <si>
    <t>설치비(원)</t>
  </si>
  <si>
    <t>보조금(%)</t>
  </si>
  <si>
    <t>순 비용(원)</t>
  </si>
  <si>
    <t>요금 체계(부가세 포함)</t>
  </si>
  <si>
    <t>도시가스(일반)</t>
  </si>
  <si>
    <t>등유</t>
  </si>
  <si>
    <t>기본요금(원)</t>
  </si>
  <si>
    <t>사용요금(기존 단위)(가스: 원/MJ, 등유: 원/L, LPG: 원/kg)</t>
  </si>
  <si>
    <t>사용요금(원/KWh)</t>
  </si>
  <si>
    <t>실제 난방 에너지 사용량(kWh)</t>
  </si>
  <si>
    <t>유효 열 수요(kWh)(히트펌프 전환 계산용)</t>
  </si>
  <si>
    <t>도시가스(컨덴싱)</t>
  </si>
  <si>
    <t>지역구분</t>
  </si>
  <si>
    <t>월별 COP</t>
  </si>
  <si>
    <t>전력 사용량</t>
  </si>
  <si>
    <t>월별 kWh</t>
  </si>
  <si>
    <t>도시가스(컨덴싱)-&gt;HP</t>
  </si>
  <si>
    <t>도시가스(일반)-&gt;HP</t>
  </si>
  <si>
    <t>등유-&gt;HP</t>
  </si>
  <si>
    <t>LPG-&gt;HP</t>
  </si>
  <si>
    <t>결과2</t>
  </si>
  <si>
    <t>연간 온실가스 배출량(tCO2eq)</t>
  </si>
  <si>
    <t>연차</t>
  </si>
  <si>
    <t>히트펌프</t>
  </si>
  <si>
    <t>에너지열량 환산기준</t>
  </si>
  <si>
    <t>단위</t>
  </si>
  <si>
    <t>총발열량(MJ)</t>
  </si>
  <si>
    <t>총발열량(kcal)</t>
  </si>
  <si>
    <t>도시가스(LNG)</t>
  </si>
  <si>
    <t>MJ</t>
  </si>
  <si>
    <t>L</t>
  </si>
  <si>
    <t>도시가스(LPG)</t>
  </si>
  <si>
    <t>kg</t>
  </si>
  <si>
    <t>지역</t>
  </si>
  <si>
    <t>구분</t>
  </si>
  <si>
    <t>전국</t>
  </si>
  <si>
    <t>월별 비중(합계=1)</t>
  </si>
  <si>
    <t>부산광역시</t>
  </si>
  <si>
    <t>월별 비중(합계=2)</t>
  </si>
  <si>
    <t>대구광역시</t>
  </si>
  <si>
    <t>월별 비중(합계=3)</t>
  </si>
  <si>
    <t>인천광역시</t>
  </si>
  <si>
    <t>월별 비중(합계=4)</t>
  </si>
  <si>
    <t>광주광역시</t>
  </si>
  <si>
    <t>월별 비중(합계=5)</t>
  </si>
  <si>
    <t>대전광역시</t>
  </si>
  <si>
    <t>월별 비중(합계=6)</t>
  </si>
  <si>
    <t>울산광역시</t>
  </si>
  <si>
    <t>월별 비중(합계=7)</t>
  </si>
  <si>
    <t>세종특별자치시</t>
  </si>
  <si>
    <t>월별 비중(합계=8)</t>
  </si>
  <si>
    <t>경기도</t>
  </si>
  <si>
    <t>월별 비중(합계=9)</t>
  </si>
  <si>
    <t>강원도</t>
  </si>
  <si>
    <t>월별 비중(합계=10)</t>
  </si>
  <si>
    <t>충청북도</t>
  </si>
  <si>
    <t>월별 비중(합계=11)</t>
  </si>
  <si>
    <t>충청남도</t>
  </si>
  <si>
    <t>월별 비중(합계=12)</t>
  </si>
  <si>
    <t>전라북도</t>
  </si>
  <si>
    <t>월별 비중(합계=13)</t>
  </si>
  <si>
    <t>전라남도</t>
  </si>
  <si>
    <t>월별 비중(합계=14)</t>
  </si>
  <si>
    <t>경상북도</t>
  </si>
  <si>
    <t>월별 비중(합계=15)</t>
  </si>
  <si>
    <t>경상남도</t>
  </si>
  <si>
    <t>월별 비중(합계=16)</t>
  </si>
  <si>
    <t>제주특별자치도</t>
  </si>
  <si>
    <t>월별 비중(합계=17)</t>
  </si>
  <si>
    <t>시도</t>
  </si>
  <si>
    <t>기초지자체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</si>
  <si>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</si>
  <si>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</si>
  <si>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</si>
  <si>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</si>
  <si>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</si>
  <si>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</si>
  <si>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</si>
  <si>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</si>
  <si>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</si>
  <si>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</si>
  <si>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</si>
  <si>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</si>
  <si>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</si>
  <si>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</si>
  <si>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</si>
  <si>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</si>
  <si>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</si>
  <si>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</si>
  <si>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</si>
  <si>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</si>
  <si>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</si>
  <si>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</si>
  <si>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송파구</t>
  </si>
  <si>
    <t>강동구</t>
  </si>
  <si>
    <t>강원도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</si>
  <si>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</si>
  <si>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</si>
  <si>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</si>
  <si>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</si>
  <si>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</si>
  <si>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</si>
  <si>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</si>
  <si>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</si>
  <si>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</si>
  <si>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</si>
  <si>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</si>
  <si>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</si>
  <si>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</si>
  <si>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</si>
  <si>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</si>
  <si>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</si>
  <si>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</si>
  <si>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</si>
  <si>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수원시</t>
  </si>
  <si>
    <t>고양시</t>
  </si>
  <si>
    <t>용인시</t>
  </si>
  <si>
    <t>성남시</t>
  </si>
  <si>
    <t>부천시</t>
  </si>
  <si>
    <t>화성시</t>
  </si>
  <si>
    <t>안산시</t>
  </si>
  <si>
    <t>남양주시</t>
  </si>
  <si>
    <t>안양시</t>
  </si>
  <si>
    <t>평택시</t>
  </si>
  <si>
    <t>시흥시</t>
  </si>
  <si>
    <t>파주시</t>
  </si>
  <si>
    <t>의정부시</t>
  </si>
  <si>
    <t>김포시</t>
  </si>
  <si>
    <t>광주시</t>
  </si>
  <si>
    <t>광명시</t>
  </si>
  <si>
    <t>군포시</t>
  </si>
  <si>
    <t>하남시</t>
  </si>
  <si>
    <t>오산시</t>
  </si>
  <si>
    <t>양주시</t>
  </si>
  <si>
    <t>이천시</t>
  </si>
  <si>
    <t>구리시</t>
  </si>
  <si>
    <t>안성시</t>
  </si>
  <si>
    <t>포천시</t>
  </si>
  <si>
    <t>의왕시</t>
  </si>
  <si>
    <t>여주시</t>
  </si>
  <si>
    <t>동두천시</t>
  </si>
  <si>
    <t>과천시</t>
  </si>
  <si>
    <t>가평군</t>
  </si>
  <si>
    <t>양평군</t>
  </si>
  <si>
    <t>연천군</t>
  </si>
  <si>
    <t>제주시</t>
  </si>
  <si>
    <t>서귀포시</t>
  </si>
  <si>
    <t>동구</t>
  </si>
  <si>
    <t>미추홀구</t>
  </si>
  <si>
    <t>연수구</t>
  </si>
  <si>
    <t>남동구</t>
  </si>
  <si>
    <t>부평구</t>
  </si>
  <si>
    <t>계양구</t>
  </si>
  <si>
    <t>서구</t>
  </si>
  <si>
    <t>강화군</t>
  </si>
  <si>
    <t>옹진군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</si>
  <si>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</si>
  <si>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</si>
  <si>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</si>
  <si>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</si>
  <si>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</si>
  <si>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</si>
  <si>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</si>
  <si>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</si>
  <si>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</si>
  <si>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</si>
  <si>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</si>
  <si>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</si>
  <si>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수성구</t>
  </si>
  <si>
    <t>달서구</t>
  </si>
  <si>
    <t>달성군</t>
  </si>
  <si>
    <t>유성구</t>
  </si>
  <si>
    <t>대덕구</t>
  </si>
  <si>
    <t>울주군</t>
  </si>
  <si>
    <t>광산구</t>
  </si>
  <si>
    <t>청주시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</si>
  <si>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</si>
  <si>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</si>
  <si>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</si>
  <si>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</si>
  <si>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</si>
  <si>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</si>
  <si>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</si>
  <si>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</si>
  <si>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</si>
  <si>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</si>
  <si>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천안시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</si>
  <si>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</si>
  <si>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</si>
  <si>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</si>
  <si>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</si>
  <si>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</si>
  <si>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</si>
  <si>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</si>
  <si>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</si>
  <si>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</si>
  <si>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</si>
  <si>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</si>
  <si>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</si>
  <si>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</si>
  <si>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</si>
  <si>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전라북도</t>
  </si>
  <si>
    <t>전주시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</si>
  <si>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</si>
  <si>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</si>
  <si>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</si>
  <si>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</si>
  <si>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</si>
  <si>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</si>
  <si>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</si>
  <si>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</si>
  <si>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</si>
  <si>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</si>
  <si>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</si>
  <si>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</si>
  <si>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</si>
  <si>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</si>
  <si>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</si>
  <si>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</si>
  <si>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</si>
  <si>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</si>
  <si>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</si>
  <si>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</si>
  <si>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</si>
  <si>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</si>
  <si>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</si>
  <si>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</si>
  <si>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</si>
  <si>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</si>
  <si>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</si>
  <si>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</si>
  <si>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</si>
  <si>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</si>
  <si>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</si>
  <si>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</si>
  <si>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</si>
  <si>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</si>
  <si>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</si>
  <si>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</si>
  <si>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</si>
  <si>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</si>
  <si>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</si>
  <si>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</si>
  <si>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</si>
  <si>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</si>
  <si>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</si>
  <si>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</si>
  <si>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</si>
  <si>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</si>
  <si>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</si>
  <si>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</si>
  <si>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</si>
  <si>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</si>
  <si>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</si>
  <si>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</si>
  <si>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</si>
  <si>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</si>
  <si>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</si>
  <si>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</si>
  <si>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</si>
  <si>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창원시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</si>
  <si>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</si>
  <si>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</si>
  <si>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</si>
  <si>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</si>
  <si>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</si>
  <si>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</si>
  <si>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</si>
  <si>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</si>
  <si>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</si>
  <si>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</si>
  <si>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</si>
  <si>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</si>
  <si>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</si>
  <si>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</si>
  <si>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</si>
  <si>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</si>
  <si>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지역별 월별 시간대 외기온도 추정 테이블 (°C)  |  방법: T(h) = T월평균 + (DTR/2)×cos(π×(h-14)/12)  |  기준: 2025년</t>
  </si>
  <si>
    <t>▶ 중부1  (철원)  —  월평균기온 및 시간대별 추정온도 (°C)</t>
  </si>
  <si>
    <t>시각
(h)</t>
  </si>
  <si>
    <t>연평균</t>
  </si>
  <si>
    <t>월평균
(°C)</t>
  </si>
  <si>
    <t>일교차
(DTR,°C)</t>
  </si>
  <si>
    <t>▶ 중부2  (서울)  —  월평균기온 및 시간대별 추정온도 (°C)</t>
  </si>
  <si>
    <t>▶ 남부  (부산)  —  월평균기온 및 시간대별 추정온도 (°C)</t>
  </si>
  <si>
    <t>▶ 제주  (제주시)  —  월평균기온 및 시간대별 추정온도 (°C)</t>
  </si>
  <si>
    <t>히트펌프 난방 COP 계산기  |  시간별 온도 → 난방수요 가중평균 sCOP 자동 계산</t>
  </si>
  <si>
    <t>▶ 입력 파라미터  (파란 글씨 셀만 수정)</t>
  </si>
  <si>
    <t>공급수 온도  Ts (°C)</t>
  </si>
  <si>
    <t>← 바닥난방 35~45 / 라디에이터 55~70</t>
  </si>
  <si>
    <t>카르노 보정계수  η</t>
  </si>
  <si>
    <t>← 실제/이론 효율비. 일반 범위: 0.4~0.6</t>
  </si>
  <si>
    <t>난방 기준온도  Tbase (°C)</t>
  </si>
  <si>
    <t>← HDD 계산 기준. 국내 표준: 15°C 또는 18°C</t>
  </si>
  <si>
    <t>목표 sCOP</t>
  </si>
  <si>
    <t>← 달성 목표값 (비교용)</t>
  </si>
  <si>
    <t>※ 계산식:  COP(월,h) = η × (Ts+273) / max(1, Ts−T(월,h))  │  월평균COP = 난방시간 가중평균 (T &lt; Tbase 시간만 포함)  │  sCOP = Σ(월난방수요×월COP) / Σ(월난방수요)  │  T 데이터 출처: '외기온도_시간분포' 시트</t>
  </si>
  <si>
    <t>항목</t>
  </si>
  <si>
    <t>연간
합계/평균</t>
  </si>
  <si>
    <t>sCOP
(HDD가중)</t>
  </si>
  <si>
    <t>목표
sCOP</t>
  </si>
  <si>
    <t>달성
여부</t>
  </si>
  <si>
    <t>중부1</t>
  </si>
  <si>
    <t>월평균기온(°C)</t>
  </si>
  <si>
    <t>월 HDD (난방도일)</t>
  </si>
  <si>
    <t>월 COP (난방시간 가중)</t>
  </si>
  <si>
    <t>중부2</t>
  </si>
  <si>
    <t>남부</t>
  </si>
  <si>
    <t>제주</t>
  </si>
  <si>
    <t>최종 파일(월별 1kW당 발전량)(단위: kWh)</t>
  </si>
  <si>
    <t>주택용 저압 기타계절</t>
  </si>
  <si>
    <t>HP전기요금 연합계</t>
  </si>
  <si>
    <t>기존난방비 연합계</t>
  </si>
  <si>
    <t>난방비 Saving 비율</t>
  </si>
  <si>
    <t>광역지자체</t>
  </si>
  <si>
    <t>가전만 청구합계(차감기준)</t>
  </si>
  <si>
    <t>기본요금(원/호)</t>
  </si>
  <si>
    <t>전력량요금(원/kWh)</t>
  </si>
  <si>
    <t>누진제 태X</t>
  </si>
  <si>
    <t>기본요금</t>
  </si>
  <si>
    <t>사용량요금</t>
  </si>
  <si>
    <t>기후환경요금</t>
  </si>
  <si>
    <t>연료비조정요금</t>
  </si>
  <si>
    <t>전기요금계</t>
  </si>
  <si>
    <t>부가가치세</t>
  </si>
  <si>
    <t>전력산업기반기금</t>
  </si>
  <si>
    <t>청구요금합계</t>
  </si>
  <si>
    <t>HP전기요금</t>
  </si>
  <si>
    <t>월</t>
  </si>
  <si>
    <t>누진_태X</t>
  </si>
  <si>
    <t>누진_태O</t>
  </si>
  <si>
    <t>계시_태X</t>
  </si>
  <si>
    <t>계시_태O</t>
  </si>
  <si>
    <t>200kWh이하 사용</t>
  </si>
  <si>
    <t>처음 200kWh까지</t>
  </si>
  <si>
    <t>201~400kWh 사용</t>
  </si>
  <si>
    <t>다음 200kWh까지</t>
  </si>
  <si>
    <t>400kWh초과 사용</t>
  </si>
  <si>
    <t>400kWh초과</t>
  </si>
  <si>
    <t>1. 기타계절 : 1월 1일~6월 30일, 9월 1일~12월 31일</t>
  </si>
  <si>
    <t>2. 슈퍼유저요금 : 동계(12월 1일~2월 말일) 1,000kWh초과 전력량요금은 736.2원/kWh 적용</t>
  </si>
  <si>
    <t>주택용 저압 하계</t>
  </si>
  <si>
    <t>300kWh이하 사용</t>
  </si>
  <si>
    <t>처음 300kWh까지</t>
  </si>
  <si>
    <t>301~450kWh 사용</t>
  </si>
  <si>
    <t>다음 150kWh까지</t>
  </si>
  <si>
    <t>450kWh초과 사용</t>
  </si>
  <si>
    <t>450kWh초과</t>
  </si>
  <si>
    <t>1. 하계 : 7월 1일~8월 31일</t>
  </si>
  <si>
    <t>2. 슈퍼유저요금 : 하계(7월 1일~8월 31일) 1,000kWh초과 전력량요금은 736.2원/kWh 적용</t>
  </si>
  <si>
    <t>기존 전기소비량</t>
  </si>
  <si>
    <t>월별태양광발전량</t>
  </si>
  <si>
    <t>누진제 태O</t>
  </si>
  <si>
    <t>계약전력kW</t>
  </si>
  <si>
    <t>일반용(HP전용)</t>
  </si>
  <si>
    <t>COP</t>
  </si>
  <si>
    <t>봄·가을철</t>
  </si>
  <si>
    <t>겨울철</t>
  </si>
  <si>
    <t>(원/kW)</t>
  </si>
  <si>
    <t>여름철</t>
  </si>
  <si>
    <t>(3~5월,</t>
  </si>
  <si>
    <t>(11~2월)</t>
  </si>
  <si>
    <t>(6~8월)</t>
  </si>
  <si>
    <t>9~10월)</t>
  </si>
  <si>
    <t xml:space="preserve">월별 가전 전력사용량은 시간대별 실측자료의 부재를 고려하여, </t>
  </si>
  <si>
    <t>계시별 태X</t>
  </si>
  <si>
    <t xml:space="preserve">야간 상시부하와 주간 기본수요, 저녁 시간대 생활가전 사용 증가를 반영해 </t>
  </si>
  <si>
    <t>경부하 30%, 중간부하 30%, 최대부하 40%로 배분하였다.</t>
  </si>
  <si>
    <t>(3~5월, 9~10월)</t>
  </si>
  <si>
    <t>(1~2월, 6~8월, 11~12월)</t>
  </si>
  <si>
    <t>경부하</t>
  </si>
  <si>
    <t>중간부하</t>
  </si>
  <si>
    <t>최대부하</t>
  </si>
  <si>
    <t>기본요금(원/kW)</t>
  </si>
  <si>
    <t xml:space="preserve">가전용 계약용량은 월사용량 기준 산정값보다, </t>
  </si>
  <si>
    <t xml:space="preserve">여름철 저녁 시간대 에어컨·세탁기·제습기 등 
</t>
  </si>
  <si>
    <t>주요 가전의 동시사용 가능성을 고려하여 3kW로 가정하였다.</t>
  </si>
  <si>
    <t>계시별 태O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</si>
</sst>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-* #,##0.000_-;\-* #,##0.000_-;_-* \-_-;_-@_-"/>
    <numFmt numFmtId="177" formatCode="_-* #,##0.000_-;\-* #,##0.000_-;_-* \-??_-;_-@_-"/>
    <numFmt numFmtId="178" formatCode="_-* #,##0_-;\-* #,##0_-;_-* \-_-;_-@_-"/>
    <numFmt numFmtId="179" formatCode="_-* #,##0.00_-;\-* #,##0.00_-;_-* \-??_-;_-@_-"/>
    <numFmt numFmtId="180" formatCode="0.0%"/>
    <numFmt numFmtId="181" formatCode="_-* #,##0.00_-;\-* #,##0.00_-;_-* \-_-;_-@_-"/>
    <numFmt numFmtId="182" formatCode="#,##0.0"/>
    <numFmt numFmtId="183" formatCode="0.000_);[Red]\(0.000\)"/>
    <numFmt numFmtId="184" formatCode="0.0"/>
    <numFmt numFmtId="185" formatCode="00"/>
    <numFmt numFmtId="186" formatCode="0_ "/>
    <numFmt numFmtId="187" formatCode="0_);[Red]\(0\)"/>
    <numFmt numFmtId="188" formatCode="0.0_);[Red]\(0.0\)"/>
    <numFmt numFmtId="189" formatCode="0.000"/>
    <numFmt numFmtId="190" formatCode="_(* #,##0_);_(* \(#,##0\);_(* \-_);_(@_)"/>
  </numFmts>
  <fonts count="52">
    <font>
      <sz val="11"/>
      <color theme="1"/>
      <name val="맑은 고딕"/>
    </font>
    <font>
      <sz val="10"/>
      <name val="Arial"/>
      <family val="2"/>
    </font>
    <font>
      <sz val="11"/>
      <color theme="1"/>
      <name val="Calibri"/>
      <family val="2"/>
    </font>
    <font>
      <sz val="11"/>
      <name val="돋움"/>
      <family val="3"/>
      <charset val="129"/>
    </font>
    <font>
      <b/>
      <sz val="11"/>
      <color theme="1"/>
      <name val="Noto Sans CJK SC"/>
    </font>
    <font>
      <sz val="11"/>
      <color rgb="FF9C5700"/>
      <name val="Noto Sans CJK SC"/>
    </font>
    <font>
      <sz val="11"/>
      <color rgb="FF9C5700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11"/>
      <color rgb="FF006100"/>
      <name val="Noto Sans CJK SC"/>
    </font>
    <font>
      <sz val="11"/>
      <color theme="1"/>
      <name val="Noto Sans CJK SC"/>
    </font>
    <font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9"/>
      <color theme="1"/>
      <name val="Malgun Gothic"/>
      <family val="3"/>
      <charset val="129"/>
    </font>
    <font>
      <i/>
      <sz val="10"/>
      <color theme="1"/>
      <name val="Noto Sans CJK SC"/>
    </font>
    <font>
      <sz val="11"/>
      <name val="맑은 고딕"/>
      <family val="3"/>
      <charset val="129"/>
    </font>
    <font>
      <sz val="11"/>
      <color rgb="FF9C5700"/>
      <name val="Noto Sans CJK SC"/>
    </font>
    <font>
      <b/>
      <sz val="11"/>
      <color theme="1"/>
      <name val="맑은 고딕"/>
      <family val="3"/>
      <charset val="129"/>
    </font>
    <font>
      <sz val="11"/>
      <color theme="1" tint="0.49958800012207405"/>
      <name val="맑은 고딕"/>
      <family val="3"/>
      <charset val="129"/>
    </font>
    <font>
      <sz val="11"/>
      <color rgb="FF141414"/>
      <name val="Noto Sans CJK SC"/>
    </font>
    <font>
      <sz val="11"/>
      <color rgb="FF666666"/>
      <name val="Noto Sans KR"/>
      <family val="3"/>
      <charset val="129"/>
    </font>
    <font>
      <sz val="11"/>
      <color theme="0"/>
      <name val="Noto Sans CJK SC"/>
    </font>
    <font>
      <sz val="11"/>
      <color theme="0"/>
      <name val="맑은 고딕"/>
      <family val="3"/>
      <charset val="129"/>
    </font>
    <font>
      <sz val="11"/>
      <color theme="0"/>
      <name val="Noto Sans CJK SC"/>
    </font>
    <font>
      <sz val="11"/>
      <color theme="0"/>
      <name val="Noto Sans CJK SC"/>
    </font>
    <font>
      <sz val="11"/>
      <color theme="1" tint="0.49958800012207405"/>
      <name val="Arial"/>
      <family val="2"/>
    </font>
    <font>
      <sz val="11"/>
      <color theme="1" tint="0.49958800012207405"/>
      <name val="맑은 고딕"/>
      <family val="3"/>
      <charset val="129"/>
    </font>
    <font>
      <b/>
      <sz val="11"/>
      <color theme="1" tint="0.49958800012207405"/>
      <name val="Noto Sans CJK SC"/>
    </font>
    <font>
      <b/>
      <sz val="11"/>
      <name val="Noto Sans CJK SC"/>
    </font>
    <font>
      <sz val="11"/>
      <name val="Noto Sans CJK SC"/>
    </font>
    <font>
      <sz val="11"/>
      <color theme="0"/>
      <name val="맑은 고딕"/>
      <family val="3"/>
      <charset val="129"/>
    </font>
    <font>
      <b/>
      <sz val="11"/>
      <color theme="0"/>
      <name val="Noto Sans CJK SC"/>
    </font>
    <font>
      <b/>
      <sz val="11"/>
      <color theme="1"/>
      <name val="맑은 고딕"/>
      <family val="3"/>
      <charset val="129"/>
    </font>
    <font>
      <sz val="10"/>
      <name val="Noto Sans CJK SC"/>
    </font>
    <font>
      <b/>
      <sz val="10"/>
      <color rgb="FFFFFFFF"/>
      <name val="Noto Sans CJK SC"/>
    </font>
    <font>
      <b/>
      <sz val="10"/>
      <color rgb="FFFFFFFF"/>
      <name val="Arial"/>
      <family val="2"/>
    </font>
    <font>
      <b/>
      <sz val="9"/>
      <color rgb="FFFFFFFF"/>
      <name val="Noto Sans CJK SC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3"/>
      <color rgb="FFFFFFFF"/>
      <name val="Noto Sans CJK SC"/>
    </font>
    <font>
      <b/>
      <sz val="12"/>
      <color rgb="FF0000FF"/>
      <name val="Arial"/>
      <family val="2"/>
    </font>
    <font>
      <i/>
      <sz val="9"/>
      <color rgb="FF595959"/>
      <name val="Arial"/>
      <family val="2"/>
    </font>
    <font>
      <b/>
      <sz val="14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name val="Noto Sans CJK SC"/>
    </font>
    <font>
      <sz val="10"/>
      <color rgb="FFFFFFFF"/>
      <name val="Noto Sans CJK SC"/>
    </font>
    <font>
      <sz val="11"/>
      <color theme="1" tint="4.9897762993255407E-2"/>
      <name val="Noto Sans CJK SC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2"/>
      <charset val="129"/>
    </font>
  </fonts>
  <fills count="2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79857783745845"/>
        <bgColor indexed="65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D5E8D4"/>
      </patternFill>
    </fill>
    <fill>
      <patternFill patternType="solid">
        <fgColor rgb="FFED7D31"/>
      </patternFill>
    </fill>
    <fill>
      <patternFill patternType="solid">
        <fgColor rgb="FFFDE9D9"/>
      </patternFill>
    </fill>
    <fill>
      <patternFill patternType="solid">
        <fgColor rgb="FF7030A0"/>
      </patternFill>
    </fill>
    <fill>
      <patternFill patternType="solid">
        <fgColor rgb="FFEBE2F5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medium">
        <color rgb="FF1F4E79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/>
      <diagonal/>
    </border>
    <border>
      <left style="thin">
        <color rgb="FF9DC3E6"/>
      </left>
      <right style="thin">
        <color rgb="FF9DC3E6"/>
      </right>
      <top/>
      <bottom/>
      <diagonal/>
    </border>
  </borders>
  <cellStyleXfs count="28">
    <xf numFmtId="0" fontId="0" fillId="0" borderId="0">
      <alignment vertical="center"/>
    </xf>
    <xf numFmtId="43" fontId="1" fillId="0" borderId="0"/>
    <xf numFmtId="41" fontId="1" fillId="0" borderId="0"/>
    <xf numFmtId="44" fontId="1" fillId="0" borderId="0"/>
    <xf numFmtId="42" fontId="1" fillId="0" borderId="0"/>
    <xf numFmtId="9" fontId="48" fillId="0" borderId="0">
      <alignment vertical="center"/>
    </xf>
    <xf numFmtId="0" fontId="2" fillId="0" borderId="0"/>
    <xf numFmtId="190" fontId="3" fillId="0" borderId="0">
      <alignment vertical="center"/>
    </xf>
    <xf numFmtId="0" fontId="6" fillId="2" borderId="0">
      <alignment vertical="center"/>
    </xf>
    <xf numFmtId="0" fontId="7" fillId="3" borderId="0">
      <alignment vertical="center"/>
    </xf>
    <xf numFmtId="190" fontId="48" fillId="0" borderId="0">
      <alignment vertical="center"/>
    </xf>
    <xf numFmtId="0" fontId="6" fillId="2" borderId="0">
      <alignment vertical="center"/>
    </xf>
    <xf numFmtId="0" fontId="21" fillId="4" borderId="0">
      <alignment vertical="center"/>
    </xf>
    <xf numFmtId="0" fontId="48" fillId="5" borderId="0">
      <alignment vertical="center"/>
    </xf>
    <xf numFmtId="190" fontId="48" fillId="0" borderId="0">
      <alignment vertical="center"/>
    </xf>
    <xf numFmtId="190" fontId="48" fillId="0" borderId="0">
      <alignment vertical="center"/>
    </xf>
    <xf numFmtId="178" fontId="0" fillId="0" borderId="0" xfId="0" applyNumberFormat="1" applyFont="1">
      <alignment vertical="center"/>
    </xf>
    <xf numFmtId="0" fontId="5" fillId="2" borderId="0" xfId="0" applyNumberFormat="1" applyFont="1" applyFill="1">
      <alignment vertical="center"/>
    </xf>
    <xf numFmtId="9" fontId="0" fillId="0" borderId="0" xfId="0" applyNumberFormat="1">
      <alignment vertical="center"/>
    </xf>
    <xf numFmtId="0" fontId="15" fillId="2" borderId="0" xfId="0" applyFont="1" applyFill="1">
      <alignment vertical="center"/>
    </xf>
    <xf numFmtId="179" fontId="0" fillId="0" borderId="0" xfId="0" applyNumberFormat="1" applyFont="1">
      <alignment vertical="center"/>
    </xf>
    <xf numFmtId="180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16" fillId="0" borderId="0" xfId="0" applyFont="1">
      <alignment vertical="center"/>
    </xf>
    <xf numFmtId="178" fontId="10" fillId="0" borderId="0" xfId="0" applyNumberFormat="1" applyFont="1">
      <alignment vertical="center"/>
    </xf>
    <xf numFmtId="9" fontId="10" fillId="0" borderId="0" xfId="0" applyNumberFormat="1" applyFont="1">
      <alignment vertical="center"/>
    </xf>
    <xf numFmtId="0" fontId="48" fillId="0" borderId="0">
      <alignment vertical="center"/>
    </xf>
    <xf numFmtId="9" fontId="50" fillId="0" borderId="0" applyFont="0" applyFill="0" applyBorder="0" applyAlignment="0" applyProtection="0">
      <alignment vertical="center"/>
    </xf>
  </cellStyleXfs>
  <cellXfs count="182">
    <xf numFmtId="0" fontId="0" fillId="0" borderId="0" xfId="0">
      <alignment vertical="center"/>
    </xf>
    <xf numFmtId="0" fontId="0" fillId="0" borderId="0" xfId="26" applyFont="1" applyAlignment="1"/>
    <xf numFmtId="0" fontId="0" fillId="0" borderId="0" xfId="26" applyFont="1">
      <alignment vertical="center"/>
    </xf>
    <xf numFmtId="0" fontId="4" fillId="0" borderId="0" xfId="26" applyFont="1">
      <alignment vertical="center"/>
    </xf>
    <xf numFmtId="0" fontId="5" fillId="2" borderId="0" xfId="18" applyNumberFormat="1" applyFont="1" applyFill="1">
      <alignment vertical="center"/>
    </xf>
    <xf numFmtId="0" fontId="8" fillId="3" borderId="0" xfId="19" applyNumberFormat="1" applyFont="1" applyFill="1">
      <alignment vertical="center"/>
    </xf>
    <xf numFmtId="0" fontId="9" fillId="0" borderId="0" xfId="26" applyFont="1">
      <alignment vertical="center"/>
    </xf>
    <xf numFmtId="9" fontId="0" fillId="0" borderId="0" xfId="26" applyNumberFormat="1" applyFont="1">
      <alignment vertical="center"/>
    </xf>
    <xf numFmtId="176" fontId="0" fillId="0" borderId="0" xfId="20" applyNumberFormat="1" applyFont="1" applyFill="1">
      <alignment vertical="center"/>
    </xf>
    <xf numFmtId="177" fontId="0" fillId="0" borderId="0" xfId="26" applyNumberFormat="1" applyFont="1">
      <alignment vertical="center"/>
    </xf>
    <xf numFmtId="176" fontId="9" fillId="0" borderId="0" xfId="20" applyNumberFormat="1" applyFont="1" applyFill="1">
      <alignment vertical="center"/>
    </xf>
    <xf numFmtId="10" fontId="10" fillId="0" borderId="0" xfId="26" applyNumberFormat="1" applyFont="1">
      <alignment vertical="center"/>
    </xf>
    <xf numFmtId="0" fontId="11" fillId="0" borderId="0" xfId="26" applyFont="1" applyAlignment="1"/>
    <xf numFmtId="10" fontId="12" fillId="0" borderId="0" xfId="26" applyNumberFormat="1" applyFont="1">
      <alignment vertical="center"/>
    </xf>
    <xf numFmtId="0" fontId="13" fillId="0" borderId="0" xfId="26" applyFont="1">
      <alignment vertical="center"/>
    </xf>
    <xf numFmtId="178" fontId="7" fillId="3" borderId="0" xfId="20" applyNumberFormat="1" applyFont="1" applyFill="1">
      <alignment vertical="center"/>
    </xf>
    <xf numFmtId="178" fontId="0" fillId="0" borderId="0" xfId="26" applyNumberFormat="1" applyFont="1">
      <alignment vertical="center"/>
    </xf>
    <xf numFmtId="0" fontId="5" fillId="2" borderId="0" xfId="21" applyNumberFormat="1" applyFont="1" applyFill="1">
      <alignment vertical="center"/>
    </xf>
    <xf numFmtId="9" fontId="0" fillId="0" borderId="0" xfId="16" applyNumberFormat="1">
      <alignment vertical="center"/>
    </xf>
    <xf numFmtId="0" fontId="15" fillId="2" borderId="0" xfId="18" applyNumberFormat="1" applyFont="1" applyFill="1">
      <alignment vertical="center"/>
    </xf>
    <xf numFmtId="179" fontId="0" fillId="0" borderId="0" xfId="26" applyNumberFormat="1" applyFont="1">
      <alignment vertical="center"/>
    </xf>
    <xf numFmtId="180" fontId="0" fillId="0" borderId="0" xfId="16" applyNumberFormat="1">
      <alignment vertical="center"/>
    </xf>
    <xf numFmtId="10" fontId="0" fillId="0" borderId="0" xfId="16" applyNumberFormat="1">
      <alignment vertical="center"/>
    </xf>
    <xf numFmtId="0" fontId="16" fillId="0" borderId="0" xfId="26" applyFont="1">
      <alignment vertical="center"/>
    </xf>
    <xf numFmtId="178" fontId="10" fillId="0" borderId="0" xfId="20" applyNumberFormat="1" applyFont="1" applyFill="1">
      <alignment vertical="center"/>
    </xf>
    <xf numFmtId="9" fontId="10" fillId="0" borderId="0" xfId="20" applyNumberFormat="1" applyFont="1" applyFill="1">
      <alignment vertical="center"/>
    </xf>
    <xf numFmtId="0" fontId="17" fillId="0" borderId="0" xfId="26" applyFont="1">
      <alignment vertical="center"/>
    </xf>
    <xf numFmtId="178" fontId="0" fillId="0" borderId="0" xfId="20" applyNumberFormat="1" applyFont="1" applyFill="1">
      <alignment vertical="center"/>
    </xf>
    <xf numFmtId="178" fontId="17" fillId="0" borderId="0" xfId="20" applyNumberFormat="1" applyFont="1" applyFill="1">
      <alignment vertical="center"/>
    </xf>
    <xf numFmtId="0" fontId="18" fillId="0" borderId="0" xfId="26" applyFont="1">
      <alignment vertical="center"/>
    </xf>
    <xf numFmtId="181" fontId="0" fillId="0" borderId="0" xfId="20" applyNumberFormat="1" applyFont="1" applyFill="1">
      <alignment vertical="center"/>
    </xf>
    <xf numFmtId="4" fontId="19" fillId="0" borderId="0" xfId="26" applyNumberFormat="1" applyFont="1">
      <alignment vertical="center"/>
    </xf>
    <xf numFmtId="0" fontId="20" fillId="4" borderId="1" xfId="22" applyNumberFormat="1" applyFont="1" applyFill="1" applyBorder="1">
      <alignment vertical="center"/>
    </xf>
    <xf numFmtId="178" fontId="0" fillId="5" borderId="1" xfId="23" applyNumberFormat="1" applyFill="1" applyBorder="1">
      <alignment vertical="center"/>
    </xf>
    <xf numFmtId="0" fontId="22" fillId="4" borderId="1" xfId="22" applyNumberFormat="1" applyFont="1" applyFill="1" applyBorder="1">
      <alignment vertical="center"/>
    </xf>
    <xf numFmtId="0" fontId="23" fillId="4" borderId="1" xfId="22" applyNumberFormat="1" applyFont="1" applyFill="1" applyBorder="1">
      <alignment vertical="center"/>
    </xf>
    <xf numFmtId="0" fontId="21" fillId="4" borderId="1" xfId="22" applyNumberFormat="1" applyFont="1" applyFill="1" applyBorder="1">
      <alignment vertical="center"/>
    </xf>
    <xf numFmtId="2" fontId="0" fillId="5" borderId="1" xfId="23" applyNumberFormat="1" applyFill="1" applyBorder="1">
      <alignment vertical="center"/>
    </xf>
    <xf numFmtId="0" fontId="20" fillId="4" borderId="0" xfId="22" applyNumberFormat="1" applyFont="1" applyFill="1">
      <alignment vertical="center"/>
    </xf>
    <xf numFmtId="2" fontId="0" fillId="0" borderId="0" xfId="26" applyNumberFormat="1" applyFont="1">
      <alignment vertical="center"/>
    </xf>
    <xf numFmtId="0" fontId="9" fillId="0" borderId="0" xfId="26" applyFont="1" applyAlignment="1"/>
    <xf numFmtId="0" fontId="24" fillId="0" borderId="0" xfId="26" applyFont="1">
      <alignment vertical="center"/>
    </xf>
    <xf numFmtId="181" fontId="25" fillId="0" borderId="0" xfId="20" applyNumberFormat="1" applyFont="1" applyFill="1">
      <alignment vertical="center"/>
    </xf>
    <xf numFmtId="0" fontId="25" fillId="0" borderId="0" xfId="26" applyFont="1">
      <alignment vertical="center"/>
    </xf>
    <xf numFmtId="181" fontId="14" fillId="0" borderId="0" xfId="20" applyNumberFormat="1" applyFont="1" applyFill="1">
      <alignment vertical="center"/>
    </xf>
    <xf numFmtId="0" fontId="14" fillId="0" borderId="0" xfId="26" applyFont="1" applyAlignment="1"/>
    <xf numFmtId="0" fontId="14" fillId="0" borderId="0" xfId="26" applyFont="1">
      <alignment vertical="center"/>
    </xf>
    <xf numFmtId="0" fontId="26" fillId="0" borderId="0" xfId="26" applyFont="1">
      <alignment vertical="center"/>
    </xf>
    <xf numFmtId="0" fontId="27" fillId="0" borderId="0" xfId="26" applyFont="1">
      <alignment vertical="center"/>
    </xf>
    <xf numFmtId="0" fontId="28" fillId="0" borderId="0" xfId="26" applyFont="1">
      <alignment vertical="center"/>
    </xf>
    <xf numFmtId="0" fontId="29" fillId="4" borderId="0" xfId="22" applyNumberFormat="1" applyFont="1" applyFill="1" applyAlignment="1">
      <alignment horizontal="center" vertical="center"/>
    </xf>
    <xf numFmtId="181" fontId="0" fillId="5" borderId="0" xfId="23" applyNumberFormat="1" applyFill="1">
      <alignment vertical="center"/>
    </xf>
    <xf numFmtId="181" fontId="0" fillId="5" borderId="0" xfId="24" applyNumberFormat="1" applyFont="1" applyFill="1">
      <alignment vertical="center"/>
    </xf>
    <xf numFmtId="181" fontId="16" fillId="5" borderId="0" xfId="23" applyNumberFormat="1" applyFont="1" applyFill="1">
      <alignment vertical="center"/>
    </xf>
    <xf numFmtId="179" fontId="0" fillId="0" borderId="0" xfId="26" applyNumberFormat="1" applyFont="1" applyAlignment="1"/>
    <xf numFmtId="177" fontId="0" fillId="0" borderId="0" xfId="26" applyNumberFormat="1" applyFont="1" applyAlignment="1"/>
    <xf numFmtId="0" fontId="23" fillId="4" borderId="0" xfId="22" applyNumberFormat="1" applyFont="1" applyFill="1" applyAlignment="1">
      <alignment horizontal="center" vertical="center"/>
    </xf>
    <xf numFmtId="0" fontId="30" fillId="4" borderId="0" xfId="22" applyNumberFormat="1" applyFont="1" applyFill="1" applyAlignment="1">
      <alignment horizontal="center" vertical="center"/>
    </xf>
    <xf numFmtId="181" fontId="31" fillId="5" borderId="0" xfId="23" applyNumberFormat="1" applyFont="1" applyFill="1">
      <alignment vertical="center"/>
    </xf>
    <xf numFmtId="0" fontId="9" fillId="0" borderId="2" xfId="26" applyFont="1" applyBorder="1">
      <alignment vertical="center"/>
    </xf>
    <xf numFmtId="0" fontId="9" fillId="0" borderId="3" xfId="26" applyFont="1" applyBorder="1">
      <alignment vertical="center"/>
    </xf>
    <xf numFmtId="0" fontId="9" fillId="0" borderId="4" xfId="26" applyFont="1" applyBorder="1">
      <alignment vertical="center"/>
    </xf>
    <xf numFmtId="0" fontId="9" fillId="0" borderId="5" xfId="26" applyFont="1" applyBorder="1">
      <alignment vertical="center"/>
    </xf>
    <xf numFmtId="181" fontId="0" fillId="0" borderId="6" xfId="20" applyNumberFormat="1" applyFont="1" applyFill="1" applyBorder="1">
      <alignment vertical="center"/>
    </xf>
    <xf numFmtId="182" fontId="0" fillId="0" borderId="0" xfId="26" applyNumberFormat="1" applyFont="1">
      <alignment vertical="center"/>
    </xf>
    <xf numFmtId="3" fontId="0" fillId="0" borderId="6" xfId="26" applyNumberFormat="1" applyFont="1" applyBorder="1">
      <alignment vertical="center"/>
    </xf>
    <xf numFmtId="0" fontId="9" fillId="0" borderId="7" xfId="26" applyFont="1" applyBorder="1">
      <alignment vertical="center"/>
    </xf>
    <xf numFmtId="0" fontId="0" fillId="0" borderId="8" xfId="26" applyFont="1" applyBorder="1">
      <alignment vertical="center"/>
    </xf>
    <xf numFmtId="182" fontId="0" fillId="0" borderId="8" xfId="26" applyNumberFormat="1" applyFont="1" applyBorder="1">
      <alignment vertical="center"/>
    </xf>
    <xf numFmtId="3" fontId="0" fillId="0" borderId="9" xfId="26" applyNumberFormat="1" applyFont="1" applyBorder="1">
      <alignment vertical="center"/>
    </xf>
    <xf numFmtId="176" fontId="0" fillId="0" borderId="0" xfId="25" applyNumberFormat="1" applyFont="1">
      <alignment vertical="center"/>
    </xf>
    <xf numFmtId="183" fontId="0" fillId="0" borderId="0" xfId="16" applyNumberFormat="1" applyAlignment="1"/>
    <xf numFmtId="0" fontId="2" fillId="0" borderId="0" xfId="17" applyFont="1" applyFill="1" applyAlignment="1"/>
    <xf numFmtId="0" fontId="33" fillId="7" borderId="10" xfId="17" applyFont="1" applyFill="1" applyBorder="1" applyAlignment="1">
      <alignment horizontal="center" vertical="center" wrapText="1"/>
    </xf>
    <xf numFmtId="0" fontId="34" fillId="7" borderId="10" xfId="17" applyFont="1" applyFill="1" applyBorder="1" applyAlignment="1">
      <alignment horizontal="center" vertical="center" wrapText="1"/>
    </xf>
    <xf numFmtId="0" fontId="35" fillId="7" borderId="10" xfId="17" applyFont="1" applyFill="1" applyBorder="1" applyAlignment="1">
      <alignment horizontal="center" vertical="center" wrapText="1"/>
    </xf>
    <xf numFmtId="184" fontId="36" fillId="8" borderId="10" xfId="17" applyNumberFormat="1" applyFont="1" applyFill="1" applyBorder="1" applyAlignment="1">
      <alignment horizontal="center" vertical="center"/>
    </xf>
    <xf numFmtId="184" fontId="37" fillId="8" borderId="10" xfId="17" applyNumberFormat="1" applyFont="1" applyFill="1" applyBorder="1" applyAlignment="1">
      <alignment horizontal="center" vertical="center"/>
    </xf>
    <xf numFmtId="185" fontId="37" fillId="9" borderId="10" xfId="17" applyNumberFormat="1" applyFont="1" applyFill="1" applyBorder="1" applyAlignment="1">
      <alignment horizontal="center" vertical="center"/>
    </xf>
    <xf numFmtId="184" fontId="36" fillId="9" borderId="10" xfId="17" applyNumberFormat="1" applyFont="1" applyFill="1" applyBorder="1" applyAlignment="1">
      <alignment horizontal="center" vertical="center"/>
    </xf>
    <xf numFmtId="0" fontId="33" fillId="10" borderId="10" xfId="17" applyFont="1" applyFill="1" applyBorder="1" applyAlignment="1">
      <alignment horizontal="center" vertical="center" wrapText="1"/>
    </xf>
    <xf numFmtId="0" fontId="34" fillId="10" borderId="10" xfId="17" applyFont="1" applyFill="1" applyBorder="1" applyAlignment="1">
      <alignment horizontal="center" vertical="center" wrapText="1"/>
    </xf>
    <xf numFmtId="0" fontId="35" fillId="10" borderId="10" xfId="17" applyFont="1" applyFill="1" applyBorder="1" applyAlignment="1">
      <alignment horizontal="center" vertical="center" wrapText="1"/>
    </xf>
    <xf numFmtId="184" fontId="36" fillId="11" borderId="10" xfId="17" applyNumberFormat="1" applyFont="1" applyFill="1" applyBorder="1" applyAlignment="1">
      <alignment horizontal="center" vertical="center"/>
    </xf>
    <xf numFmtId="184" fontId="37" fillId="11" borderId="10" xfId="17" applyNumberFormat="1" applyFont="1" applyFill="1" applyBorder="1" applyAlignment="1">
      <alignment horizontal="center" vertical="center"/>
    </xf>
    <xf numFmtId="0" fontId="33" fillId="12" borderId="10" xfId="17" applyFont="1" applyFill="1" applyBorder="1" applyAlignment="1">
      <alignment horizontal="center" vertical="center" wrapText="1"/>
    </xf>
    <xf numFmtId="0" fontId="34" fillId="12" borderId="10" xfId="17" applyFont="1" applyFill="1" applyBorder="1" applyAlignment="1">
      <alignment horizontal="center" vertical="center" wrapText="1"/>
    </xf>
    <xf numFmtId="0" fontId="35" fillId="12" borderId="10" xfId="17" applyFont="1" applyFill="1" applyBorder="1" applyAlignment="1">
      <alignment horizontal="center" vertical="center" wrapText="1"/>
    </xf>
    <xf numFmtId="184" fontId="36" fillId="13" borderId="10" xfId="17" applyNumberFormat="1" applyFont="1" applyFill="1" applyBorder="1" applyAlignment="1">
      <alignment horizontal="center" vertical="center"/>
    </xf>
    <xf numFmtId="184" fontId="37" fillId="13" borderId="10" xfId="17" applyNumberFormat="1" applyFont="1" applyFill="1" applyBorder="1" applyAlignment="1">
      <alignment horizontal="center" vertical="center"/>
    </xf>
    <xf numFmtId="0" fontId="33" fillId="14" borderId="10" xfId="17" applyFont="1" applyFill="1" applyBorder="1" applyAlignment="1">
      <alignment horizontal="center" vertical="center" wrapText="1"/>
    </xf>
    <xf numFmtId="0" fontId="34" fillId="14" borderId="10" xfId="17" applyFont="1" applyFill="1" applyBorder="1" applyAlignment="1">
      <alignment horizontal="center" vertical="center" wrapText="1"/>
    </xf>
    <xf numFmtId="0" fontId="35" fillId="14" borderId="10" xfId="17" applyFont="1" applyFill="1" applyBorder="1" applyAlignment="1">
      <alignment horizontal="center" vertical="center" wrapText="1"/>
    </xf>
    <xf numFmtId="184" fontId="36" fillId="15" borderId="10" xfId="17" applyNumberFormat="1" applyFont="1" applyFill="1" applyBorder="1" applyAlignment="1">
      <alignment horizontal="center" vertical="center"/>
    </xf>
    <xf numFmtId="184" fontId="37" fillId="15" borderId="10" xfId="17" applyNumberFormat="1" applyFont="1" applyFill="1" applyBorder="1" applyAlignment="1">
      <alignment horizontal="center" vertical="center"/>
    </xf>
    <xf numFmtId="1" fontId="39" fillId="16" borderId="12" xfId="17" applyNumberFormat="1" applyFont="1" applyFill="1" applyBorder="1" applyAlignment="1">
      <alignment horizontal="center" vertical="center"/>
    </xf>
    <xf numFmtId="2" fontId="39" fillId="16" borderId="12" xfId="17" applyNumberFormat="1" applyFont="1" applyFill="1" applyBorder="1" applyAlignment="1">
      <alignment horizontal="center" vertical="center"/>
    </xf>
    <xf numFmtId="184" fontId="39" fillId="16" borderId="12" xfId="17" applyNumberFormat="1" applyFont="1" applyFill="1" applyBorder="1" applyAlignment="1">
      <alignment horizontal="center" vertical="center"/>
    </xf>
    <xf numFmtId="0" fontId="33" fillId="6" borderId="10" xfId="17" applyFont="1" applyFill="1" applyBorder="1" applyAlignment="1">
      <alignment horizontal="center" vertical="center" wrapText="1"/>
    </xf>
    <xf numFmtId="0" fontId="34" fillId="6" borderId="10" xfId="17" applyFont="1" applyFill="1" applyBorder="1" applyAlignment="1">
      <alignment horizontal="center" vertical="center" wrapText="1"/>
    </xf>
    <xf numFmtId="0" fontId="34" fillId="17" borderId="10" xfId="17" applyFont="1" applyFill="1" applyBorder="1" applyAlignment="1">
      <alignment horizontal="center" vertical="center" wrapText="1"/>
    </xf>
    <xf numFmtId="0" fontId="33" fillId="18" borderId="10" xfId="17" applyFont="1" applyFill="1" applyBorder="1" applyAlignment="1">
      <alignment horizontal="center" vertical="center" wrapText="1"/>
    </xf>
    <xf numFmtId="0" fontId="33" fillId="7" borderId="13" xfId="17" applyFont="1" applyFill="1" applyBorder="1" applyAlignment="1">
      <alignment horizontal="center" vertical="center"/>
    </xf>
    <xf numFmtId="0" fontId="33" fillId="7" borderId="10" xfId="17" applyFont="1" applyFill="1" applyBorder="1" applyAlignment="1">
      <alignment horizontal="center" vertical="center"/>
    </xf>
    <xf numFmtId="0" fontId="36" fillId="7" borderId="13" xfId="17" applyFont="1" applyFill="1" applyBorder="1" applyAlignment="1">
      <alignment horizontal="center" vertical="center"/>
    </xf>
    <xf numFmtId="0" fontId="44" fillId="7" borderId="10" xfId="17" applyFont="1" applyFill="1" applyBorder="1" applyAlignment="1">
      <alignment horizontal="center" vertical="center"/>
    </xf>
    <xf numFmtId="1" fontId="36" fillId="8" borderId="10" xfId="17" applyNumberFormat="1" applyFont="1" applyFill="1" applyBorder="1" applyAlignment="1">
      <alignment horizontal="center" vertical="center"/>
    </xf>
    <xf numFmtId="1" fontId="37" fillId="8" borderId="10" xfId="17" applyNumberFormat="1" applyFont="1" applyFill="1" applyBorder="1" applyAlignment="1">
      <alignment horizontal="center" vertical="center"/>
    </xf>
    <xf numFmtId="2" fontId="36" fillId="8" borderId="10" xfId="17" applyNumberFormat="1" applyFont="1" applyFill="1" applyBorder="1" applyAlignment="1">
      <alignment horizontal="center" vertical="center"/>
    </xf>
    <xf numFmtId="2" fontId="37" fillId="8" borderId="10" xfId="17" applyNumberFormat="1" applyFont="1" applyFill="1" applyBorder="1" applyAlignment="1">
      <alignment horizontal="center" vertical="center"/>
    </xf>
    <xf numFmtId="0" fontId="33" fillId="10" borderId="13" xfId="17" applyFont="1" applyFill="1" applyBorder="1" applyAlignment="1">
      <alignment horizontal="center" vertical="center"/>
    </xf>
    <xf numFmtId="0" fontId="33" fillId="10" borderId="10" xfId="17" applyFont="1" applyFill="1" applyBorder="1" applyAlignment="1">
      <alignment horizontal="center" vertical="center"/>
    </xf>
    <xf numFmtId="0" fontId="36" fillId="10" borderId="13" xfId="17" applyFont="1" applyFill="1" applyBorder="1" applyAlignment="1">
      <alignment horizontal="center" vertical="center"/>
    </xf>
    <xf numFmtId="0" fontId="44" fillId="10" borderId="10" xfId="17" applyFont="1" applyFill="1" applyBorder="1" applyAlignment="1">
      <alignment horizontal="center" vertical="center"/>
    </xf>
    <xf numFmtId="1" fontId="36" fillId="11" borderId="10" xfId="17" applyNumberFormat="1" applyFont="1" applyFill="1" applyBorder="1" applyAlignment="1">
      <alignment horizontal="center" vertical="center"/>
    </xf>
    <xf numFmtId="1" fontId="37" fillId="11" borderId="10" xfId="17" applyNumberFormat="1" applyFont="1" applyFill="1" applyBorder="1" applyAlignment="1">
      <alignment horizontal="center" vertical="center"/>
    </xf>
    <xf numFmtId="2" fontId="36" fillId="11" borderId="10" xfId="17" applyNumberFormat="1" applyFont="1" applyFill="1" applyBorder="1" applyAlignment="1">
      <alignment horizontal="center" vertical="center"/>
    </xf>
    <xf numFmtId="2" fontId="37" fillId="11" borderId="10" xfId="17" applyNumberFormat="1" applyFont="1" applyFill="1" applyBorder="1" applyAlignment="1">
      <alignment horizontal="center" vertical="center"/>
    </xf>
    <xf numFmtId="0" fontId="33" fillId="12" borderId="13" xfId="17" applyFont="1" applyFill="1" applyBorder="1" applyAlignment="1">
      <alignment horizontal="center" vertical="center"/>
    </xf>
    <xf numFmtId="0" fontId="33" fillId="12" borderId="10" xfId="17" applyFont="1" applyFill="1" applyBorder="1" applyAlignment="1">
      <alignment horizontal="center" vertical="center"/>
    </xf>
    <xf numFmtId="0" fontId="36" fillId="12" borderId="13" xfId="17" applyFont="1" applyFill="1" applyBorder="1" applyAlignment="1">
      <alignment horizontal="center" vertical="center"/>
    </xf>
    <xf numFmtId="0" fontId="44" fillId="12" borderId="10" xfId="17" applyFont="1" applyFill="1" applyBorder="1" applyAlignment="1">
      <alignment horizontal="center" vertical="center"/>
    </xf>
    <xf numFmtId="1" fontId="36" fillId="13" borderId="10" xfId="17" applyNumberFormat="1" applyFont="1" applyFill="1" applyBorder="1" applyAlignment="1">
      <alignment horizontal="center" vertical="center"/>
    </xf>
    <xf numFmtId="1" fontId="37" fillId="13" borderId="10" xfId="17" applyNumberFormat="1" applyFont="1" applyFill="1" applyBorder="1" applyAlignment="1">
      <alignment horizontal="center" vertical="center"/>
    </xf>
    <xf numFmtId="2" fontId="36" fillId="13" borderId="10" xfId="17" applyNumberFormat="1" applyFont="1" applyFill="1" applyBorder="1" applyAlignment="1">
      <alignment horizontal="center" vertical="center"/>
    </xf>
    <xf numFmtId="2" fontId="37" fillId="13" borderId="10" xfId="17" applyNumberFormat="1" applyFont="1" applyFill="1" applyBorder="1" applyAlignment="1">
      <alignment horizontal="center" vertical="center"/>
    </xf>
    <xf numFmtId="0" fontId="33" fillId="14" borderId="13" xfId="17" applyFont="1" applyFill="1" applyBorder="1" applyAlignment="1">
      <alignment horizontal="center" vertical="center"/>
    </xf>
    <xf numFmtId="0" fontId="33" fillId="14" borderId="10" xfId="17" applyFont="1" applyFill="1" applyBorder="1" applyAlignment="1">
      <alignment horizontal="center" vertical="center"/>
    </xf>
    <xf numFmtId="0" fontId="36" fillId="14" borderId="13" xfId="17" applyFont="1" applyFill="1" applyBorder="1" applyAlignment="1">
      <alignment horizontal="center" vertical="center"/>
    </xf>
    <xf numFmtId="0" fontId="44" fillId="14" borderId="10" xfId="17" applyFont="1" applyFill="1" applyBorder="1" applyAlignment="1">
      <alignment horizontal="center" vertical="center"/>
    </xf>
    <xf numFmtId="1" fontId="36" fillId="15" borderId="10" xfId="17" applyNumberFormat="1" applyFont="1" applyFill="1" applyBorder="1" applyAlignment="1">
      <alignment horizontal="center" vertical="center"/>
    </xf>
    <xf numFmtId="1" fontId="37" fillId="15" borderId="10" xfId="17" applyNumberFormat="1" applyFont="1" applyFill="1" applyBorder="1" applyAlignment="1">
      <alignment horizontal="center" vertical="center"/>
    </xf>
    <xf numFmtId="2" fontId="36" fillId="15" borderId="10" xfId="17" applyNumberFormat="1" applyFont="1" applyFill="1" applyBorder="1" applyAlignment="1">
      <alignment horizontal="center" vertical="center"/>
    </xf>
    <xf numFmtId="2" fontId="37" fillId="15" borderId="10" xfId="17" applyNumberFormat="1" applyFont="1" applyFill="1" applyBorder="1" applyAlignment="1">
      <alignment horizontal="center" vertical="center"/>
    </xf>
    <xf numFmtId="178" fontId="0" fillId="0" borderId="3" xfId="24" applyNumberFormat="1" applyFont="1" applyBorder="1">
      <alignment vertical="center"/>
    </xf>
    <xf numFmtId="9" fontId="0" fillId="0" borderId="4" xfId="16" applyNumberFormat="1" applyBorder="1">
      <alignment vertical="center"/>
    </xf>
    <xf numFmtId="178" fontId="0" fillId="0" borderId="0" xfId="25" applyFont="1">
      <alignment vertical="center"/>
    </xf>
    <xf numFmtId="0" fontId="0" fillId="0" borderId="5" xfId="26" applyFont="1" applyBorder="1">
      <alignment vertical="center"/>
    </xf>
    <xf numFmtId="1" fontId="0" fillId="0" borderId="0" xfId="26" applyNumberFormat="1" applyFont="1">
      <alignment vertical="center"/>
    </xf>
    <xf numFmtId="178" fontId="0" fillId="0" borderId="0" xfId="24" applyNumberFormat="1" applyFont="1" applyAlignment="1"/>
    <xf numFmtId="0" fontId="0" fillId="0" borderId="6" xfId="26" applyFont="1" applyBorder="1" applyAlignment="1"/>
    <xf numFmtId="3" fontId="0" fillId="0" borderId="0" xfId="26" applyNumberFormat="1" applyFont="1">
      <alignment vertical="center"/>
    </xf>
    <xf numFmtId="186" fontId="0" fillId="0" borderId="0" xfId="26" applyNumberFormat="1" applyFont="1">
      <alignment vertical="center"/>
    </xf>
    <xf numFmtId="178" fontId="0" fillId="0" borderId="0" xfId="24" applyNumberFormat="1" applyFont="1">
      <alignment vertical="center"/>
    </xf>
    <xf numFmtId="9" fontId="0" fillId="0" borderId="6" xfId="16" applyNumberFormat="1" applyBorder="1">
      <alignment vertical="center"/>
    </xf>
    <xf numFmtId="187" fontId="0" fillId="0" borderId="0" xfId="26" applyNumberFormat="1" applyFont="1" applyAlignment="1"/>
    <xf numFmtId="188" fontId="0" fillId="0" borderId="0" xfId="16" applyNumberFormat="1">
      <alignment vertical="center"/>
    </xf>
    <xf numFmtId="187" fontId="0" fillId="0" borderId="0" xfId="26" applyNumberFormat="1" applyFont="1" applyAlignment="1">
      <alignment horizontal="left"/>
    </xf>
    <xf numFmtId="188" fontId="0" fillId="0" borderId="0" xfId="26" applyNumberFormat="1" applyFont="1">
      <alignment vertical="center"/>
    </xf>
    <xf numFmtId="176" fontId="9" fillId="0" borderId="0" xfId="24" applyNumberFormat="1" applyFont="1">
      <alignment vertical="center"/>
    </xf>
    <xf numFmtId="0" fontId="45" fillId="0" borderId="0" xfId="26" applyFont="1">
      <alignment vertical="center"/>
    </xf>
    <xf numFmtId="189" fontId="0" fillId="0" borderId="0" xfId="26" applyNumberFormat="1" applyFont="1">
      <alignment vertical="center"/>
    </xf>
    <xf numFmtId="0" fontId="0" fillId="0" borderId="7" xfId="26" applyFont="1" applyBorder="1">
      <alignment vertical="center"/>
    </xf>
    <xf numFmtId="1" fontId="0" fillId="0" borderId="8" xfId="26" applyNumberFormat="1" applyFont="1" applyBorder="1">
      <alignment vertical="center"/>
    </xf>
    <xf numFmtId="178" fontId="0" fillId="0" borderId="8" xfId="24" applyNumberFormat="1" applyFont="1" applyBorder="1" applyAlignment="1"/>
    <xf numFmtId="0" fontId="0" fillId="0" borderId="9" xfId="26" applyFont="1" applyBorder="1" applyAlignment="1"/>
    <xf numFmtId="0" fontId="9" fillId="0" borderId="3" xfId="26" applyFont="1" applyBorder="1" applyAlignment="1"/>
    <xf numFmtId="0" fontId="0" fillId="0" borderId="3" xfId="26" applyFont="1" applyBorder="1" applyAlignment="1"/>
    <xf numFmtId="181" fontId="0" fillId="0" borderId="5" xfId="24" applyNumberFormat="1" applyFont="1" applyBorder="1">
      <alignment vertical="center"/>
    </xf>
    <xf numFmtId="0" fontId="0" fillId="0" borderId="8" xfId="26" applyFont="1" applyBorder="1" applyAlignment="1"/>
    <xf numFmtId="178" fontId="0" fillId="0" borderId="3" xfId="24" applyNumberFormat="1" applyFont="1" applyBorder="1" applyAlignment="1"/>
    <xf numFmtId="187" fontId="0" fillId="0" borderId="0" xfId="26" applyNumberFormat="1" applyFont="1">
      <alignment vertical="center"/>
    </xf>
    <xf numFmtId="2" fontId="0" fillId="0" borderId="0" xfId="26" applyNumberFormat="1" applyFont="1" applyAlignment="1"/>
    <xf numFmtId="0" fontId="9" fillId="0" borderId="0" xfId="26" applyFont="1" applyAlignment="1">
      <alignment vertical="center" wrapText="1"/>
    </xf>
    <xf numFmtId="0" fontId="46" fillId="0" borderId="0" xfId="26" applyFont="1">
      <alignment vertical="center"/>
    </xf>
    <xf numFmtId="2" fontId="0" fillId="0" borderId="8" xfId="26" applyNumberFormat="1" applyFont="1" applyBorder="1" applyAlignment="1"/>
    <xf numFmtId="0" fontId="47" fillId="0" borderId="0" xfId="26" applyFont="1">
      <alignment vertical="center"/>
    </xf>
    <xf numFmtId="0" fontId="47" fillId="0" borderId="8" xfId="26" applyFont="1" applyBorder="1">
      <alignment vertical="center"/>
    </xf>
    <xf numFmtId="0" fontId="7" fillId="3" borderId="0" xfId="19" applyNumberFormat="1" applyFont="1" applyFill="1">
      <alignment vertical="center"/>
    </xf>
    <xf numFmtId="9" fontId="51" fillId="0" borderId="0" xfId="27" applyFont="1" applyFill="1" applyBorder="1">
      <alignment vertical="center"/>
    </xf>
    <xf numFmtId="9" fontId="14" fillId="0" borderId="0" xfId="16" applyNumberFormat="1" applyFont="1">
      <alignment vertical="center"/>
    </xf>
    <xf numFmtId="9" fontId="0" fillId="0" borderId="0" xfId="16" applyNumberFormat="1">
      <alignment vertical="center"/>
    </xf>
    <xf numFmtId="0" fontId="32" fillId="0" borderId="11" xfId="17" applyFont="1" applyFill="1" applyBorder="1" applyAlignment="1">
      <alignment horizontal="left" vertical="center"/>
    </xf>
    <xf numFmtId="10" fontId="10" fillId="0" borderId="0" xfId="26" applyNumberFormat="1" applyFont="1">
      <alignment vertical="center"/>
    </xf>
    <xf numFmtId="0" fontId="38" fillId="6" borderId="0" xfId="17" applyFont="1" applyFill="1" applyAlignment="1">
      <alignment horizontal="center" vertical="center"/>
    </xf>
    <xf numFmtId="0" fontId="43" fillId="19" borderId="15" xfId="17" applyFont="1" applyFill="1" applyBorder="1" applyAlignment="1">
      <alignment horizontal="center" vertical="center"/>
    </xf>
    <xf numFmtId="0" fontId="0" fillId="0" borderId="16" xfId="26" applyFont="1" applyBorder="1" applyAlignment="1"/>
    <xf numFmtId="184" fontId="42" fillId="18" borderId="15" xfId="17" applyNumberFormat="1" applyFont="1" applyFill="1" applyBorder="1" applyAlignment="1">
      <alignment horizontal="center" vertical="center"/>
    </xf>
    <xf numFmtId="2" fontId="41" fillId="17" borderId="14" xfId="17" applyNumberFormat="1" applyFont="1" applyFill="1" applyBorder="1" applyAlignment="1">
      <alignment horizontal="center" vertical="center"/>
    </xf>
    <xf numFmtId="0" fontId="11" fillId="0" borderId="0" xfId="26" applyFont="1" applyAlignment="1"/>
    <xf numFmtId="0" fontId="40" fillId="0" borderId="0" xfId="17" applyFont="1" applyFill="1" applyAlignment="1">
      <alignment horizontal="left" vertical="center"/>
    </xf>
    <xf numFmtId="2" fontId="41" fillId="17" borderId="14" xfId="0" applyNumberFormat="1" applyFont="1" applyFill="1" applyBorder="1" applyAlignment="1">
      <alignment horizontal="center" vertical="center"/>
    </xf>
  </cellXfs>
  <cellStyles count="18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Excel Built-in 20% - Accent1" xfId="13" xr:uid="{00000000-0005-0000-0000-00000D000000}"/>
    <cellStyle name="Excel Built-in Accent1" xfId="12" xr:uid="{00000000-0005-0000-0000-00000C000000}"/>
    <cellStyle name="Excel Built-in Comma [0] 1" xfId="10" xr:uid="{00000000-0005-0000-0000-00000A000000}"/>
    <cellStyle name="Excel Built-in Comma [0] 2" xfId="15" xr:uid="{00000000-0005-0000-0000-00000F000000}"/>
    <cellStyle name="Excel Built-in Comma [0] 3" xfId="14" xr:uid="{00000000-0005-0000-0000-00000E000000}"/>
    <cellStyle name="Excel Built-in Good" xfId="9" xr:uid="{00000000-0005-0000-0000-000009000000}"/>
    <cellStyle name="Excel Built-in Neutral" xfId="11" xr:uid="{00000000-0005-0000-0000-00000B000000}"/>
    <cellStyle name="Excel Built-in Neutral 1" xfId="8" xr:uid="{00000000-0005-0000-0000-000008000000}"/>
    <cellStyle name="Normal" xfId="26" xr:uid="{00000000-0005-0000-0000-000000000000}"/>
    <cellStyle name="Normal 2" xfId="6" xr:uid="{00000000-0005-0000-0000-000006000000}"/>
    <cellStyle name="Percent" xfId="5" xr:uid="{00000000-0005-0000-0000-000005000000}"/>
    <cellStyle name="백분율" xfId="27" builtinId="5"/>
    <cellStyle name="쉼표 [0] 2" xfId="7" xr:uid="{00000000-0005-0000-0000-000007000000}"/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70AD47"/>
      <rgbColor rgb="FF0000FF"/>
      <rgbColor rgb="FFD3DEC3"/>
      <rgbColor rgb="FFE0C2C2"/>
      <rgbColor rgb="FFC4D4AE"/>
      <rgbColor rgb="FFC00000"/>
      <rgbColor rgb="FF006100"/>
      <rgbColor rgb="FFE2EFDA"/>
      <rgbColor rgb="FF748C3E"/>
      <rgbColor rgb="FF7030A0"/>
      <rgbColor rgb="FF156082"/>
      <rgbColor rgb="FFCCC6D6"/>
      <rgbColor rgb="FF7F7F7F"/>
      <rgbColor rgb="FFB2B5D1"/>
      <rgbColor rgb="FF8F3735"/>
      <rgbColor rgb="FFFFF2CC"/>
      <rgbColor rgb="FFDEEAF1"/>
      <rgbColor rgb="FF595959"/>
      <rgbColor rgb="FFF59C60"/>
      <rgbColor rgb="FF365F8E"/>
      <rgbColor rgb="FFC2D5E1"/>
      <rgbColor rgb="FFF2F2F2"/>
      <rgbColor rgb="FFD9D9D9"/>
      <rgbColor rgb="FFFDE9D9"/>
      <rgbColor rgb="FFD5E8D4"/>
      <rgbColor rgb="FF666666"/>
      <rgbColor rgb="FF8184A0"/>
      <rgbColor rgb="FF4574AD"/>
      <rgbColor rgb="FFEBE2F5"/>
      <rgbColor rgb="FF79B8CF"/>
      <rgbColor rgb="FFC1E5F5"/>
      <rgbColor rgb="FFC6EFCE"/>
      <rgbColor rgb="FFFFEB9C"/>
      <rgbColor rgb="FF9DC3E6"/>
      <rgbColor rgb="FFD7ABAB"/>
      <rgbColor rgb="FFCC8F8E"/>
      <rgbColor rgb="FFF6C1A8"/>
      <rgbColor rgb="FF2E75B6"/>
      <rgbColor rgb="FF3F9EB6"/>
      <rgbColor rgb="FF8DAB4E"/>
      <rgbColor rgb="FFABC580"/>
      <rgbColor rgb="FFD57547"/>
      <rgbColor rgb="FFED7D31"/>
      <rgbColor rgb="FF745993"/>
      <rgbColor rgb="FF9A9EC4"/>
      <rgbColor rgb="FF5E4979"/>
      <rgbColor rgb="FF338094"/>
      <rgbColor rgb="FF141414"/>
      <rgbColor rgb="FF0D0D0D"/>
      <rgbColor rgb="FF9D5800"/>
      <rgbColor rgb="FFB14641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지역별 월별 난방 COP (HDD 가중평균)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47520">
              <a:solidFill>
                <a:srgbClr val="345885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COP_계산기!$C$14</c:f>
              <c:numCache>
                <c:formatCode>0.00</c:formatCode>
                <c:ptCount val="1"/>
                <c:pt idx="0">
                  <c:v>2.2990654205607473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0C-4DD4-8A7E-33C207227042}"/>
            </c:ext>
          </c:extLst>
        </c:ser>
        <c:ser>
          <c:idx val="1"/>
          <c:order val="1"/>
          <c:spPr>
            <a:ln w="47520">
              <a:solidFill>
                <a:srgbClr val="863432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COP_계산기!$D$14</c:f>
              <c:numCache>
                <c:formatCode>0.00</c:formatCode>
                <c:ptCount val="1"/>
                <c:pt idx="0">
                  <c:v>2.4078303425774878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30C-4DD4-8A7E-33C207227042}"/>
            </c:ext>
          </c:extLst>
        </c:ser>
        <c:ser>
          <c:idx val="2"/>
          <c:order val="2"/>
          <c:spPr>
            <a:ln w="47520">
              <a:solidFill>
                <a:srgbClr val="6C833B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COP_계산기!$E$14</c:f>
              <c:numCache>
                <c:formatCode>0.00</c:formatCode>
                <c:ptCount val="1"/>
                <c:pt idx="0">
                  <c:v>2.6983546617915901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30C-4DD4-8A7E-33C207227042}"/>
            </c:ext>
          </c:extLst>
        </c:ser>
        <c:ser>
          <c:idx val="3"/>
          <c:order val="3"/>
          <c:spPr>
            <a:ln w="47520">
              <a:solidFill>
                <a:srgbClr val="584471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COP_계산기!$F$14</c:f>
              <c:numCache>
                <c:formatCode>0.00</c:formatCode>
                <c:ptCount val="1"/>
                <c:pt idx="0">
                  <c:v>3.1673819742489266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30C-4DD4-8A7E-33C207227042}"/>
            </c:ext>
          </c:extLst>
        </c:ser>
        <c:ser>
          <c:idx val="4"/>
          <c:order val="4"/>
          <c:spPr>
            <a:ln w="47520">
              <a:solidFill>
                <a:srgbClr val="31788A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COP_계산기!$G$14</c:f>
              <c:numCache>
                <c:formatCode>0.00</c:formatCode>
                <c:ptCount val="1"/>
                <c:pt idx="0">
                  <c:v>3.69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30C-4DD4-8A7E-33C207227042}"/>
            </c:ext>
          </c:extLst>
        </c:ser>
        <c:ser>
          <c:idx val="5"/>
          <c:order val="5"/>
          <c:spPr>
            <a:ln w="47520">
              <a:solidFill>
                <a:srgbClr val="AE672C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COP_계산기!$H$14</c:f>
              <c:numCache>
                <c:formatCode>0.00</c:formatCode>
                <c:ptCount val="1"/>
                <c:pt idx="0">
                  <c:v>4.1694915254237293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30C-4DD4-8A7E-33C207227042}"/>
            </c:ext>
          </c:extLst>
        </c:ser>
        <c:ser>
          <c:idx val="6"/>
          <c:order val="6"/>
          <c:spPr>
            <a:ln w="47520">
              <a:solidFill>
                <a:srgbClr val="3B6596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COP_계산기!$I$14</c:f>
              <c:numCache>
                <c:formatCode>0.00</c:formatCode>
                <c:ptCount val="1"/>
                <c:pt idx="0">
                  <c:v>4.7766990291262132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30C-4DD4-8A7E-33C207227042}"/>
            </c:ext>
          </c:extLst>
        </c:ser>
        <c:ser>
          <c:idx val="7"/>
          <c:order val="7"/>
          <c:spPr>
            <a:ln w="47520">
              <a:solidFill>
                <a:srgbClr val="983C3A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COP_계산기!$J$14</c:f>
              <c:numCache>
                <c:formatCode>0.00</c:formatCode>
                <c:ptCount val="1"/>
                <c:pt idx="0">
                  <c:v>4.8078175895765476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030C-4DD4-8A7E-33C207227042}"/>
            </c:ext>
          </c:extLst>
        </c:ser>
        <c:ser>
          <c:idx val="8"/>
          <c:order val="8"/>
          <c:spPr>
            <a:ln w="47520">
              <a:solidFill>
                <a:srgbClr val="7B9443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COP_계산기!$K$14</c:f>
              <c:numCache>
                <c:formatCode>0.00</c:formatCode>
                <c:ptCount val="1"/>
                <c:pt idx="0">
                  <c:v>3.9677419354838706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030C-4DD4-8A7E-33C207227042}"/>
            </c:ext>
          </c:extLst>
        </c:ser>
        <c:ser>
          <c:idx val="9"/>
          <c:order val="9"/>
          <c:spPr>
            <a:ln w="47520">
              <a:solidFill>
                <a:srgbClr val="644D80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COP_계산기!$L$14</c:f>
              <c:numCache>
                <c:formatCode>0.00</c:formatCode>
                <c:ptCount val="1"/>
                <c:pt idx="0">
                  <c:v>3.2654867256637163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030C-4DD4-8A7E-33C207227042}"/>
            </c:ext>
          </c:extLst>
        </c:ser>
        <c:ser>
          <c:idx val="10"/>
          <c:order val="10"/>
          <c:spPr>
            <a:ln w="47520">
              <a:solidFill>
                <a:srgbClr val="38879D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COP_계산기!$M$14</c:f>
              <c:numCache>
                <c:formatCode>0.00</c:formatCode>
                <c:ptCount val="1"/>
                <c:pt idx="0">
                  <c:v>2.758878504672897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030C-4DD4-8A7E-33C207227042}"/>
            </c:ext>
          </c:extLst>
        </c:ser>
        <c:ser>
          <c:idx val="11"/>
          <c:order val="11"/>
          <c:tx>
            <c:v>중부1</c:v>
          </c:tx>
          <c:spPr>
            <a:ln w="21960">
              <a:solidFill>
                <a:srgbClr val="2E75B6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COP_계산기!$N$14</c:f>
              <c:numCache>
                <c:formatCode>0.00</c:formatCode>
                <c:ptCount val="1"/>
                <c:pt idx="0">
                  <c:v>2.3883495145631066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030C-4DD4-8A7E-33C207227042}"/>
            </c:ext>
          </c:extLst>
        </c:ser>
        <c:ser>
          <c:idx val="12"/>
          <c:order val="12"/>
          <c:spPr>
            <a:ln w="47520">
              <a:solidFill>
                <a:srgbClr val="426FA6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COP_계산기!$C$18</c:f>
              <c:numCache>
                <c:formatCode>0.00</c:formatCode>
                <c:ptCount val="1"/>
                <c:pt idx="0">
                  <c:v>2.5985915492957745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030C-4DD4-8A7E-33C207227042}"/>
            </c:ext>
          </c:extLst>
        </c:ser>
        <c:ser>
          <c:idx val="13"/>
          <c:order val="13"/>
          <c:spPr>
            <a:ln w="47520">
              <a:solidFill>
                <a:srgbClr val="AA433F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COP_계산기!$D$18</c:f>
              <c:numCache>
                <c:formatCode>0.00</c:formatCode>
                <c:ptCount val="1"/>
                <c:pt idx="0">
                  <c:v>2.7232472324723247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030C-4DD4-8A7E-33C207227042}"/>
            </c:ext>
          </c:extLst>
        </c:ser>
        <c:ser>
          <c:idx val="14"/>
          <c:order val="14"/>
          <c:spPr>
            <a:ln w="47520">
              <a:solidFill>
                <a:srgbClr val="87A44B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COP_계산기!$E$18</c:f>
              <c:numCache>
                <c:formatCode>0.00</c:formatCode>
                <c:ptCount val="1"/>
                <c:pt idx="0">
                  <c:v>3.0432989690721648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030C-4DD4-8A7E-33C207227042}"/>
            </c:ext>
          </c:extLst>
        </c:ser>
        <c:ser>
          <c:idx val="15"/>
          <c:order val="15"/>
          <c:spPr>
            <a:ln w="47520">
              <a:solidFill>
                <a:srgbClr val="6F568D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COP_계산기!$F$18</c:f>
              <c:numCache>
                <c:formatCode>0.00</c:formatCode>
                <c:ptCount val="1"/>
                <c:pt idx="0">
                  <c:v>3.5311004784688995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030C-4DD4-8A7E-33C207227042}"/>
            </c:ext>
          </c:extLst>
        </c:ser>
        <c:ser>
          <c:idx val="16"/>
          <c:order val="16"/>
          <c:spPr>
            <a:ln w="47520">
              <a:solidFill>
                <a:srgbClr val="3D97AF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COP_계산기!$G$18</c:f>
              <c:numCache>
                <c:formatCode>0.00</c:formatCode>
                <c:ptCount val="1"/>
                <c:pt idx="0">
                  <c:v>4.043835616438356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030C-4DD4-8A7E-33C207227042}"/>
            </c:ext>
          </c:extLst>
        </c:ser>
        <c:ser>
          <c:idx val="17"/>
          <c:order val="17"/>
          <c:spPr>
            <a:ln w="47520">
              <a:solidFill>
                <a:srgbClr val="DB8238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COP_계산기!$H$18</c:f>
              <c:numCache>
                <c:formatCode>0.00</c:formatCode>
                <c:ptCount val="1"/>
                <c:pt idx="0">
                  <c:v>4.6124999999999998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030C-4DD4-8A7E-33C207227042}"/>
            </c:ext>
          </c:extLst>
        </c:ser>
        <c:ser>
          <c:idx val="18"/>
          <c:order val="18"/>
          <c:spPr>
            <a:ln w="47520">
              <a:solidFill>
                <a:srgbClr val="4779B4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COP_계산기!$I$18</c:f>
              <c:numCache>
                <c:formatCode>0.00</c:formatCode>
                <c:ptCount val="1"/>
                <c:pt idx="0">
                  <c:v>5.1608391608391599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030C-4DD4-8A7E-33C207227042}"/>
            </c:ext>
          </c:extLst>
        </c:ser>
        <c:ser>
          <c:idx val="19"/>
          <c:order val="19"/>
          <c:spPr>
            <a:ln w="47520">
              <a:solidFill>
                <a:srgbClr val="B74845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COP_계산기!$J$18</c:f>
              <c:numCache>
                <c:formatCode>0.00</c:formatCode>
                <c:ptCount val="1"/>
                <c:pt idx="0">
                  <c:v>5.290322580645161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030C-4DD4-8A7E-33C207227042}"/>
            </c:ext>
          </c:extLst>
        </c:ser>
        <c:ser>
          <c:idx val="20"/>
          <c:order val="20"/>
          <c:spPr>
            <a:ln w="47520">
              <a:solidFill>
                <a:srgbClr val="92B251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COP_계산기!$K$18</c:f>
              <c:numCache>
                <c:formatCode>0.00</c:formatCode>
                <c:ptCount val="1"/>
                <c:pt idx="0">
                  <c:v>4.4727272727272727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030C-4DD4-8A7E-33C207227042}"/>
            </c:ext>
          </c:extLst>
        </c:ser>
        <c:ser>
          <c:idx val="21"/>
          <c:order val="21"/>
          <c:spPr>
            <a:ln w="47520">
              <a:solidFill>
                <a:srgbClr val="785C99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COP_계산기!$L$18</c:f>
              <c:numCache>
                <c:formatCode>0.00</c:formatCode>
                <c:ptCount val="1"/>
                <c:pt idx="0">
                  <c:v>3.7085427135678395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030C-4DD4-8A7E-33C207227042}"/>
            </c:ext>
          </c:extLst>
        </c:ser>
        <c:ser>
          <c:idx val="22"/>
          <c:order val="22"/>
          <c:spPr>
            <a:ln w="47520">
              <a:solidFill>
                <a:srgbClr val="43A4BD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COP_계산기!$M$18</c:f>
              <c:numCache>
                <c:formatCode>0.00</c:formatCode>
                <c:ptCount val="1"/>
                <c:pt idx="0">
                  <c:v>3.1073684210526316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030C-4DD4-8A7E-33C207227042}"/>
            </c:ext>
          </c:extLst>
        </c:ser>
        <c:ser>
          <c:idx val="23"/>
          <c:order val="23"/>
          <c:tx>
            <c:v>중부2</c:v>
          </c:tx>
          <c:spPr>
            <a:ln w="2196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COP_계산기!$N$18</c:f>
              <c:numCache>
                <c:formatCode>0.00</c:formatCode>
                <c:ptCount val="1"/>
                <c:pt idx="0">
                  <c:v>2.7082568807339449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030C-4DD4-8A7E-33C207227042}"/>
            </c:ext>
          </c:extLst>
        </c:ser>
        <c:ser>
          <c:idx val="24"/>
          <c:order val="24"/>
          <c:spPr>
            <a:ln w="47520">
              <a:solidFill>
                <a:srgbClr val="678CC0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COP_계산기!$C$22</c:f>
              <c:numCache>
                <c:formatCode>0.00</c:formatCode>
                <c:ptCount val="1"/>
                <c:pt idx="0">
                  <c:v>2.8828124999999996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030C-4DD4-8A7E-33C207227042}"/>
            </c:ext>
          </c:extLst>
        </c:ser>
        <c:ser>
          <c:idx val="25"/>
          <c:order val="25"/>
          <c:spPr>
            <a:ln w="47520">
              <a:solidFill>
                <a:srgbClr val="C26866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COP_계산기!$D$22</c:f>
              <c:numCache>
                <c:formatCode>0.00</c:formatCode>
                <c:ptCount val="1"/>
                <c:pt idx="0">
                  <c:v>2.975806451612903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030C-4DD4-8A7E-33C207227042}"/>
            </c:ext>
          </c:extLst>
        </c:ser>
        <c:ser>
          <c:idx val="26"/>
          <c:order val="26"/>
          <c:spPr>
            <a:ln w="47520">
              <a:solidFill>
                <a:srgbClr val="A2BE6D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COP_계산기!$E$22</c:f>
              <c:numCache>
                <c:formatCode>0.00</c:formatCode>
                <c:ptCount val="1"/>
                <c:pt idx="0">
                  <c:v>3.243956043956044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030C-4DD4-8A7E-33C207227042}"/>
            </c:ext>
          </c:extLst>
        </c:ser>
        <c:ser>
          <c:idx val="27"/>
          <c:order val="27"/>
          <c:spPr>
            <a:ln w="47520">
              <a:solidFill>
                <a:srgbClr val="8B76A8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COP_계산기!$F$22</c:f>
              <c:numCache>
                <c:formatCode>0.00</c:formatCode>
                <c:ptCount val="1"/>
                <c:pt idx="0">
                  <c:v>3.7085427135678395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030C-4DD4-8A7E-33C207227042}"/>
            </c:ext>
          </c:extLst>
        </c:ser>
        <c:ser>
          <c:idx val="28"/>
          <c:order val="28"/>
          <c:spPr>
            <a:ln w="47520">
              <a:solidFill>
                <a:srgbClr val="65B1C8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COP_계산기!$G$22</c:f>
              <c:numCache>
                <c:formatCode>0.00</c:formatCode>
                <c:ptCount val="1"/>
                <c:pt idx="0">
                  <c:v>4.1577464788732392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030C-4DD4-8A7E-33C207227042}"/>
            </c:ext>
          </c:extLst>
        </c:ser>
        <c:ser>
          <c:idx val="29"/>
          <c:order val="29"/>
          <c:spPr>
            <a:ln w="47520">
              <a:solidFill>
                <a:srgbClr val="F59C60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COP_계산기!$H$22</c:f>
              <c:numCache>
                <c:formatCode>0.00</c:formatCode>
                <c:ptCount val="1"/>
                <c:pt idx="0">
                  <c:v>4.5415384615384617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030C-4DD4-8A7E-33C207227042}"/>
            </c:ext>
          </c:extLst>
        </c:ser>
        <c:ser>
          <c:idx val="30"/>
          <c:order val="30"/>
          <c:spPr>
            <a:ln w="47520">
              <a:solidFill>
                <a:srgbClr val="8EA5CA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COP_계산기!$I$22</c:f>
              <c:numCache>
                <c:formatCode>0.00</c:formatCode>
                <c:ptCount val="1"/>
                <c:pt idx="0">
                  <c:v>5.0896551724137931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030C-4DD4-8A7E-33C207227042}"/>
            </c:ext>
          </c:extLst>
        </c:ser>
        <c:ser>
          <c:idx val="31"/>
          <c:order val="31"/>
          <c:spPr>
            <a:ln w="47520">
              <a:solidFill>
                <a:srgbClr val="CC8F8E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COP_계산기!$J$22</c:f>
              <c:numCache>
                <c:formatCode>0.00</c:formatCode>
                <c:ptCount val="1"/>
                <c:pt idx="0">
                  <c:v>5.3093525179856114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030C-4DD4-8A7E-33C207227042}"/>
            </c:ext>
          </c:extLst>
        </c:ser>
        <c:ser>
          <c:idx val="32"/>
          <c:order val="32"/>
          <c:spPr>
            <a:ln w="47520">
              <a:solidFill>
                <a:srgbClr val="B3C992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COP_계산기!$K$22</c:f>
              <c:numCache>
                <c:formatCode>0.00</c:formatCode>
                <c:ptCount val="1"/>
                <c:pt idx="0">
                  <c:v>4.6415094339622636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030C-4DD4-8A7E-33C207227042}"/>
            </c:ext>
          </c:extLst>
        </c:ser>
        <c:ser>
          <c:idx val="33"/>
          <c:order val="33"/>
          <c:spPr>
            <a:ln w="47520">
              <a:solidFill>
                <a:srgbClr val="A596B9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COP_계산기!$L$22</c:f>
              <c:numCache>
                <c:formatCode>0.00</c:formatCode>
                <c:ptCount val="1"/>
                <c:pt idx="0">
                  <c:v>3.9359999999999999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030C-4DD4-8A7E-33C207227042}"/>
            </c:ext>
          </c:extLst>
        </c:ser>
        <c:ser>
          <c:idx val="34"/>
          <c:order val="34"/>
          <c:spPr>
            <a:ln w="47520">
              <a:solidFill>
                <a:srgbClr val="8CBFD2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COP_계산기!$M$22</c:f>
              <c:numCache>
                <c:formatCode>0.00</c:formatCode>
                <c:ptCount val="1"/>
                <c:pt idx="0">
                  <c:v>3.3698630136986303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030C-4DD4-8A7E-33C207227042}"/>
            </c:ext>
          </c:extLst>
        </c:ser>
        <c:ser>
          <c:idx val="35"/>
          <c:order val="35"/>
          <c:tx>
            <c:v>남부</c:v>
          </c:tx>
          <c:spPr>
            <a:ln w="21960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COP_계산기!$N$22</c:f>
              <c:numCache>
                <c:formatCode>0.00</c:formatCode>
                <c:ptCount val="1"/>
                <c:pt idx="0">
                  <c:v>2.9818181818181819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030C-4DD4-8A7E-33C207227042}"/>
            </c:ext>
          </c:extLst>
        </c:ser>
        <c:ser>
          <c:idx val="36"/>
          <c:order val="36"/>
          <c:spPr>
            <a:ln w="47520">
              <a:solidFill>
                <a:srgbClr val="ABBAD5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COP_계산기!$C$26</c:f>
              <c:numCache>
                <c:formatCode>0.00</c:formatCode>
                <c:ptCount val="1"/>
                <c:pt idx="0">
                  <c:v>3.0245901639344264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030C-4DD4-8A7E-33C207227042}"/>
            </c:ext>
          </c:extLst>
        </c:ser>
        <c:ser>
          <c:idx val="37"/>
          <c:order val="37"/>
          <c:spPr>
            <a:ln w="47520">
              <a:solidFill>
                <a:srgbClr val="D7ABAB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COP_계산기!$D$26</c:f>
              <c:numCache>
                <c:formatCode>0.00</c:formatCode>
                <c:ptCount val="1"/>
                <c:pt idx="0">
                  <c:v>3.0749999999999997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5-030C-4DD4-8A7E-33C207227042}"/>
            </c:ext>
          </c:extLst>
        </c:ser>
        <c:ser>
          <c:idx val="38"/>
          <c:order val="38"/>
          <c:spPr>
            <a:ln w="47520">
              <a:solidFill>
                <a:srgbClr val="C4D4AE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COP_계산기!$E$26</c:f>
              <c:numCache>
                <c:formatCode>0.00</c:formatCode>
                <c:ptCount val="1"/>
                <c:pt idx="0">
                  <c:v>3.3168539325842694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6-030C-4DD4-8A7E-33C207227042}"/>
            </c:ext>
          </c:extLst>
        </c:ser>
        <c:ser>
          <c:idx val="39"/>
          <c:order val="39"/>
          <c:spPr>
            <a:ln w="47520">
              <a:solidFill>
                <a:srgbClr val="B9B0C8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COP_계산기!$F$26</c:f>
              <c:numCache>
                <c:formatCode>0.00</c:formatCode>
                <c:ptCount val="1"/>
                <c:pt idx="0">
                  <c:v>3.7085427135678395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7-030C-4DD4-8A7E-33C207227042}"/>
            </c:ext>
          </c:extLst>
        </c:ser>
        <c:ser>
          <c:idx val="40"/>
          <c:order val="40"/>
          <c:spPr>
            <a:ln w="47520">
              <a:solidFill>
                <a:srgbClr val="AACCDA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COP_계산기!$G$26</c:f>
              <c:numCache>
                <c:formatCode>0.00</c:formatCode>
                <c:ptCount val="1"/>
                <c:pt idx="0">
                  <c:v>4.1577464788732392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8-030C-4DD4-8A7E-33C207227042}"/>
            </c:ext>
          </c:extLst>
        </c:ser>
        <c:ser>
          <c:idx val="41"/>
          <c:order val="41"/>
          <c:spPr>
            <a:ln w="47520">
              <a:solidFill>
                <a:srgbClr val="F6C1A8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COP_계산기!$H$26</c:f>
              <c:numCache>
                <c:formatCode>0.00</c:formatCode>
                <c:ptCount val="1"/>
                <c:pt idx="0">
                  <c:v>4.6124999999999998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9-030C-4DD4-8A7E-33C207227042}"/>
            </c:ext>
          </c:extLst>
        </c:ser>
        <c:ser>
          <c:idx val="42"/>
          <c:order val="42"/>
          <c:spPr>
            <a:ln w="47520">
              <a:solidFill>
                <a:srgbClr val="C2CCDF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COP_계산기!$I$26</c:f>
              <c:numCache>
                <c:formatCode>0.00</c:formatCode>
                <c:ptCount val="1"/>
                <c:pt idx="0">
                  <c:v>5.3093525179856114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A-030C-4DD4-8A7E-33C207227042}"/>
            </c:ext>
          </c:extLst>
        </c:ser>
        <c:ser>
          <c:idx val="43"/>
          <c:order val="43"/>
          <c:spPr>
            <a:ln w="47520">
              <a:solidFill>
                <a:srgbClr val="E0C2C2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COP_계산기!$J$26</c:f>
              <c:numCache>
                <c:formatCode>0.00</c:formatCode>
                <c:ptCount val="1"/>
                <c:pt idx="0">
                  <c:v>5.4666666666666668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B-030C-4DD4-8A7E-33C207227042}"/>
            </c:ext>
          </c:extLst>
        </c:ser>
        <c:ser>
          <c:idx val="44"/>
          <c:order val="44"/>
          <c:spPr>
            <a:ln w="47520">
              <a:solidFill>
                <a:srgbClr val="D3DEC3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COP_계산기!$K$26</c:f>
              <c:numCache>
                <c:formatCode>0.00</c:formatCode>
                <c:ptCount val="1"/>
                <c:pt idx="0">
                  <c:v>4.7612903225806447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C-030C-4DD4-8A7E-33C207227042}"/>
            </c:ext>
          </c:extLst>
        </c:ser>
        <c:ser>
          <c:idx val="45"/>
          <c:order val="45"/>
          <c:spPr>
            <a:ln w="47520">
              <a:solidFill>
                <a:srgbClr val="CCC6D6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COP_계산기!$L$26</c:f>
              <c:numCache>
                <c:formatCode>0.00</c:formatCode>
                <c:ptCount val="1"/>
                <c:pt idx="0">
                  <c:v>4.0999999999999996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D-030C-4DD4-8A7E-33C207227042}"/>
            </c:ext>
          </c:extLst>
        </c:ser>
        <c:ser>
          <c:idx val="46"/>
          <c:order val="46"/>
          <c:spPr>
            <a:ln w="47520">
              <a:solidFill>
                <a:srgbClr val="C1D9E2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COP_계산기!$M$26</c:f>
              <c:numCache>
                <c:formatCode>0.00</c:formatCode>
                <c:ptCount val="1"/>
                <c:pt idx="0">
                  <c:v>3.5566265060240965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E-030C-4DD4-8A7E-33C207227042}"/>
            </c:ext>
          </c:extLst>
        </c:ser>
        <c:ser>
          <c:idx val="47"/>
          <c:order val="47"/>
          <c:tx>
            <c:v>제주</c:v>
          </c:tx>
          <c:spPr>
            <a:ln w="21960">
              <a:solidFill>
                <a:srgbClr val="7030A0"/>
              </a:solidFill>
              <a:prstDash val="solid"/>
            </a:ln>
          </c:spPr>
          <c:marker>
            <c:symbol val="none"/>
          </c:marker>
          <c:cat>
            <c:strRef>
              <c:f>COP_계산기!$C$11:$N$11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COP_계산기!$N$26</c:f>
              <c:numCache>
                <c:formatCode>0.00</c:formatCode>
                <c:ptCount val="1"/>
                <c:pt idx="0">
                  <c:v>3.1538461538461537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F-030C-4DD4-8A7E-33C207227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월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ko-KR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COP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ko-KR"/>
          </a:p>
        </c:txPr>
        <c:crossAx val="48650112"/>
        <c:crosses val="autoZero"/>
        <c:crossBetween val="between"/>
      </c:valAx>
    </c:plotArea>
    <c:legend>
      <c:legendPos val="r"/>
      <c:overlay val="0"/>
      <c:spPr>
        <a:noFill/>
      </c:spPr>
      <c:txPr>
        <a:bodyPr anchorCtr="1"/>
        <a:lstStyle/>
        <a:p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144780</xdr:colOff>
      <xdr:row>36</xdr:row>
      <xdr:rowOff>167640</xdr:rowOff>
    </xdr:to>
    <xdr:sp macro="" textlink="">
      <xdr:nvSpPr>
        <xdr:cNvPr id="1034" name="Text Box 10" hidden="1">
          <a:extLst>
            <a:ext uri="{FF2B5EF4-FFF2-40B4-BE49-F238E27FC236}">
              <a16:creationId xmlns:a16="http://schemas.microsoft.com/office/drawing/2014/main" id="{D1F9BA01-503D-230D-E45C-5E2CAC57358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144780</xdr:colOff>
      <xdr:row>36</xdr:row>
      <xdr:rowOff>167640</xdr:rowOff>
    </xdr:to>
    <xdr:sp macro="" textlink="">
      <xdr:nvSpPr>
        <xdr:cNvPr id="2" name="AutoShape 10">
          <a:extLst>
            <a:ext uri="{FF2B5EF4-FFF2-40B4-BE49-F238E27FC236}">
              <a16:creationId xmlns:a16="http://schemas.microsoft.com/office/drawing/2014/main" id="{F737F9D0-729F-6956-BF48-4B4C655F91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434340</xdr:colOff>
      <xdr:row>35</xdr:row>
      <xdr:rowOff>175260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AA139A3C-7CA7-D6D5-0867-41954DD24C2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434340</xdr:colOff>
      <xdr:row>35</xdr:row>
      <xdr:rowOff>175260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83C9ACBF-9BAD-C213-7D81-B6A038DC34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676440</xdr:colOff>
      <xdr:row>0</xdr:row>
      <xdr:rowOff>162000</xdr:rowOff>
    </xdr:from>
    <xdr:to>
      <xdr:col>14</xdr:col>
      <xdr:colOff>419040</xdr:colOff>
      <xdr:row>10</xdr:row>
      <xdr:rowOff>56520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9</xdr:col>
      <xdr:colOff>446760</xdr:colOff>
      <xdr:row>52</xdr:row>
      <xdr:rowOff>106200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"/>
  <sheetViews>
    <sheetView tabSelected="1" workbookViewId="0">
      <selection activeCell="C19" sqref="C19"/>
    </sheetView>
  </sheetViews>
  <sheetFormatPr defaultColWidth="8.5" defaultRowHeight="16.5"/>
  <cols>
    <col min="2" max="2" width="25.875" style="1" customWidth="1"/>
    <col min="3" max="3" width="15.25" style="1" customWidth="1"/>
    <col min="4" max="4" width="14.75" style="1" customWidth="1"/>
    <col min="5" max="5" width="11" style="1" customWidth="1"/>
    <col min="6" max="6" width="11.875" style="1" customWidth="1"/>
    <col min="7" max="7" width="10.875" style="1" customWidth="1"/>
    <col min="8" max="13" width="9.125" style="1" customWidth="1"/>
    <col min="14" max="15" width="9.375" style="1" customWidth="1"/>
  </cols>
  <sheetData>
    <row r="1" spans="2:10" s="1" customFormat="1" ht="16.5" customHeight="1">
      <c r="B1" s="2" t="s">
        <v>0</v>
      </c>
    </row>
    <row r="2" spans="2:10" s="1" customFormat="1" ht="16.5" customHeight="1">
      <c r="B2" s="3" t="s">
        <v>1</v>
      </c>
      <c r="C2" s="3" t="s">
        <v>2</v>
      </c>
    </row>
    <row r="3" spans="2:10" s="1" customFormat="1" ht="16.5" customHeight="1">
      <c r="B3" s="4" t="s">
        <v>3</v>
      </c>
      <c r="C3" s="5">
        <v>32</v>
      </c>
      <c r="D3" s="2"/>
      <c r="E3" s="2"/>
      <c r="F3" s="2"/>
    </row>
    <row r="4" spans="2:10" s="1" customFormat="1" ht="16.5" customHeight="1">
      <c r="B4" s="6" t="s">
        <v>4</v>
      </c>
      <c r="C4" s="2">
        <f>IF(C3&lt;=14,8,IF(C3&lt;=25,12,IF(C3&lt;=40,16,20)))</f>
        <v>16</v>
      </c>
      <c r="D4" s="2"/>
      <c r="E4" s="2"/>
      <c r="F4" s="2"/>
    </row>
    <row r="5" spans="2:10" s="1" customFormat="1" ht="16.5" customHeight="1">
      <c r="B5" s="6" t="s">
        <v>5</v>
      </c>
      <c r="C5" s="2" t="str">
        <f>IF(C3&lt;=14,"냉장고 크기", IF(C3&lt;=25,"워시타워 설치 공간",IF(C3&lt;=35,"보일러실 공간","보일러실 공간 이상")))</f>
        <v>보일러실 공간</v>
      </c>
      <c r="D5" s="2"/>
      <c r="E5" s="2"/>
      <c r="F5" s="2"/>
    </row>
    <row r="7" spans="2:10" s="1" customFormat="1" ht="16.5" customHeight="1">
      <c r="B7" s="3" t="s">
        <v>6</v>
      </c>
      <c r="C7" s="3" t="s">
        <v>7</v>
      </c>
    </row>
    <row r="8" spans="2:10" s="1" customFormat="1" ht="16.5" customHeight="1">
      <c r="B8" s="4" t="s">
        <v>8</v>
      </c>
      <c r="C8" s="5" t="s">
        <v>10</v>
      </c>
      <c r="E8" s="6" t="s">
        <v>10</v>
      </c>
      <c r="F8" s="6" t="s">
        <v>11</v>
      </c>
      <c r="G8" s="6" t="s">
        <v>9</v>
      </c>
      <c r="H8" s="2" t="s">
        <v>12</v>
      </c>
      <c r="I8" s="6" t="s">
        <v>13</v>
      </c>
      <c r="J8" s="6" t="s">
        <v>14</v>
      </c>
    </row>
    <row r="9" spans="2:10" s="1" customFormat="1" ht="16.5" customHeight="1">
      <c r="B9" s="6" t="s">
        <v>15</v>
      </c>
      <c r="E9" s="7">
        <v>0.92</v>
      </c>
      <c r="F9" s="7">
        <v>0.83</v>
      </c>
      <c r="G9" s="7">
        <v>0.82</v>
      </c>
      <c r="H9" s="7">
        <v>0.9</v>
      </c>
      <c r="I9" s="7">
        <f>O51*100%</f>
        <v>2.8619391502470668</v>
      </c>
      <c r="J9" s="7">
        <f>O51*100%</f>
        <v>2.8619391502470668</v>
      </c>
    </row>
    <row r="10" spans="2:10" s="1" customFormat="1" ht="16.5" customHeight="1">
      <c r="B10" s="6" t="s">
        <v>16</v>
      </c>
      <c r="E10" s="8">
        <v>0.21847826086956501</v>
      </c>
      <c r="F10" s="8">
        <v>0.24216867469879499</v>
      </c>
      <c r="G10" s="8">
        <v>0.30634828188701202</v>
      </c>
      <c r="H10" s="8">
        <v>0.25555555555555598</v>
      </c>
      <c r="I10" s="8">
        <f>0.4173/I9</f>
        <v>0.14581022799313365</v>
      </c>
      <c r="J10" s="9">
        <f>(83.1/624.5)/J9</f>
        <v>4.6495206982665092E-2</v>
      </c>
    </row>
    <row r="11" spans="2:10" s="1" customFormat="1" ht="16.5" customHeight="1">
      <c r="C11" s="8"/>
      <c r="D11" s="8"/>
      <c r="E11" s="8"/>
      <c r="F11" s="8"/>
      <c r="G11" s="8"/>
    </row>
    <row r="12" spans="2:10" s="1" customFormat="1" ht="16.5" customHeight="1">
      <c r="B12" s="3" t="s">
        <v>17</v>
      </c>
      <c r="C12" s="3" t="s">
        <v>18</v>
      </c>
      <c r="E12" s="8"/>
      <c r="F12" s="8"/>
      <c r="G12" s="8"/>
    </row>
    <row r="13" spans="2:10" s="1" customFormat="1" ht="16.5" customHeight="1">
      <c r="B13" s="4" t="s">
        <v>19</v>
      </c>
      <c r="C13" s="5" t="s">
        <v>20</v>
      </c>
      <c r="D13" s="2"/>
      <c r="E13" s="10" t="s">
        <v>21</v>
      </c>
      <c r="F13" s="8" t="s">
        <v>22</v>
      </c>
      <c r="G13" s="10" t="s">
        <v>20</v>
      </c>
    </row>
    <row r="14" spans="2:10" s="1" customFormat="1" ht="16.5" customHeight="1">
      <c r="B14" s="6" t="s">
        <v>23</v>
      </c>
      <c r="C14" s="11">
        <f>IF(OR(TRIM(C13)="도시가스",TRIM(C13)="LPG"),84.75%,100%)</f>
        <v>1</v>
      </c>
      <c r="D14" s="12"/>
    </row>
    <row r="15" spans="2:10" s="1" customFormat="1" ht="16.5" customHeight="1">
      <c r="C15" s="13"/>
    </row>
    <row r="16" spans="2:10" s="1" customFormat="1" ht="16.5" customHeight="1">
      <c r="B16" s="3" t="s">
        <v>24</v>
      </c>
      <c r="C16" s="3" t="s">
        <v>25</v>
      </c>
      <c r="D16" s="14" t="s">
        <v>26</v>
      </c>
    </row>
    <row r="17" spans="2:15" s="1" customFormat="1" ht="16.5" customHeight="1">
      <c r="C17" s="2" t="s">
        <v>27</v>
      </c>
      <c r="D17" s="2" t="s">
        <v>28</v>
      </c>
      <c r="E17" s="2" t="s">
        <v>29</v>
      </c>
      <c r="F17" s="2" t="s">
        <v>30</v>
      </c>
      <c r="G17" s="2" t="s">
        <v>31</v>
      </c>
      <c r="H17" s="2" t="s">
        <v>32</v>
      </c>
      <c r="I17" s="2" t="s">
        <v>33</v>
      </c>
      <c r="J17" s="2" t="s">
        <v>34</v>
      </c>
      <c r="K17" s="2" t="s">
        <v>35</v>
      </c>
      <c r="L17" s="2" t="s">
        <v>36</v>
      </c>
      <c r="M17" s="2" t="s">
        <v>37</v>
      </c>
      <c r="N17" s="2" t="s">
        <v>38</v>
      </c>
      <c r="O17" s="6" t="s">
        <v>39</v>
      </c>
    </row>
    <row r="18" spans="2:15" s="1" customFormat="1" ht="16.5" customHeight="1">
      <c r="B18" s="4" t="s">
        <v>40</v>
      </c>
      <c r="C18" s="15">
        <v>300000</v>
      </c>
      <c r="D18" s="16">
        <f>$C$18/$C$20*D20</f>
        <v>275767.18227194343</v>
      </c>
      <c r="E18" s="2">
        <f t="shared" ref="E18:N18" si="0">$C$18/$C$20*E20</f>
        <v>237111.22453339779</v>
      </c>
      <c r="F18" s="2">
        <f t="shared" si="0"/>
        <v>111382.23636117221</v>
      </c>
      <c r="G18" s="2">
        <f t="shared" si="0"/>
        <v>73454.72003729883</v>
      </c>
      <c r="H18" s="2">
        <f t="shared" si="0"/>
        <v>57283.320631601215</v>
      </c>
      <c r="I18" s="2">
        <f t="shared" si="0"/>
        <v>41403.297791771962</v>
      </c>
      <c r="J18" s="2">
        <f t="shared" si="0"/>
        <v>42180.301967421066</v>
      </c>
      <c r="K18" s="2">
        <f t="shared" si="0"/>
        <v>66413.11969547857</v>
      </c>
      <c r="L18" s="2">
        <f t="shared" si="0"/>
        <v>89538.156706130583</v>
      </c>
      <c r="M18" s="2">
        <f t="shared" si="0"/>
        <v>125892.42283001631</v>
      </c>
      <c r="N18" s="2">
        <f t="shared" si="0"/>
        <v>200125.64251679723</v>
      </c>
      <c r="O18" s="16">
        <f>SUM(C18:N18)</f>
        <v>1620551.6253430294</v>
      </c>
    </row>
    <row r="19" spans="2:15" s="1" customFormat="1" ht="16.5" customHeight="1">
      <c r="B19" s="17" t="s">
        <v>41</v>
      </c>
      <c r="C19" s="168" t="s">
        <v>260</v>
      </c>
      <c r="D19" s="5" t="s">
        <v>261</v>
      </c>
      <c r="E19" s="14"/>
    </row>
    <row r="20" spans="2:15" s="1" customFormat="1" ht="16.5" customHeight="1">
      <c r="B20" s="6" t="s">
        <v>44</v>
      </c>
      <c r="C20" s="169">
        <f>_xlfn.XLOOKUP($C$19, Sheet3!$A$2:$A$19, Sheet3!C$2:C$19, "")</f>
        <v>0.18512214934004201</v>
      </c>
      <c r="D20" s="169">
        <f>_xlfn.XLOOKUP($C$19, Sheet3!$A$2:$A$19, Sheet3!D$2:D$19, "")</f>
        <v>0.17016871166543099</v>
      </c>
      <c r="E20" s="169">
        <f>_xlfn.XLOOKUP($C$19, Sheet3!$A$2:$A$19, Sheet3!E$2:E$19, "")</f>
        <v>0.14631513172757299</v>
      </c>
      <c r="F20" s="169">
        <f>_xlfn.XLOOKUP($C$19, Sheet3!$A$2:$A$19, Sheet3!F$2:F$19, "")</f>
        <v>6.87310633116026E-2</v>
      </c>
      <c r="G20" s="169">
        <f>_xlfn.XLOOKUP($C$19, Sheet3!$A$2:$A$19, Sheet3!G$2:G$19, "")</f>
        <v>4.5326985508252697E-2</v>
      </c>
      <c r="H20" s="169">
        <f>_xlfn.XLOOKUP($C$19, Sheet3!$A$2:$A$19, Sheet3!H$2:H$19, "")</f>
        <v>3.5348038122189299E-2</v>
      </c>
      <c r="I20" s="169">
        <f>_xlfn.XLOOKUP($C$19, Sheet3!$A$2:$A$19, Sheet3!I$2:I$19, "")</f>
        <v>2.5548891589928801E-2</v>
      </c>
      <c r="J20" s="169">
        <f>_xlfn.XLOOKUP($C$19, Sheet3!$A$2:$A$19, Sheet3!J$2:J$19, "")</f>
        <v>2.6028360533403301E-2</v>
      </c>
      <c r="K20" s="169">
        <f>_xlfn.XLOOKUP($C$19, Sheet3!$A$2:$A$19, Sheet3!K$2:K$19, "")</f>
        <v>4.0981798208014897E-2</v>
      </c>
      <c r="L20" s="169">
        <f>_xlfn.XLOOKUP($C$19, Sheet3!$A$2:$A$19, Sheet3!L$2:L$19, "")</f>
        <v>5.5251653391281297E-2</v>
      </c>
      <c r="M20" s="169">
        <f>_xlfn.XLOOKUP($C$19, Sheet3!$A$2:$A$19, Sheet3!M$2:M$19, "")</f>
        <v>7.7684919666393307E-2</v>
      </c>
      <c r="N20" s="169">
        <f>_xlfn.XLOOKUP($C$19, Sheet3!$A$2:$A$19, Sheet3!N$2:N$19, "")</f>
        <v>0.12349229693588799</v>
      </c>
      <c r="O20" s="12"/>
    </row>
    <row r="21" spans="2:15" s="1" customFormat="1" ht="16.5" customHeight="1"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spans="2:15" s="1" customFormat="1" ht="16.5" customHeight="1">
      <c r="B22" s="3" t="s">
        <v>45</v>
      </c>
      <c r="C22" s="3" t="s">
        <v>46</v>
      </c>
      <c r="D22" s="14" t="s">
        <v>26</v>
      </c>
    </row>
    <row r="23" spans="2:15" s="1" customFormat="1" ht="16.5" customHeight="1">
      <c r="C23" s="2" t="s">
        <v>27</v>
      </c>
      <c r="D23" s="2" t="s">
        <v>28</v>
      </c>
      <c r="E23" s="2" t="s">
        <v>29</v>
      </c>
      <c r="F23" s="2" t="s">
        <v>30</v>
      </c>
      <c r="G23" s="2" t="s">
        <v>31</v>
      </c>
      <c r="H23" s="2" t="s">
        <v>32</v>
      </c>
      <c r="I23" s="2" t="s">
        <v>33</v>
      </c>
      <c r="J23" s="2" t="s">
        <v>34</v>
      </c>
      <c r="K23" s="2" t="s">
        <v>35</v>
      </c>
      <c r="L23" s="2" t="s">
        <v>36</v>
      </c>
      <c r="M23" s="2" t="s">
        <v>37</v>
      </c>
      <c r="N23" s="2" t="s">
        <v>38</v>
      </c>
    </row>
    <row r="24" spans="2:15" s="1" customFormat="1" ht="16.5" customHeight="1">
      <c r="B24" s="19" t="s">
        <v>47</v>
      </c>
      <c r="C24" s="15">
        <v>1500</v>
      </c>
      <c r="D24" s="20">
        <f t="shared" ref="D24:N24" si="1">$C$24/$C$25*D25</f>
        <v>1510.5768802802304</v>
      </c>
      <c r="E24" s="20">
        <f t="shared" si="1"/>
        <v>1313.2115479152321</v>
      </c>
      <c r="F24" s="20">
        <f t="shared" si="1"/>
        <v>1318.2304170745201</v>
      </c>
      <c r="G24" s="20">
        <f t="shared" si="1"/>
        <v>1237.3260275641812</v>
      </c>
      <c r="H24" s="20">
        <f t="shared" si="1"/>
        <v>1319.5807809552109</v>
      </c>
      <c r="I24" s="20">
        <f t="shared" si="1"/>
        <v>1697.9813145836893</v>
      </c>
      <c r="J24" s="20">
        <f t="shared" si="1"/>
        <v>2133.4284876595711</v>
      </c>
      <c r="K24" s="20">
        <f t="shared" si="1"/>
        <v>1963.8835087771868</v>
      </c>
      <c r="L24" s="20">
        <f t="shared" si="1"/>
        <v>1390.5277537482875</v>
      </c>
      <c r="M24" s="20">
        <f t="shared" si="1"/>
        <v>1324.9518097825483</v>
      </c>
      <c r="N24" s="20">
        <f t="shared" si="1"/>
        <v>1380.7459531220195</v>
      </c>
      <c r="O24" s="16">
        <f>SUM(C24:N24)</f>
        <v>18090.44448146268</v>
      </c>
    </row>
    <row r="25" spans="2:15" s="1" customFormat="1" ht="16.5" customHeight="1">
      <c r="B25" s="6" t="s">
        <v>48</v>
      </c>
      <c r="C25" s="21">
        <v>8.2916702325200098E-2</v>
      </c>
      <c r="D25" s="21">
        <v>8.3501369014350194E-2</v>
      </c>
      <c r="E25" s="21">
        <v>7.2591447339001705E-2</v>
      </c>
      <c r="F25" s="21">
        <v>7.2868879392394906E-2</v>
      </c>
      <c r="G25" s="21">
        <v>6.8396662604507705E-2</v>
      </c>
      <c r="H25" s="21">
        <v>7.2943524539012206E-2</v>
      </c>
      <c r="I25" s="21">
        <v>9.3860674143391803E-2</v>
      </c>
      <c r="J25" s="21">
        <v>0.11793123656224699</v>
      </c>
      <c r="K25" s="21">
        <v>0.108559162865765</v>
      </c>
      <c r="L25" s="21">
        <v>7.6865317221650603E-2</v>
      </c>
      <c r="M25" s="21">
        <v>7.3240423204649796E-2</v>
      </c>
      <c r="N25" s="21">
        <v>7.6324600787828795E-2</v>
      </c>
      <c r="O25" s="16"/>
    </row>
    <row r="26" spans="2:15" s="1" customFormat="1" ht="16.5" customHeight="1"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2:15" s="1" customFormat="1" ht="16.5" customHeight="1">
      <c r="B27" s="3" t="s">
        <v>49</v>
      </c>
      <c r="C27" s="3" t="s">
        <v>50</v>
      </c>
      <c r="G27" s="22"/>
      <c r="H27" s="22"/>
      <c r="I27" s="22"/>
      <c r="J27" s="22"/>
      <c r="K27" s="22"/>
      <c r="L27" s="22"/>
      <c r="M27" s="22"/>
      <c r="N27" s="22"/>
    </row>
    <row r="28" spans="2:15" s="1" customFormat="1" ht="16.5" customHeight="1">
      <c r="B28" s="4" t="s">
        <v>51</v>
      </c>
      <c r="C28" s="5" t="s">
        <v>52</v>
      </c>
    </row>
    <row r="29" spans="2:15" s="1" customFormat="1" ht="16.5" customHeight="1">
      <c r="B29" s="19" t="s">
        <v>53</v>
      </c>
      <c r="C29" s="5">
        <v>0</v>
      </c>
    </row>
    <row r="32" spans="2:15" s="1" customFormat="1" ht="16.5" customHeight="1">
      <c r="B32" s="2" t="s">
        <v>54</v>
      </c>
    </row>
    <row r="33" spans="2:14" s="1" customFormat="1" ht="16.5" customHeight="1">
      <c r="B33" s="3" t="s">
        <v>55</v>
      </c>
      <c r="C33" s="23" t="s">
        <v>56</v>
      </c>
    </row>
    <row r="34" spans="2:14" s="1" customFormat="1" ht="16.5" customHeight="1">
      <c r="B34" s="3"/>
      <c r="C34" s="6" t="s">
        <v>57</v>
      </c>
      <c r="D34" s="6" t="s">
        <v>58</v>
      </c>
      <c r="G34" s="6"/>
    </row>
    <row r="35" spans="2:14" s="1" customFormat="1" ht="16.5" customHeight="1">
      <c r="B35" s="6" t="s">
        <v>59</v>
      </c>
      <c r="C35" s="24">
        <v>1000000</v>
      </c>
      <c r="D35" s="24">
        <v>10000000</v>
      </c>
      <c r="E35" s="24"/>
      <c r="F35" s="24"/>
      <c r="G35" s="24"/>
    </row>
    <row r="36" spans="2:14" s="1" customFormat="1" ht="16.5" customHeight="1">
      <c r="B36" s="6" t="s">
        <v>60</v>
      </c>
      <c r="C36" s="25"/>
      <c r="D36" s="25">
        <v>0.7</v>
      </c>
      <c r="E36" s="24"/>
      <c r="F36" s="24"/>
      <c r="G36" s="25"/>
    </row>
    <row r="37" spans="2:14" s="1" customFormat="1" ht="16.5" customHeight="1">
      <c r="B37" s="6" t="s">
        <v>61</v>
      </c>
      <c r="C37" s="24"/>
      <c r="D37" s="24">
        <f>D35*(1-D36)</f>
        <v>3000000.0000000005</v>
      </c>
      <c r="E37" s="24"/>
      <c r="F37" s="24"/>
      <c r="G37" s="24"/>
    </row>
    <row r="38" spans="2:14" s="1" customFormat="1" ht="16.5" customHeight="1">
      <c r="B38" s="6"/>
      <c r="C38" s="3"/>
      <c r="G38" s="26"/>
    </row>
    <row r="39" spans="2:14" s="1" customFormat="1" ht="16.5" customHeight="1">
      <c r="B39" s="6" t="s">
        <v>62</v>
      </c>
      <c r="C39" s="6" t="s">
        <v>57</v>
      </c>
      <c r="D39" s="6" t="s">
        <v>63</v>
      </c>
      <c r="E39" s="6" t="s">
        <v>64</v>
      </c>
      <c r="F39" s="2" t="s">
        <v>22</v>
      </c>
      <c r="G39" s="26"/>
    </row>
    <row r="40" spans="2:14" s="1" customFormat="1" ht="16.5" customHeight="1">
      <c r="B40" s="6" t="s">
        <v>65</v>
      </c>
      <c r="C40" s="27">
        <f>1250*1.1</f>
        <v>1375</v>
      </c>
      <c r="D40" s="27">
        <f>1250*1.1</f>
        <v>1375</v>
      </c>
      <c r="E40" s="2">
        <v>0</v>
      </c>
      <c r="F40" s="2">
        <v>0</v>
      </c>
      <c r="G40" s="28"/>
    </row>
    <row r="41" spans="2:14" s="1" customFormat="1" ht="18" customHeight="1">
      <c r="B41" s="29" t="s">
        <v>66</v>
      </c>
      <c r="C41" s="30">
        <f>22.3617*1.1</f>
        <v>24.59787</v>
      </c>
      <c r="D41" s="30">
        <f>22.3617*1.1</f>
        <v>24.59787</v>
      </c>
      <c r="E41" s="2">
        <v>1323.16</v>
      </c>
      <c r="F41" s="31">
        <v>1417.54</v>
      </c>
      <c r="G41" s="26"/>
    </row>
    <row r="42" spans="2:14" s="1" customFormat="1" ht="17.25" customHeight="1">
      <c r="B42" s="6" t="s">
        <v>67</v>
      </c>
      <c r="C42" s="30">
        <f>C41*3.6</f>
        <v>88.552332000000007</v>
      </c>
      <c r="D42" s="30">
        <f>D41*3.6</f>
        <v>88.552332000000007</v>
      </c>
      <c r="E42" s="30">
        <f>E41/(D86/3.6)</f>
        <v>130.14688524590164</v>
      </c>
      <c r="F42" s="30">
        <f>F41/(D87/3.6)</f>
        <v>101.65625498007968</v>
      </c>
      <c r="G42" s="26"/>
    </row>
    <row r="43" spans="2:14" s="1" customFormat="1" ht="17.25" customHeight="1">
      <c r="B43" s="32" t="s">
        <v>68</v>
      </c>
      <c r="C43" s="33">
        <f>((O18-C40*12)/C42)*C14</f>
        <v>18114.165817146739</v>
      </c>
      <c r="D43" s="33">
        <f>((O18-D40*12)/D42)*C14</f>
        <v>18114.165817146739</v>
      </c>
      <c r="E43" s="33">
        <f>($O$18/E42)</f>
        <v>12451.712711227263</v>
      </c>
      <c r="F43" s="33">
        <f>($O$18/F42)</f>
        <v>15941.484620504551</v>
      </c>
      <c r="G43" s="26"/>
    </row>
    <row r="44" spans="2:14" s="1" customFormat="1" ht="17.25" customHeight="1">
      <c r="B44" s="34" t="s">
        <v>69</v>
      </c>
      <c r="C44" s="33">
        <f>(((O18-C40*12)/C42)*C14)*E9</f>
        <v>16665.032551774999</v>
      </c>
      <c r="D44" s="33">
        <f>(((O18-D40*12)/D42)*C14)*F9</f>
        <v>15034.757628231793</v>
      </c>
      <c r="E44" s="33">
        <f>($O$18/E42)*G9</f>
        <v>10210.404423206355</v>
      </c>
      <c r="F44" s="33">
        <f>($O$18/F42)*H9</f>
        <v>14347.336158454096</v>
      </c>
      <c r="G44" s="26"/>
    </row>
    <row r="45" spans="2:14" s="1" customFormat="1" ht="16.5" customHeight="1">
      <c r="B45" s="35"/>
      <c r="C45" s="36" t="s">
        <v>27</v>
      </c>
      <c r="D45" s="36" t="s">
        <v>28</v>
      </c>
      <c r="E45" s="36" t="s">
        <v>29</v>
      </c>
      <c r="F45" s="36" t="s">
        <v>30</v>
      </c>
      <c r="G45" s="36" t="s">
        <v>31</v>
      </c>
      <c r="H45" s="36" t="s">
        <v>32</v>
      </c>
      <c r="I45" s="36" t="s">
        <v>33</v>
      </c>
      <c r="J45" s="36" t="s">
        <v>34</v>
      </c>
      <c r="K45" s="36" t="s">
        <v>35</v>
      </c>
      <c r="L45" s="36" t="s">
        <v>36</v>
      </c>
      <c r="M45" s="36" t="s">
        <v>37</v>
      </c>
      <c r="N45" s="36" t="s">
        <v>38</v>
      </c>
    </row>
    <row r="46" spans="2:14" s="1" customFormat="1" ht="16.5" customHeight="1">
      <c r="B46" s="35" t="s">
        <v>70</v>
      </c>
      <c r="C46" s="37">
        <f t="shared" ref="C46:N46" si="2">$C$44*C$20</f>
        <v>3085.0666448063525</v>
      </c>
      <c r="D46" s="37">
        <f t="shared" si="2"/>
        <v>2835.8671191980216</v>
      </c>
      <c r="E46" s="37">
        <f t="shared" si="2"/>
        <v>2438.3464330572506</v>
      </c>
      <c r="F46" s="37">
        <f t="shared" si="2"/>
        <v>1145.4054074059657</v>
      </c>
      <c r="G46" s="37">
        <f t="shared" si="2"/>
        <v>755.37568896886489</v>
      </c>
      <c r="H46" s="37">
        <f t="shared" si="2"/>
        <v>589.07620594766831</v>
      </c>
      <c r="I46" s="37">
        <f t="shared" si="2"/>
        <v>425.77311000793395</v>
      </c>
      <c r="J46" s="37">
        <f t="shared" si="2"/>
        <v>433.76347555850168</v>
      </c>
      <c r="K46" s="37">
        <f t="shared" si="2"/>
        <v>682.96300116684256</v>
      </c>
      <c r="L46" s="37">
        <f t="shared" si="2"/>
        <v>920.77060230509232</v>
      </c>
      <c r="M46" s="37">
        <f t="shared" si="2"/>
        <v>1294.6217150224702</v>
      </c>
      <c r="N46" s="37">
        <f t="shared" si="2"/>
        <v>2058.0031483300372</v>
      </c>
    </row>
    <row r="47" spans="2:14" s="1" customFormat="1" ht="16.5" customHeight="1">
      <c r="B47" s="35" t="s">
        <v>63</v>
      </c>
      <c r="C47" s="37">
        <f t="shared" ref="C47:N47" si="3">$D$44*C$20</f>
        <v>2783.2666469448618</v>
      </c>
      <c r="D47" s="37">
        <f t="shared" si="3"/>
        <v>2558.4453357982152</v>
      </c>
      <c r="E47" s="37">
        <f t="shared" si="3"/>
        <v>2199.8125428668677</v>
      </c>
      <c r="F47" s="37">
        <f t="shared" si="3"/>
        <v>1033.3548784205996</v>
      </c>
      <c r="G47" s="37">
        <f t="shared" si="3"/>
        <v>681.48024113495421</v>
      </c>
      <c r="H47" s="37">
        <f t="shared" si="3"/>
        <v>531.4491858006138</v>
      </c>
      <c r="I47" s="37">
        <f t="shared" si="3"/>
        <v>384.12139272454914</v>
      </c>
      <c r="J47" s="37">
        <f t="shared" si="3"/>
        <v>391.33009207995264</v>
      </c>
      <c r="K47" s="37">
        <f t="shared" si="3"/>
        <v>616.15140322660795</v>
      </c>
      <c r="L47" s="37">
        <f t="shared" si="3"/>
        <v>830.69521729698545</v>
      </c>
      <c r="M47" s="37">
        <f t="shared" si="3"/>
        <v>1167.9739385528808</v>
      </c>
      <c r="N47" s="37">
        <f t="shared" si="3"/>
        <v>1856.6767533847078</v>
      </c>
    </row>
    <row r="48" spans="2:14" s="1" customFormat="1" ht="16.5" customHeight="1">
      <c r="B48" s="35" t="s">
        <v>64</v>
      </c>
      <c r="C48" s="37">
        <f t="shared" ref="C48:N48" si="4">$E$44*C$20</f>
        <v>1890.1720124550325</v>
      </c>
      <c r="D48" s="37">
        <f t="shared" si="4"/>
        <v>1737.4913662800434</v>
      </c>
      <c r="E48" s="37">
        <f t="shared" si="4"/>
        <v>1493.9366681732317</v>
      </c>
      <c r="F48" s="37">
        <f t="shared" si="4"/>
        <v>701.77195284846323</v>
      </c>
      <c r="G48" s="37">
        <f t="shared" si="4"/>
        <v>462.8068533240737</v>
      </c>
      <c r="H48" s="37">
        <f t="shared" si="4"/>
        <v>360.9177647944685</v>
      </c>
      <c r="I48" s="37">
        <f t="shared" si="4"/>
        <v>260.86451569782866</v>
      </c>
      <c r="J48" s="37">
        <f t="shared" si="4"/>
        <v>265.76008751907079</v>
      </c>
      <c r="K48" s="37">
        <f t="shared" si="4"/>
        <v>418.44073369406556</v>
      </c>
      <c r="L48" s="37">
        <f t="shared" si="4"/>
        <v>564.141726175803</v>
      </c>
      <c r="M48" s="37">
        <f t="shared" si="4"/>
        <v>793.19444737817264</v>
      </c>
      <c r="N48" s="37">
        <f t="shared" si="4"/>
        <v>1260.9062948661035</v>
      </c>
    </row>
    <row r="49" spans="1:15" s="1" customFormat="1" ht="16.5" customHeight="1">
      <c r="B49" s="36" t="s">
        <v>22</v>
      </c>
      <c r="C49" s="37">
        <f t="shared" ref="C49:N49" si="5">$F$44*C$20</f>
        <v>2656.0097069571239</v>
      </c>
      <c r="D49" s="37">
        <f t="shared" si="5"/>
        <v>2441.4677099149876</v>
      </c>
      <c r="E49" s="37">
        <f t="shared" si="5"/>
        <v>2099.2323799639821</v>
      </c>
      <c r="F49" s="37">
        <f t="shared" si="5"/>
        <v>986.10766985955377</v>
      </c>
      <c r="G49" s="37">
        <f t="shared" si="5"/>
        <v>650.32149813627871</v>
      </c>
      <c r="H49" s="37">
        <f t="shared" si="5"/>
        <v>507.15018548090035</v>
      </c>
      <c r="I49" s="37">
        <f t="shared" si="5"/>
        <v>366.55853611660928</v>
      </c>
      <c r="J49" s="37">
        <f t="shared" si="5"/>
        <v>373.43763822617672</v>
      </c>
      <c r="K49" s="37">
        <f t="shared" si="5"/>
        <v>587.97963526832143</v>
      </c>
      <c r="L49" s="37">
        <f t="shared" si="5"/>
        <v>792.71404451510307</v>
      </c>
      <c r="M49" s="37">
        <f t="shared" si="5"/>
        <v>1114.5716568962464</v>
      </c>
      <c r="N49" s="37">
        <f t="shared" si="5"/>
        <v>1771.7854971188158</v>
      </c>
    </row>
    <row r="50" spans="1:15" s="1" customFormat="1" ht="16.5" customHeight="1">
      <c r="A50" s="6" t="s">
        <v>71</v>
      </c>
      <c r="B50" s="2" t="str">
        <f>_xlfn.LET(
_xlpm.sido,$C$19,
_xlpm.sgg,$D$19,
IF(
OR(ISNUMBER(MATCH(_xlpm.sido,{"제주","제주도","제주특별자치도"},0)),ISNUMBER(MATCH(_xlpm.sgg,{"제주시","서귀포시"},0))),
"제주",
IF(
OR(
ISNUMBER(MATCH(_xlpm.sido,{"부산","부산광역시","대구","대구광역시","울산","울산광역시","광주","광주광역시","전남","전라남도"},0)),
AND(ISNUMBER(MATCH(_xlpm.sido,{"경북","경상북도"},0)),ISNUMBER(MATCH(_xlpm.sgg,{"울진군","영덕군","포항시","경주시","청도군","경산시"},0))),
AND(ISNUMBER(MATCH(_xlpm.sido,{"경남","경상남도"},0)),NOT(ISNUMBER(MATCH(_xlpm.sgg,{"거창군","함양군"},0))))
),
"남부",
IF(
OR(
AND(ISNUMBER(MATCH(_xlpm.sido,{"강원","강원도"},0)),NOT(ISNUMBER(MATCH(_xlpm.sgg,{"고성군","속초시","양양군","강릉시","동해시","삼척시"},0)))),
AND(ISNUMBER(MATCH(_xlpm.sido,{"경기","경기도"},0)),ISNUMBER(MATCH(_xlpm.sgg,{"연천군","포천시","가평군","남양주시","의정부시","양주시","동두천시","파주시"},0))),
AND(ISNUMBER(MATCH(_xlpm.sido,{"충북","충청북도"},0)),_xlpm.sgg="제천시"),
AND(ISNUMBER(MATCH(_xlpm.sido,{"경북","경상북도"},0)),ISNUMBER(MATCH(_xlpm.sgg,{"봉화군","청송군"},0)))
),
"중부1",
IF(
OR(
ISNUMBER(MATCH(_xlpm.sido,{"서울","서울특별시","대전","대전광역시","세종","세종특별자치시","인천","인천광역시","충남","충청남도","전북","전라북도"},0)),
AND(ISNUMBER(MATCH(_xlpm.sido,{"강원","강원도"},0)),ISNUMBER(MATCH(_xlpm.sgg,{"고성군","속초시","양양군","강릉시","동해시","삼척시"},0))),
AND(ISNUMBER(MATCH(_xlpm.sido,{"경기","경기도"},0)),NOT(ISNUMBER(MATCH(_xlpm.sgg,{"연천군","포천시","가평군","남양주시","의정부시","양주시","동두천시","파주시"},0)))),
AND(ISNUMBER(MATCH(_xlpm.sido,{"충북","충청북도"},0)),_xlpm.sgg&lt;&gt;"제천시"),
AND(ISNUMBER(MATCH(_xlpm.sido,{"경북","경상북도"},0)),NOT(ISNUMBER(MATCH(_xlpm.sgg,{"봉화군","청송군","울진군","영덕군","포항시","경주시","청도군","경산시"},0)))),
AND(ISNUMBER(MATCH(_xlpm.sido,{"경남","경상남도"},0)),ISNUMBER(MATCH(_xlpm.sgg,{"거창군","함양군"},0)))
),
"중부2",
""
)
)
)
)
)</f>
        <v>중부2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5" s="1" customFormat="1" ht="16.5" customHeight="1">
      <c r="B51" s="38" t="s">
        <v>72</v>
      </c>
      <c r="C51" s="39">
        <f>CHOOSE(MATCH($B$50,{"중부1","중부2","남부","제주"},0),COP_계산기!C14,COP_계산기!C18,COP_계산기!C22,COP_계산기!C26)</f>
        <v>2.5985915492957745</v>
      </c>
      <c r="D51" s="39">
        <f>CHOOSE(MATCH($B$50,{"중부1","중부2","남부","제주"},0),COP_계산기!D14,COP_계산기!D18,COP_계산기!D22,COP_계산기!D26)</f>
        <v>2.7232472324723247</v>
      </c>
      <c r="E51" s="39">
        <f>CHOOSE(MATCH($B$50,{"중부1","중부2","남부","제주"},0),COP_계산기!E14,COP_계산기!E18,COP_계산기!E22,COP_계산기!E26)</f>
        <v>3.0432989690721648</v>
      </c>
      <c r="F51" s="39">
        <f>CHOOSE(MATCH($B$50,{"중부1","중부2","남부","제주"},0),COP_계산기!F14,COP_계산기!F18,COP_계산기!F22,COP_계산기!F26)</f>
        <v>3.5311004784688995</v>
      </c>
      <c r="G51" s="39">
        <f>CHOOSE(MATCH($B$50,{"중부1","중부2","남부","제주"},0),COP_계산기!G14,COP_계산기!G18,COP_계산기!G22,COP_계산기!G26)</f>
        <v>4.043835616438356</v>
      </c>
      <c r="H51" s="39">
        <f>CHOOSE(MATCH($B$50,{"중부1","중부2","남부","제주"},0),COP_계산기!H14,COP_계산기!H18,COP_계산기!H22,COP_계산기!H26)</f>
        <v>4.6124999999999998</v>
      </c>
      <c r="I51" s="39">
        <f>CHOOSE(MATCH($B$50,{"중부1","중부2","남부","제주"},0),COP_계산기!I14,COP_계산기!I18,COP_계산기!I22,COP_계산기!I26)</f>
        <v>5.1608391608391599</v>
      </c>
      <c r="J51" s="39">
        <f>CHOOSE(MATCH($B$50,{"중부1","중부2","남부","제주"},0),COP_계산기!J14,COP_계산기!J18,COP_계산기!J22,COP_계산기!J26)</f>
        <v>5.290322580645161</v>
      </c>
      <c r="K51" s="39">
        <f>CHOOSE(MATCH($B$50,{"중부1","중부2","남부","제주"},0),COP_계산기!K14,COP_계산기!K18,COP_계산기!K22,COP_계산기!K26)</f>
        <v>4.4727272727272727</v>
      </c>
      <c r="L51" s="39">
        <f>CHOOSE(MATCH($B$50,{"중부1","중부2","남부","제주"},0),COP_계산기!L14,COP_계산기!L18,COP_계산기!L22,COP_계산기!L26)</f>
        <v>3.7085427135678395</v>
      </c>
      <c r="M51" s="39">
        <f>CHOOSE(MATCH($B$50,{"중부1","중부2","남부","제주"},0),COP_계산기!M14,COP_계산기!M18,COP_계산기!M22,COP_계산기!M26)</f>
        <v>3.1073684210526316</v>
      </c>
      <c r="N51" s="39">
        <f>CHOOSE(MATCH($B$50,{"중부1","중부2","남부","제주"},0),COP_계산기!N14,COP_계산기!N18,COP_계산기!N22,COP_계산기!N26)</f>
        <v>2.7082568807339449</v>
      </c>
      <c r="O51" s="39">
        <f>CHOOSE(MATCH($B$50,{"중부1","중부2","남부","제주"},0),COP_계산기!P12,COP_계산기!P16,COP_계산기!P20,COP_계산기!P24)</f>
        <v>2.8619391502470668</v>
      </c>
    </row>
    <row r="52" spans="1:15" s="1" customFormat="1" ht="16.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5" s="1" customFormat="1" ht="16.5" customHeight="1">
      <c r="A53" s="6" t="s">
        <v>73</v>
      </c>
      <c r="B53" s="40" t="s">
        <v>74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5" s="1" customFormat="1" ht="16.5" customHeight="1">
      <c r="B54" s="32" t="s">
        <v>75</v>
      </c>
      <c r="C54" s="37">
        <f t="shared" ref="C54:N54" si="6">C46/C$51</f>
        <v>1187.2072183265639</v>
      </c>
      <c r="D54" s="37">
        <f t="shared" si="6"/>
        <v>1041.3549990551001</v>
      </c>
      <c r="E54" s="37">
        <f t="shared" si="6"/>
        <v>801.21817075390686</v>
      </c>
      <c r="F54" s="37">
        <f t="shared" si="6"/>
        <v>324.37632811361357</v>
      </c>
      <c r="G54" s="37">
        <f t="shared" si="6"/>
        <v>186.79683365422474</v>
      </c>
      <c r="H54" s="37">
        <f t="shared" si="6"/>
        <v>127.7129985794403</v>
      </c>
      <c r="I54" s="37">
        <f t="shared" si="6"/>
        <v>82.500751668204018</v>
      </c>
      <c r="J54" s="37">
        <f t="shared" si="6"/>
        <v>81.991876477521657</v>
      </c>
      <c r="K54" s="37">
        <f t="shared" si="6"/>
        <v>152.69497993567617</v>
      </c>
      <c r="L54" s="37">
        <f t="shared" si="6"/>
        <v>248.28367189527555</v>
      </c>
      <c r="M54" s="37">
        <f t="shared" si="6"/>
        <v>416.62961696183834</v>
      </c>
      <c r="N54" s="37">
        <f t="shared" si="6"/>
        <v>759.89953647687696</v>
      </c>
    </row>
    <row r="55" spans="1:15" s="1" customFormat="1" ht="16.5" customHeight="1">
      <c r="B55" s="32" t="s">
        <v>76</v>
      </c>
      <c r="C55" s="37">
        <f t="shared" ref="C55:N55" si="7">C47/C$51</f>
        <v>1071.0673817511392</v>
      </c>
      <c r="D55" s="37">
        <f t="shared" si="7"/>
        <v>939.48331436492731</v>
      </c>
      <c r="E55" s="37">
        <f t="shared" si="7"/>
        <v>722.83813231059003</v>
      </c>
      <c r="F55" s="37">
        <f t="shared" si="7"/>
        <v>292.643861232934</v>
      </c>
      <c r="G55" s="37">
        <f t="shared" si="7"/>
        <v>168.52323036196361</v>
      </c>
      <c r="H55" s="37">
        <f t="shared" si="7"/>
        <v>115.21933567492982</v>
      </c>
      <c r="I55" s="37">
        <f t="shared" si="7"/>
        <v>74.430025961531896</v>
      </c>
      <c r="J55" s="37">
        <f t="shared" si="7"/>
        <v>73.970932039503239</v>
      </c>
      <c r="K55" s="37">
        <f t="shared" si="7"/>
        <v>137.75742755066437</v>
      </c>
      <c r="L55" s="37">
        <f t="shared" si="7"/>
        <v>223.99505181856381</v>
      </c>
      <c r="M55" s="37">
        <f t="shared" si="7"/>
        <v>375.87237182426719</v>
      </c>
      <c r="N55" s="37">
        <f t="shared" si="7"/>
        <v>685.56153834326949</v>
      </c>
    </row>
    <row r="56" spans="1:15" s="1" customFormat="1" ht="16.5" customHeight="1">
      <c r="B56" s="32" t="s">
        <v>77</v>
      </c>
      <c r="C56" s="37">
        <f t="shared" ref="C56:N56" si="8">C48/C$51</f>
        <v>727.38326766562227</v>
      </c>
      <c r="D56" s="37">
        <f t="shared" si="8"/>
        <v>638.02189737383708</v>
      </c>
      <c r="E56" s="37">
        <f t="shared" si="8"/>
        <v>490.89382389161074</v>
      </c>
      <c r="F56" s="37">
        <f t="shared" si="8"/>
        <v>198.74029558987644</v>
      </c>
      <c r="G56" s="37">
        <f t="shared" si="8"/>
        <v>114.44749421631904</v>
      </c>
      <c r="H56" s="37">
        <f t="shared" si="8"/>
        <v>78.247753884979616</v>
      </c>
      <c r="I56" s="37">
        <f t="shared" si="8"/>
        <v>50.546918353373314</v>
      </c>
      <c r="J56" s="37">
        <f t="shared" si="8"/>
        <v>50.235138494458504</v>
      </c>
      <c r="K56" s="37">
        <f t="shared" si="8"/>
        <v>93.553822573876445</v>
      </c>
      <c r="L56" s="37">
        <f t="shared" si="8"/>
        <v>152.1195169498439</v>
      </c>
      <c r="M56" s="37">
        <f t="shared" si="8"/>
        <v>255.26244072129541</v>
      </c>
      <c r="N56" s="37">
        <f t="shared" si="8"/>
        <v>465.57854383606127</v>
      </c>
    </row>
    <row r="57" spans="1:15" s="1" customFormat="1" ht="16.5" customHeight="1">
      <c r="B57" s="36" t="s">
        <v>78</v>
      </c>
      <c r="C57" s="37">
        <f t="shared" ref="C57:N57" si="9">C49/C$51</f>
        <v>1022.0958763900044</v>
      </c>
      <c r="D57" s="37">
        <f t="shared" si="9"/>
        <v>896.52811570049005</v>
      </c>
      <c r="E57" s="37">
        <f t="shared" si="9"/>
        <v>689.78841753559038</v>
      </c>
      <c r="F57" s="37">
        <f t="shared" si="9"/>
        <v>279.26355420141834</v>
      </c>
      <c r="G57" s="37">
        <f t="shared" si="9"/>
        <v>160.81798565023152</v>
      </c>
      <c r="H57" s="37">
        <f t="shared" si="9"/>
        <v>109.95125972485644</v>
      </c>
      <c r="I57" s="37">
        <f t="shared" si="9"/>
        <v>71.026925019885013</v>
      </c>
      <c r="J57" s="37">
        <f t="shared" si="9"/>
        <v>70.588821859826083</v>
      </c>
      <c r="K57" s="37">
        <f t="shared" si="9"/>
        <v>131.45886154373039</v>
      </c>
      <c r="L57" s="37">
        <f t="shared" si="9"/>
        <v>213.75351606843563</v>
      </c>
      <c r="M57" s="37">
        <f t="shared" si="9"/>
        <v>358.68667820170532</v>
      </c>
      <c r="N57" s="37">
        <f t="shared" si="9"/>
        <v>654.21618965430525</v>
      </c>
    </row>
    <row r="58" spans="1:15" s="1" customFormat="1" ht="16.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5" s="1" customFormat="1" ht="16.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5" s="1" customFormat="1" ht="16.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5" s="1" customFormat="1" ht="16.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5" s="1" customFormat="1" ht="16.5" customHeight="1">
      <c r="B62" s="41"/>
      <c r="C62" s="42"/>
      <c r="E62" s="43"/>
      <c r="F62" s="43"/>
      <c r="G62" s="26"/>
    </row>
    <row r="63" spans="1:15" s="1" customFormat="1" ht="16.5" customHeight="1">
      <c r="B63" s="41"/>
      <c r="C63" s="44"/>
      <c r="D63" s="45"/>
      <c r="E63" s="46"/>
      <c r="F63" s="46"/>
      <c r="G63" s="26"/>
    </row>
    <row r="64" spans="1:15" s="1" customFormat="1" ht="16.5" customHeight="1">
      <c r="B64" s="47" t="s">
        <v>79</v>
      </c>
      <c r="C64" s="48" t="s">
        <v>80</v>
      </c>
      <c r="D64" s="45"/>
      <c r="E64" s="46"/>
      <c r="F64" s="46"/>
      <c r="G64" s="26"/>
    </row>
    <row r="65" spans="1:10" s="1" customFormat="1" ht="16.5" customHeight="1">
      <c r="B65" s="49" t="s">
        <v>81</v>
      </c>
      <c r="C65" s="49" t="s">
        <v>57</v>
      </c>
      <c r="D65" s="49" t="s">
        <v>63</v>
      </c>
      <c r="E65" s="49" t="s">
        <v>64</v>
      </c>
      <c r="F65" s="46" t="s">
        <v>22</v>
      </c>
      <c r="G65" s="49" t="s">
        <v>82</v>
      </c>
    </row>
    <row r="66" spans="1:10" s="1" customFormat="1" ht="16.5" customHeight="1">
      <c r="A66" s="2">
        <v>2026</v>
      </c>
      <c r="B66" s="50">
        <v>1</v>
      </c>
      <c r="C66" s="51">
        <f>$C$43/1000*E10</f>
        <v>3.9575514448331424</v>
      </c>
      <c r="D66" s="52">
        <f>($D$43/1000)*F10</f>
        <v>4.3866835292126405</v>
      </c>
      <c r="E66" s="52">
        <f>(E43/1000)*G10</f>
        <v>3.8145607956351402</v>
      </c>
      <c r="F66" s="52">
        <f>(F43/1000)*H10</f>
        <v>4.0739349585733917</v>
      </c>
      <c r="G66" s="53">
        <f t="array" ref="G66">_xlfn.IFS(
TRIM(C8)="가스 콘덴싱보일러",C44/1000*I10,
TRIM(C8)="가스 일반보일러",D44/1000*I10,
TRIM(C8)="등유 보일러",E44/1000*I10,
TRIM(C8)="LPG 보일러",F44/1000*I10
)</f>
        <v>2.4299321958873064</v>
      </c>
      <c r="I66" s="54"/>
      <c r="J66" s="55"/>
    </row>
    <row r="67" spans="1:10" s="1" customFormat="1" ht="16.5" customHeight="1">
      <c r="A67" s="2">
        <v>2027</v>
      </c>
      <c r="B67" s="56">
        <v>2</v>
      </c>
      <c r="C67" s="51">
        <f t="shared" ref="C67:C80" si="10">C66</f>
        <v>3.9575514448331424</v>
      </c>
      <c r="D67" s="51">
        <f t="shared" ref="D67:D80" si="11">D66</f>
        <v>4.3866835292126405</v>
      </c>
      <c r="E67" s="51">
        <f t="shared" ref="E67:E80" si="12">E66</f>
        <v>3.8145607956351402</v>
      </c>
      <c r="F67" s="51">
        <f t="shared" ref="F67:F80" si="13">F66</f>
        <v>4.0739349585733917</v>
      </c>
      <c r="G67" s="51">
        <f t="shared" ref="G67:G77" si="14">$G$66+(B67-1)*($G$78-$G$66)/12</f>
        <v>2.2920081910523331</v>
      </c>
      <c r="I67" s="54"/>
      <c r="J67" s="55"/>
    </row>
    <row r="68" spans="1:10" s="1" customFormat="1" ht="16.5" customHeight="1">
      <c r="A68" s="2">
        <v>2028</v>
      </c>
      <c r="B68" s="56">
        <v>3</v>
      </c>
      <c r="C68" s="51">
        <f t="shared" si="10"/>
        <v>3.9575514448331424</v>
      </c>
      <c r="D68" s="51">
        <f t="shared" si="11"/>
        <v>4.3866835292126405</v>
      </c>
      <c r="E68" s="51">
        <f t="shared" si="12"/>
        <v>3.8145607956351402</v>
      </c>
      <c r="F68" s="51">
        <f t="shared" si="13"/>
        <v>4.0739349585733917</v>
      </c>
      <c r="G68" s="51">
        <f t="shared" si="14"/>
        <v>2.1540841862173603</v>
      </c>
      <c r="I68" s="54"/>
      <c r="J68" s="55"/>
    </row>
    <row r="69" spans="1:10" s="1" customFormat="1" ht="16.5" customHeight="1">
      <c r="A69" s="2">
        <v>2029</v>
      </c>
      <c r="B69" s="56">
        <v>4</v>
      </c>
      <c r="C69" s="51">
        <f t="shared" si="10"/>
        <v>3.9575514448331424</v>
      </c>
      <c r="D69" s="51">
        <f t="shared" si="11"/>
        <v>4.3866835292126405</v>
      </c>
      <c r="E69" s="51">
        <f t="shared" si="12"/>
        <v>3.8145607956351402</v>
      </c>
      <c r="F69" s="51">
        <f t="shared" si="13"/>
        <v>4.0739349585733917</v>
      </c>
      <c r="G69" s="51">
        <f t="shared" si="14"/>
        <v>2.0161601813823875</v>
      </c>
      <c r="I69" s="54"/>
      <c r="J69" s="55"/>
    </row>
    <row r="70" spans="1:10" s="1" customFormat="1" ht="16.5" customHeight="1">
      <c r="A70" s="2">
        <v>2030</v>
      </c>
      <c r="B70" s="50">
        <v>5</v>
      </c>
      <c r="C70" s="51">
        <f t="shared" si="10"/>
        <v>3.9575514448331424</v>
      </c>
      <c r="D70" s="51">
        <f t="shared" si="11"/>
        <v>4.3866835292126405</v>
      </c>
      <c r="E70" s="51">
        <f t="shared" si="12"/>
        <v>3.8145607956351402</v>
      </c>
      <c r="F70" s="51">
        <f t="shared" si="13"/>
        <v>4.0739349585733917</v>
      </c>
      <c r="G70" s="51">
        <f t="shared" si="14"/>
        <v>1.8782361765474143</v>
      </c>
      <c r="I70" s="54"/>
      <c r="J70" s="55"/>
    </row>
    <row r="71" spans="1:10" s="1" customFormat="1" ht="16.5" customHeight="1">
      <c r="A71" s="2">
        <v>2031</v>
      </c>
      <c r="B71" s="56">
        <v>6</v>
      </c>
      <c r="C71" s="51">
        <f t="shared" si="10"/>
        <v>3.9575514448331424</v>
      </c>
      <c r="D71" s="51">
        <f t="shared" si="11"/>
        <v>4.3866835292126405</v>
      </c>
      <c r="E71" s="51">
        <f t="shared" si="12"/>
        <v>3.8145607956351402</v>
      </c>
      <c r="F71" s="51">
        <f t="shared" si="13"/>
        <v>4.0739349585733917</v>
      </c>
      <c r="G71" s="51">
        <f t="shared" si="14"/>
        <v>1.7403121717124415</v>
      </c>
      <c r="I71" s="54"/>
      <c r="J71" s="55"/>
    </row>
    <row r="72" spans="1:10" s="1" customFormat="1" ht="16.5" customHeight="1">
      <c r="A72" s="2">
        <v>2032</v>
      </c>
      <c r="B72" s="56">
        <v>7</v>
      </c>
      <c r="C72" s="51">
        <f t="shared" si="10"/>
        <v>3.9575514448331424</v>
      </c>
      <c r="D72" s="51">
        <f t="shared" si="11"/>
        <v>4.3866835292126405</v>
      </c>
      <c r="E72" s="51">
        <f t="shared" si="12"/>
        <v>3.8145607956351402</v>
      </c>
      <c r="F72" s="51">
        <f t="shared" si="13"/>
        <v>4.0739349585733917</v>
      </c>
      <c r="G72" s="51">
        <f t="shared" si="14"/>
        <v>1.6023881668774682</v>
      </c>
      <c r="I72" s="54"/>
      <c r="J72" s="55"/>
    </row>
    <row r="73" spans="1:10" s="1" customFormat="1" ht="16.5" customHeight="1">
      <c r="A73" s="2">
        <v>2033</v>
      </c>
      <c r="B73" s="56">
        <v>8</v>
      </c>
      <c r="C73" s="51">
        <f t="shared" si="10"/>
        <v>3.9575514448331424</v>
      </c>
      <c r="D73" s="51">
        <f t="shared" si="11"/>
        <v>4.3866835292126405</v>
      </c>
      <c r="E73" s="51">
        <f t="shared" si="12"/>
        <v>3.8145607956351402</v>
      </c>
      <c r="F73" s="51">
        <f t="shared" si="13"/>
        <v>4.0739349585733917</v>
      </c>
      <c r="G73" s="51">
        <f t="shared" si="14"/>
        <v>1.464464162042495</v>
      </c>
      <c r="I73" s="54"/>
      <c r="J73" s="55"/>
    </row>
    <row r="74" spans="1:10" s="1" customFormat="1" ht="16.5" customHeight="1">
      <c r="A74" s="2">
        <v>2034</v>
      </c>
      <c r="B74" s="50">
        <v>9</v>
      </c>
      <c r="C74" s="51">
        <f t="shared" si="10"/>
        <v>3.9575514448331424</v>
      </c>
      <c r="D74" s="51">
        <f t="shared" si="11"/>
        <v>4.3866835292126405</v>
      </c>
      <c r="E74" s="51">
        <f t="shared" si="12"/>
        <v>3.8145607956351402</v>
      </c>
      <c r="F74" s="51">
        <f t="shared" si="13"/>
        <v>4.0739349585733917</v>
      </c>
      <c r="G74" s="51">
        <f t="shared" si="14"/>
        <v>1.3265401572075222</v>
      </c>
      <c r="I74" s="54"/>
      <c r="J74" s="55"/>
    </row>
    <row r="75" spans="1:10" s="1" customFormat="1" ht="16.5" customHeight="1">
      <c r="A75" s="2">
        <v>2035</v>
      </c>
      <c r="B75" s="56">
        <v>10</v>
      </c>
      <c r="C75" s="51">
        <f t="shared" si="10"/>
        <v>3.9575514448331424</v>
      </c>
      <c r="D75" s="51">
        <f t="shared" si="11"/>
        <v>4.3866835292126405</v>
      </c>
      <c r="E75" s="51">
        <f t="shared" si="12"/>
        <v>3.8145607956351402</v>
      </c>
      <c r="F75" s="51">
        <f t="shared" si="13"/>
        <v>4.0739349585733917</v>
      </c>
      <c r="G75" s="51">
        <f t="shared" si="14"/>
        <v>1.1886161523725491</v>
      </c>
      <c r="I75" s="54"/>
      <c r="J75" s="55"/>
    </row>
    <row r="76" spans="1:10" s="1" customFormat="1" ht="16.5" customHeight="1">
      <c r="A76" s="2">
        <v>2036</v>
      </c>
      <c r="B76" s="56">
        <v>11</v>
      </c>
      <c r="C76" s="51">
        <f t="shared" si="10"/>
        <v>3.9575514448331424</v>
      </c>
      <c r="D76" s="51">
        <f t="shared" si="11"/>
        <v>4.3866835292126405</v>
      </c>
      <c r="E76" s="51">
        <f t="shared" si="12"/>
        <v>3.8145607956351402</v>
      </c>
      <c r="F76" s="51">
        <f t="shared" si="13"/>
        <v>4.0739349585733917</v>
      </c>
      <c r="G76" s="51">
        <f t="shared" si="14"/>
        <v>1.0506921475375763</v>
      </c>
      <c r="I76" s="54"/>
      <c r="J76" s="55"/>
    </row>
    <row r="77" spans="1:10" s="1" customFormat="1" ht="16.5" customHeight="1">
      <c r="A77" s="2">
        <v>2037</v>
      </c>
      <c r="B77" s="56">
        <v>12</v>
      </c>
      <c r="C77" s="51">
        <f t="shared" si="10"/>
        <v>3.9575514448331424</v>
      </c>
      <c r="D77" s="51">
        <f t="shared" si="11"/>
        <v>4.3866835292126405</v>
      </c>
      <c r="E77" s="51">
        <f t="shared" si="12"/>
        <v>3.8145607956351402</v>
      </c>
      <c r="F77" s="51">
        <f t="shared" si="13"/>
        <v>4.0739349585733917</v>
      </c>
      <c r="G77" s="51">
        <f t="shared" si="14"/>
        <v>0.91276814270260309</v>
      </c>
      <c r="I77" s="54"/>
      <c r="J77" s="55"/>
    </row>
    <row r="78" spans="1:10" s="1" customFormat="1" ht="16.5" customHeight="1">
      <c r="A78" s="2">
        <v>2038</v>
      </c>
      <c r="B78" s="50">
        <v>13</v>
      </c>
      <c r="C78" s="51">
        <f t="shared" si="10"/>
        <v>3.9575514448331424</v>
      </c>
      <c r="D78" s="51">
        <f t="shared" si="11"/>
        <v>4.3866835292126405</v>
      </c>
      <c r="E78" s="51">
        <f t="shared" si="12"/>
        <v>3.8145607956351402</v>
      </c>
      <c r="F78" s="51">
        <f t="shared" si="13"/>
        <v>4.0739349585733917</v>
      </c>
      <c r="G78" s="53">
        <f t="array" ref="G78">_xlfn.IFS(
TRIM(C8)="가스 콘덴싱보일러",C44/1000*J10,
TRIM(C8)="가스 일반보일러",D44/1000*J10,
TRIM(C8)="등유 보일러",E44/1000*J10,
TRIM(C8)="LPG 보일러",F44/1000*J10
)</f>
        <v>0.77484413786762996</v>
      </c>
      <c r="H78" s="54"/>
      <c r="I78" s="54"/>
      <c r="J78" s="55"/>
    </row>
    <row r="79" spans="1:10" s="1" customFormat="1" ht="16.5" customHeight="1">
      <c r="A79" s="2">
        <v>2039</v>
      </c>
      <c r="B79" s="56">
        <v>14</v>
      </c>
      <c r="C79" s="51">
        <f t="shared" si="10"/>
        <v>3.9575514448331424</v>
      </c>
      <c r="D79" s="51">
        <f t="shared" si="11"/>
        <v>4.3866835292126405</v>
      </c>
      <c r="E79" s="51">
        <f t="shared" si="12"/>
        <v>3.8145607956351402</v>
      </c>
      <c r="F79" s="51">
        <f t="shared" si="13"/>
        <v>4.0739349585733917</v>
      </c>
      <c r="G79" s="51">
        <f>G78-$G$78/12</f>
        <v>0.71027379304532745</v>
      </c>
      <c r="I79" s="54"/>
      <c r="J79" s="55"/>
    </row>
    <row r="80" spans="1:10" s="1" customFormat="1" ht="16.5" customHeight="1">
      <c r="A80" s="2">
        <v>2040</v>
      </c>
      <c r="B80" s="56">
        <v>15</v>
      </c>
      <c r="C80" s="51">
        <f t="shared" si="10"/>
        <v>3.9575514448331424</v>
      </c>
      <c r="D80" s="51">
        <f t="shared" si="11"/>
        <v>4.3866835292126405</v>
      </c>
      <c r="E80" s="51">
        <f t="shared" si="12"/>
        <v>3.8145607956351402</v>
      </c>
      <c r="F80" s="51">
        <f t="shared" si="13"/>
        <v>4.0739349585733917</v>
      </c>
      <c r="G80" s="51">
        <f>G79-$G$78/12</f>
        <v>0.64570344822302495</v>
      </c>
      <c r="I80" s="54"/>
      <c r="J80" s="55"/>
    </row>
    <row r="81" spans="2:7" s="1" customFormat="1" ht="16.5" customHeight="1">
      <c r="B81" s="57" t="s">
        <v>39</v>
      </c>
      <c r="C81" s="58">
        <f>SUM(C66:C80)</f>
        <v>59.363271672497142</v>
      </c>
      <c r="D81" s="58">
        <f>SUM(D66:D80)</f>
        <v>65.800252938189601</v>
      </c>
      <c r="E81" s="58">
        <f>SUM(E66:E80)</f>
        <v>57.218411934527083</v>
      </c>
      <c r="F81" s="58">
        <f>SUM(F66:F80)</f>
        <v>61.109024378600857</v>
      </c>
      <c r="G81" s="58">
        <f>SUM(G66:G80)</f>
        <v>22.187023410675437</v>
      </c>
    </row>
    <row r="84" spans="2:7" s="1" customFormat="1" ht="16.5" customHeight="1">
      <c r="B84" s="59" t="s">
        <v>83</v>
      </c>
      <c r="C84" s="60" t="s">
        <v>84</v>
      </c>
      <c r="D84" s="60" t="s">
        <v>85</v>
      </c>
      <c r="E84" s="61" t="s">
        <v>86</v>
      </c>
    </row>
    <row r="85" spans="2:7" s="1" customFormat="1" ht="16.5" customHeight="1">
      <c r="B85" s="62" t="s">
        <v>87</v>
      </c>
      <c r="C85" s="2" t="s">
        <v>88</v>
      </c>
      <c r="D85" s="27">
        <v>1</v>
      </c>
      <c r="E85" s="63">
        <f>10190/42.7</f>
        <v>238.64168618266979</v>
      </c>
    </row>
    <row r="86" spans="2:7" s="1" customFormat="1" ht="16.5" customHeight="1">
      <c r="B86" s="62" t="s">
        <v>64</v>
      </c>
      <c r="C86" s="2" t="s">
        <v>89</v>
      </c>
      <c r="D86" s="64">
        <v>36.6</v>
      </c>
      <c r="E86" s="65">
        <v>8740</v>
      </c>
    </row>
    <row r="87" spans="2:7" s="1" customFormat="1" ht="16.5" customHeight="1">
      <c r="B87" s="66" t="s">
        <v>90</v>
      </c>
      <c r="C87" s="67" t="s">
        <v>91</v>
      </c>
      <c r="D87" s="68">
        <v>50.2</v>
      </c>
      <c r="E87" s="69">
        <v>12000</v>
      </c>
    </row>
  </sheetData>
  <phoneticPr fontId="49" type="noConversion"/>
  <dataValidations count="2">
    <dataValidation type="list" allowBlank="1" showInputMessage="1" showErrorMessage="1" sqref="C8" xr:uid="{00000000-0002-0000-0000-000000000000}">
      <formula1>E8:H8</formula1>
      <formula2>0</formula2>
    </dataValidation>
    <dataValidation type="list" allowBlank="1" showInputMessage="1" showErrorMessage="1" sqref="C13" xr:uid="{00000000-0002-0000-0000-000001000000}">
      <formula1>$E$13:$G$13</formula1>
      <formula2>0</formula2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5B6E9CB-58BC-4D70-A520-FA2CA4756A93}">
          <x14:formula1>
            <xm:f>_xlfn.ANCHORARRAY(목록!$E$2)</xm:f>
          </x14:formula1>
          <xm:sqref>D19</xm:sqref>
        </x14:dataValidation>
        <x14:dataValidation type="list" allowBlank="1" showInputMessage="1" showErrorMessage="1" xr:uid="{3360ED83-CF17-4324-ABAC-B235C2A50895}">
          <x14:formula1>
            <xm:f>_xlfn.ANCHORARRAY(목록!$D$2)</xm:f>
          </x14:formula1>
          <xm:sqref>C19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workbookViewId="0"/>
  </sheetViews>
  <sheetFormatPr defaultColWidth="8.5" defaultRowHeight="16.5"/>
  <cols>
    <col min="1" max="1" width="14.25" style="1" customWidth="1"/>
    <col min="2" max="2" width="20.625" style="1" customWidth="1"/>
  </cols>
  <sheetData>
    <row r="1" spans="1:14" s="1" customFormat="1" ht="16.5" customHeight="1">
      <c r="A1" s="6" t="s">
        <v>92</v>
      </c>
      <c r="B1" s="6" t="s">
        <v>93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</row>
    <row r="2" spans="1:14" s="1" customFormat="1" ht="16.5" customHeight="1">
      <c r="A2" s="6" t="s">
        <v>94</v>
      </c>
      <c r="B2" s="6" t="s">
        <v>95</v>
      </c>
      <c r="C2" s="70">
        <v>0.205290240813082</v>
      </c>
      <c r="D2" s="70">
        <v>0.19690433532207599</v>
      </c>
      <c r="E2" s="70">
        <v>0.15276304325912199</v>
      </c>
      <c r="F2" s="70">
        <v>9.0096651719840395E-2</v>
      </c>
      <c r="G2" s="70">
        <v>4.8884172748526397E-2</v>
      </c>
      <c r="H2" s="70">
        <v>3.0832674692708398E-2</v>
      </c>
      <c r="I2" s="70">
        <v>1.9948258788286599E-2</v>
      </c>
      <c r="J2" s="70">
        <v>1.6926410373854801E-2</v>
      </c>
      <c r="K2" s="70">
        <v>2.3031186025169501E-2</v>
      </c>
      <c r="L2" s="70">
        <v>3.4657980388655502E-2</v>
      </c>
      <c r="M2" s="70">
        <v>6.7692398078732993E-2</v>
      </c>
      <c r="N2" s="70">
        <v>0.11297264778994601</v>
      </c>
    </row>
    <row r="3" spans="1:14" s="1" customFormat="1" ht="16.5" customHeight="1">
      <c r="A3" s="6" t="s">
        <v>42</v>
      </c>
      <c r="B3" s="6" t="s">
        <v>95</v>
      </c>
      <c r="C3" s="71">
        <v>0.19641921152213601</v>
      </c>
      <c r="D3" s="71">
        <v>0.19735821301093201</v>
      </c>
      <c r="E3" s="71">
        <v>0.155331375543662</v>
      </c>
      <c r="F3" s="71">
        <v>9.8205926523249498E-2</v>
      </c>
      <c r="G3" s="71">
        <v>4.9145957185706399E-2</v>
      </c>
      <c r="H3" s="71">
        <v>2.9024122390419599E-2</v>
      </c>
      <c r="I3" s="71">
        <v>1.7598115499647099E-2</v>
      </c>
      <c r="J3" s="71">
        <v>1.5418843589292601E-2</v>
      </c>
      <c r="K3" s="71">
        <v>2.0336869841967298E-2</v>
      </c>
      <c r="L3" s="71">
        <v>3.4673003935675899E-2</v>
      </c>
      <c r="M3" s="71">
        <v>6.9518548121628804E-2</v>
      </c>
      <c r="N3" s="71">
        <v>0.116969812835683</v>
      </c>
    </row>
    <row r="4" spans="1:14" s="1" customFormat="1" ht="16.5" customHeight="1">
      <c r="A4" s="6" t="s">
        <v>96</v>
      </c>
      <c r="B4" s="6" t="s">
        <v>97</v>
      </c>
      <c r="C4" s="71">
        <v>0.202965578813149</v>
      </c>
      <c r="D4" s="71">
        <v>0.191130908471075</v>
      </c>
      <c r="E4" s="71">
        <v>0.14071140299568499</v>
      </c>
      <c r="F4" s="71">
        <v>8.6687505207674098E-2</v>
      </c>
      <c r="G4" s="71">
        <v>5.1980963514948297E-2</v>
      </c>
      <c r="H4" s="71">
        <v>3.3865165454297901E-2</v>
      </c>
      <c r="I4" s="71">
        <v>2.4416421913175598E-2</v>
      </c>
      <c r="J4" s="71">
        <v>2.2288615928295501E-2</v>
      </c>
      <c r="K4" s="71">
        <v>2.91744677421652E-2</v>
      </c>
      <c r="L4" s="71">
        <v>4.0317695207713201E-2</v>
      </c>
      <c r="M4" s="71">
        <v>6.9694973617410894E-2</v>
      </c>
      <c r="N4" s="71">
        <v>0.10676630113441</v>
      </c>
    </row>
    <row r="5" spans="1:14" s="1" customFormat="1" ht="16.5" customHeight="1">
      <c r="A5" s="6" t="s">
        <v>98</v>
      </c>
      <c r="B5" s="6" t="s">
        <v>99</v>
      </c>
      <c r="C5" s="71">
        <v>0.2271183528531</v>
      </c>
      <c r="D5" s="71">
        <v>0.21775169060989499</v>
      </c>
      <c r="E5" s="71">
        <v>0.160648433160756</v>
      </c>
      <c r="F5" s="71">
        <v>9.9598217407877401E-2</v>
      </c>
      <c r="G5" s="71">
        <v>5.4080558959767697E-2</v>
      </c>
      <c r="H5" s="71">
        <v>3.2880614627286198E-2</v>
      </c>
      <c r="I5" s="71">
        <v>1.85935419428085E-2</v>
      </c>
      <c r="J5" s="71">
        <v>1.21464506478631E-2</v>
      </c>
      <c r="K5" s="71">
        <v>1.4277153578266999E-2</v>
      </c>
      <c r="L5" s="71">
        <v>2.0752133957666601E-2</v>
      </c>
      <c r="M5" s="71">
        <v>4.5812526707679699E-2</v>
      </c>
      <c r="N5" s="71">
        <v>9.6340325547033395E-2</v>
      </c>
    </row>
    <row r="6" spans="1:14" s="1" customFormat="1" ht="16.5" customHeight="1">
      <c r="A6" s="6" t="s">
        <v>100</v>
      </c>
      <c r="B6" s="6" t="s">
        <v>101</v>
      </c>
      <c r="C6" s="71">
        <v>0.20927893408395001</v>
      </c>
      <c r="D6" s="71">
        <v>0.220339792409805</v>
      </c>
      <c r="E6" s="71">
        <v>0.16379592183021899</v>
      </c>
      <c r="F6" s="71">
        <v>9.3855063364575594E-2</v>
      </c>
      <c r="G6" s="71">
        <v>4.7895289976109402E-2</v>
      </c>
      <c r="H6" s="71">
        <v>2.7918998430707598E-2</v>
      </c>
      <c r="I6" s="71">
        <v>1.2901022686551101E-2</v>
      </c>
      <c r="J6" s="71">
        <v>1.04218647859284E-2</v>
      </c>
      <c r="K6" s="71">
        <v>1.1187487078767801E-2</v>
      </c>
      <c r="L6" s="71">
        <v>2.49021599170225E-2</v>
      </c>
      <c r="M6" s="71">
        <v>5.9573289104149302E-2</v>
      </c>
      <c r="N6" s="71">
        <v>0.117930176332214</v>
      </c>
    </row>
    <row r="7" spans="1:14" s="1" customFormat="1" ht="16.5" customHeight="1">
      <c r="A7" s="6" t="s">
        <v>102</v>
      </c>
      <c r="B7" s="6" t="s">
        <v>103</v>
      </c>
      <c r="C7" s="71">
        <v>0.24781327365563499</v>
      </c>
      <c r="D7" s="71">
        <v>0.19161389581782701</v>
      </c>
      <c r="E7" s="71">
        <v>0.144604591206524</v>
      </c>
      <c r="F7" s="71">
        <v>8.1635570950837497E-2</v>
      </c>
      <c r="G7" s="71">
        <v>4.1774101071261699E-2</v>
      </c>
      <c r="H7" s="71">
        <v>3.7878720238627601E-2</v>
      </c>
      <c r="I7" s="71">
        <v>2.3204858461326399E-2</v>
      </c>
      <c r="J7" s="71">
        <v>2.3242677692711201E-2</v>
      </c>
      <c r="K7" s="71">
        <v>2.71694556230987E-2</v>
      </c>
      <c r="L7" s="71">
        <v>2.9061844333145501E-2</v>
      </c>
      <c r="M7" s="71">
        <v>5.6223188171464503E-2</v>
      </c>
      <c r="N7" s="71">
        <v>9.57778227775411E-2</v>
      </c>
    </row>
    <row r="8" spans="1:14" s="1" customFormat="1" ht="16.5" customHeight="1">
      <c r="A8" s="6" t="s">
        <v>104</v>
      </c>
      <c r="B8" s="6" t="s">
        <v>105</v>
      </c>
      <c r="C8" s="71">
        <v>0.20506540950215699</v>
      </c>
      <c r="D8" s="71">
        <v>0.201021714238417</v>
      </c>
      <c r="E8" s="71">
        <v>0.17234340177584401</v>
      </c>
      <c r="F8" s="71">
        <v>9.4209632107404503E-2</v>
      </c>
      <c r="G8" s="71">
        <v>4.99684135310971E-2</v>
      </c>
      <c r="H8" s="71">
        <v>2.5493415882147701E-2</v>
      </c>
      <c r="I8" s="71">
        <v>1.1766134592084801E-2</v>
      </c>
      <c r="J8" s="71">
        <v>9.5314608937024509E-3</v>
      </c>
      <c r="K8" s="71">
        <v>1.9906731636191902E-2</v>
      </c>
      <c r="L8" s="71">
        <v>2.6903388572793702E-2</v>
      </c>
      <c r="M8" s="71">
        <v>6.1567434156034002E-2</v>
      </c>
      <c r="N8" s="71">
        <v>0.122222863112126</v>
      </c>
    </row>
    <row r="9" spans="1:14" s="1" customFormat="1" ht="16.5" customHeight="1">
      <c r="A9" s="6" t="s">
        <v>106</v>
      </c>
      <c r="B9" s="6" t="s">
        <v>107</v>
      </c>
      <c r="C9" s="71">
        <v>0.20974002744717599</v>
      </c>
      <c r="D9" s="71">
        <v>0.21558494708860401</v>
      </c>
      <c r="E9" s="71">
        <v>0.16585522095906999</v>
      </c>
      <c r="F9" s="71">
        <v>9.4119212682297795E-2</v>
      </c>
      <c r="G9" s="71">
        <v>5.48017477719209E-2</v>
      </c>
      <c r="H9" s="71">
        <v>3.4743772171826101E-2</v>
      </c>
      <c r="I9" s="71">
        <v>1.5642269077456899E-2</v>
      </c>
      <c r="J9" s="71">
        <v>9.4328974794634698E-3</v>
      </c>
      <c r="K9" s="71">
        <v>1.58722020190675E-2</v>
      </c>
      <c r="L9" s="71">
        <v>2.3724661372410898E-2</v>
      </c>
      <c r="M9" s="71">
        <v>5.4514292707588299E-2</v>
      </c>
      <c r="N9" s="71">
        <v>0.105968749223118</v>
      </c>
    </row>
    <row r="10" spans="1:14" s="1" customFormat="1" ht="16.5" customHeight="1">
      <c r="A10" s="6" t="s">
        <v>108</v>
      </c>
      <c r="B10" s="6" t="s">
        <v>109</v>
      </c>
      <c r="C10" s="71">
        <v>0.18966287139541299</v>
      </c>
      <c r="D10" s="71">
        <v>0.17164657062555899</v>
      </c>
      <c r="E10" s="71">
        <v>0.118598573914324</v>
      </c>
      <c r="F10" s="71">
        <v>8.1765247895957197E-2</v>
      </c>
      <c r="G10" s="71">
        <v>5.2738985544526801E-2</v>
      </c>
      <c r="H10" s="71">
        <v>3.1319605740367698E-2</v>
      </c>
      <c r="I10" s="71">
        <v>1.5905659526159799E-2</v>
      </c>
      <c r="J10" s="71">
        <v>1.37036672098444E-2</v>
      </c>
      <c r="K10" s="71">
        <v>3.5923771492663598E-2</v>
      </c>
      <c r="L10" s="71">
        <v>6.2748041527778603E-2</v>
      </c>
      <c r="M10" s="71">
        <v>9.3575933956194401E-2</v>
      </c>
      <c r="N10" s="71">
        <v>0.13241107117121201</v>
      </c>
    </row>
    <row r="11" spans="1:14" s="1" customFormat="1" ht="16.5" customHeight="1">
      <c r="A11" s="6" t="s">
        <v>110</v>
      </c>
      <c r="B11" s="6" t="s">
        <v>111</v>
      </c>
      <c r="C11" s="71">
        <v>0.202652811113675</v>
      </c>
      <c r="D11" s="71">
        <v>0.19655864031919201</v>
      </c>
      <c r="E11" s="71">
        <v>0.15868242912239899</v>
      </c>
      <c r="F11" s="71">
        <v>7.9792199252748594E-2</v>
      </c>
      <c r="G11" s="71">
        <v>4.3627505979542201E-2</v>
      </c>
      <c r="H11" s="71">
        <v>2.8448588250069799E-2</v>
      </c>
      <c r="I11" s="71">
        <v>2.23628335539321E-2</v>
      </c>
      <c r="J11" s="71">
        <v>1.8622825498283899E-2</v>
      </c>
      <c r="K11" s="71">
        <v>2.21123626886763E-2</v>
      </c>
      <c r="L11" s="71">
        <v>3.4560079174174203E-2</v>
      </c>
      <c r="M11" s="71">
        <v>7.7122924743395105E-2</v>
      </c>
      <c r="N11" s="71">
        <v>0.115456800303912</v>
      </c>
    </row>
    <row r="12" spans="1:14" s="1" customFormat="1" ht="16.5" customHeight="1">
      <c r="A12" s="6" t="s">
        <v>112</v>
      </c>
      <c r="B12" s="6" t="s">
        <v>113</v>
      </c>
      <c r="C12" s="71">
        <v>0.20253037914500499</v>
      </c>
      <c r="D12" s="71">
        <v>0.240619939313232</v>
      </c>
      <c r="E12" s="71">
        <v>0.14477451913932099</v>
      </c>
      <c r="F12" s="71">
        <v>0.1244614345179</v>
      </c>
      <c r="G12" s="71">
        <v>4.5634538972084901E-2</v>
      </c>
      <c r="H12" s="71">
        <v>9.0103505800293807E-3</v>
      </c>
      <c r="I12" s="71">
        <v>2.4260323064469701E-2</v>
      </c>
      <c r="J12" s="71">
        <v>1.59430749831613E-2</v>
      </c>
      <c r="K12" s="71">
        <v>1.53165022236946E-2</v>
      </c>
      <c r="L12" s="71">
        <v>2.5281030301665501E-2</v>
      </c>
      <c r="M12" s="71">
        <v>5.6852212568989299E-2</v>
      </c>
      <c r="N12" s="71">
        <v>9.5315695190447206E-2</v>
      </c>
    </row>
    <row r="13" spans="1:14" s="1" customFormat="1" ht="16.5" customHeight="1">
      <c r="A13" s="6" t="s">
        <v>114</v>
      </c>
      <c r="B13" s="6" t="s">
        <v>115</v>
      </c>
      <c r="C13" s="71">
        <v>0.20021253334828401</v>
      </c>
      <c r="D13" s="71">
        <v>0.172862160429675</v>
      </c>
      <c r="E13" s="71">
        <v>0.112982301422762</v>
      </c>
      <c r="F13" s="71">
        <v>6.7184974854792703E-2</v>
      </c>
      <c r="G13" s="71">
        <v>3.9718217370572302E-2</v>
      </c>
      <c r="H13" s="71">
        <v>2.7905183961045299E-2</v>
      </c>
      <c r="I13" s="71">
        <v>1.94673029542402E-2</v>
      </c>
      <c r="J13" s="71">
        <v>1.7488765338851499E-2</v>
      </c>
      <c r="K13" s="71">
        <v>4.6934060438460698E-2</v>
      </c>
      <c r="L13" s="71">
        <v>6.7766897682848298E-2</v>
      </c>
      <c r="M13" s="71">
        <v>9.9539884094679495E-2</v>
      </c>
      <c r="N13" s="71">
        <v>0.12793771810378901</v>
      </c>
    </row>
    <row r="14" spans="1:14" s="1" customFormat="1" ht="16.5" customHeight="1">
      <c r="A14" s="6" t="s">
        <v>116</v>
      </c>
      <c r="B14" s="6" t="s">
        <v>117</v>
      </c>
      <c r="C14" s="71">
        <v>0.20197157222700399</v>
      </c>
      <c r="D14" s="71">
        <v>0.185171068266855</v>
      </c>
      <c r="E14" s="71">
        <v>0.118503613915902</v>
      </c>
      <c r="F14" s="71">
        <v>8.3757117089230504E-2</v>
      </c>
      <c r="G14" s="71">
        <v>4.9239718043834098E-2</v>
      </c>
      <c r="H14" s="71">
        <v>2.3580766541061601E-2</v>
      </c>
      <c r="I14" s="71">
        <v>1.6096905686086301E-2</v>
      </c>
      <c r="J14" s="71">
        <v>1.15913159876828E-2</v>
      </c>
      <c r="K14" s="71">
        <v>2.7534824543803599E-2</v>
      </c>
      <c r="L14" s="71">
        <v>4.40072378542255E-2</v>
      </c>
      <c r="M14" s="71">
        <v>8.2320306312840597E-2</v>
      </c>
      <c r="N14" s="71">
        <v>0.15622555353147499</v>
      </c>
    </row>
    <row r="15" spans="1:14" s="1" customFormat="1" ht="16.5" customHeight="1">
      <c r="A15" s="6" t="s">
        <v>118</v>
      </c>
      <c r="B15" s="6" t="s">
        <v>119</v>
      </c>
      <c r="C15" s="71">
        <v>0.18512214934004201</v>
      </c>
      <c r="D15" s="71">
        <v>0.17016871166543099</v>
      </c>
      <c r="E15" s="71">
        <v>0.14631513172757299</v>
      </c>
      <c r="F15" s="71">
        <v>6.87310633116026E-2</v>
      </c>
      <c r="G15" s="71">
        <v>4.5326985508252697E-2</v>
      </c>
      <c r="H15" s="71">
        <v>3.5348038122189299E-2</v>
      </c>
      <c r="I15" s="71">
        <v>2.5548891589928801E-2</v>
      </c>
      <c r="J15" s="71">
        <v>2.6028360533403301E-2</v>
      </c>
      <c r="K15" s="71">
        <v>4.0981798208014897E-2</v>
      </c>
      <c r="L15" s="71">
        <v>5.5251653391281297E-2</v>
      </c>
      <c r="M15" s="71">
        <v>7.7684919666393307E-2</v>
      </c>
      <c r="N15" s="71">
        <v>0.12349229693588799</v>
      </c>
    </row>
    <row r="16" spans="1:14" s="1" customFormat="1" ht="16.5" customHeight="1">
      <c r="A16" s="6" t="s">
        <v>120</v>
      </c>
      <c r="B16" s="6" t="s">
        <v>121</v>
      </c>
      <c r="C16" s="71">
        <v>0.25461522802861197</v>
      </c>
      <c r="D16" s="71">
        <v>0.165774747645482</v>
      </c>
      <c r="E16" s="71">
        <v>0.13369120110932001</v>
      </c>
      <c r="F16" s="71">
        <v>9.7617568836426E-2</v>
      </c>
      <c r="G16" s="71">
        <v>4.1267786595247102E-2</v>
      </c>
      <c r="H16" s="71">
        <v>3.4264778975678603E-2</v>
      </c>
      <c r="I16" s="71">
        <v>3.0030402275474401E-2</v>
      </c>
      <c r="J16" s="71">
        <v>2.9460390027370002E-2</v>
      </c>
      <c r="K16" s="71">
        <v>2.2375952086643801E-2</v>
      </c>
      <c r="L16" s="71">
        <v>3.4183348654520801E-2</v>
      </c>
      <c r="M16" s="71">
        <v>6.2358239775110298E-2</v>
      </c>
      <c r="N16" s="71">
        <v>9.4360355990115094E-2</v>
      </c>
    </row>
    <row r="17" spans="1:14" s="1" customFormat="1" ht="16.5" customHeight="1">
      <c r="A17" s="6" t="s">
        <v>122</v>
      </c>
      <c r="B17" s="6" t="s">
        <v>123</v>
      </c>
      <c r="C17" s="71">
        <v>0.20700978630783101</v>
      </c>
      <c r="D17" s="71">
        <v>0.206128221938679</v>
      </c>
      <c r="E17" s="71">
        <v>0.14580887529559</v>
      </c>
      <c r="F17" s="71">
        <v>9.6034394760426106E-2</v>
      </c>
      <c r="G17" s="71">
        <v>5.6770874011298697E-2</v>
      </c>
      <c r="H17" s="71">
        <v>3.4867390070075603E-2</v>
      </c>
      <c r="I17" s="71">
        <v>2.02537653352967E-2</v>
      </c>
      <c r="J17" s="71">
        <v>1.49643791203883E-2</v>
      </c>
      <c r="K17" s="71">
        <v>1.8126850018377699E-2</v>
      </c>
      <c r="L17" s="71">
        <v>3.4428020648911997E-2</v>
      </c>
      <c r="M17" s="71">
        <v>5.4945583682863397E-2</v>
      </c>
      <c r="N17" s="71">
        <v>0.110661858810262</v>
      </c>
    </row>
    <row r="18" spans="1:14" s="1" customFormat="1" ht="16.5" customHeight="1">
      <c r="A18" s="6" t="s">
        <v>124</v>
      </c>
      <c r="B18" s="6" t="s">
        <v>125</v>
      </c>
      <c r="C18" s="71">
        <v>0.19463922550399301</v>
      </c>
      <c r="D18" s="71">
        <v>0.18326947687731199</v>
      </c>
      <c r="E18" s="71">
        <v>0.149160230997268</v>
      </c>
      <c r="F18" s="71">
        <v>9.8048516987415804E-2</v>
      </c>
      <c r="G18" s="71">
        <v>5.7498152045925899E-2</v>
      </c>
      <c r="H18" s="71">
        <v>3.7895124140150803E-2</v>
      </c>
      <c r="I18" s="71">
        <v>2.4094507837401899E-2</v>
      </c>
      <c r="J18" s="71">
        <v>2.2064249573124101E-2</v>
      </c>
      <c r="K18" s="71">
        <v>2.9183003233946202E-2</v>
      </c>
      <c r="L18" s="71">
        <v>3.5633570630575498E-2</v>
      </c>
      <c r="M18" s="71">
        <v>6.7321019236328605E-2</v>
      </c>
      <c r="N18" s="71">
        <v>0.101192922936558</v>
      </c>
    </row>
    <row r="19" spans="1:14" s="1" customFormat="1" ht="16.5" customHeight="1">
      <c r="A19" s="6" t="s">
        <v>126</v>
      </c>
      <c r="B19" s="6" t="s">
        <v>127</v>
      </c>
      <c r="C19" s="71">
        <v>0.17281165713725</v>
      </c>
      <c r="D19" s="71">
        <v>0.201727452980526</v>
      </c>
      <c r="E19" s="71">
        <v>8.4136549884535505E-2</v>
      </c>
      <c r="F19" s="71">
        <v>5.71484737641441E-2</v>
      </c>
      <c r="G19" s="71">
        <v>5.3293034318373997E-2</v>
      </c>
      <c r="H19" s="71">
        <v>5.3293034318373997E-2</v>
      </c>
      <c r="I19" s="71">
        <v>2.8232677920867699E-2</v>
      </c>
      <c r="J19" s="71">
        <v>2.6304958197982599E-2</v>
      </c>
      <c r="K19" s="71">
        <v>3.4015837089523E-2</v>
      </c>
      <c r="L19" s="71">
        <v>2.8232677920867699E-2</v>
      </c>
      <c r="M19" s="71">
        <v>9.3775148498960903E-2</v>
      </c>
      <c r="N19" s="71">
        <v>0.16702849796859501</v>
      </c>
    </row>
  </sheetData>
  <phoneticPr fontId="49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9"/>
  <sheetViews>
    <sheetView workbookViewId="0"/>
  </sheetViews>
  <sheetFormatPr defaultColWidth="8.5" defaultRowHeight="16.5"/>
  <sheetData>
    <row r="1" spans="1:5" s="1" customFormat="1" ht="16.5" customHeight="1">
      <c r="A1" s="6" t="s">
        <v>128</v>
      </c>
      <c r="B1" s="6" t="s">
        <v>129</v>
      </c>
    </row>
    <row r="2" spans="1:5" s="1" customFormat="1" ht="16.5" customHeight="1">
      <c r="A2" s="6" t="s">
        <v>42</v>
      </c>
      <c r="B2" s="6" t="s">
        <v>130</v>
      </c>
      <c r="D2" s="2" t="str" cm="1">
        <f t="array" ref="D2:D18">_xlfn._xlws.SORT(_xlfn.UNIQUE(A2:A229))</f>
        <v>강원도</v>
      </c>
      <c r="E2" s="2" t="str" cm="1">
        <f t="array" ref="E2:E15">_xlfn._xlws.SORT(_xlfn._xlws.FILTER($B$2:$B$229,$A$2:$A$229=Sheet2!$C$19,""))</f>
        <v>고창군</v>
      </c>
    </row>
    <row r="3" spans="1:5" s="1" customFormat="1" ht="16.5" customHeight="1">
      <c r="A3" s="6" t="s">
        <v>42</v>
      </c>
      <c r="B3" s="6" t="s">
        <v>131</v>
      </c>
      <c r="D3" s="2" t="str">
        <v>경기도</v>
      </c>
      <c r="E3" s="2" t="str">
        <v>군산시</v>
      </c>
    </row>
    <row r="4" spans="1:5" s="1" customFormat="1" ht="16.5" customHeight="1">
      <c r="A4" s="6" t="s">
        <v>42</v>
      </c>
      <c r="B4" s="6" t="s">
        <v>132</v>
      </c>
      <c r="D4" s="2" t="str">
        <v>경상남도</v>
      </c>
      <c r="E4" s="2" t="str">
        <v>김제시</v>
      </c>
    </row>
    <row r="5" spans="1:5" s="1" customFormat="1" ht="16.5" customHeight="1">
      <c r="A5" s="6" t="s">
        <v>42</v>
      </c>
      <c r="B5" s="6" t="s">
        <v>133</v>
      </c>
      <c r="D5" s="2" t="str">
        <v>경상북도</v>
      </c>
      <c r="E5" s="2" t="str">
        <v>남원시</v>
      </c>
    </row>
    <row r="6" spans="1:5" s="1" customFormat="1" ht="16.5" customHeight="1">
      <c r="A6" s="6" t="s">
        <v>42</v>
      </c>
      <c r="B6" s="6" t="s">
        <v>134</v>
      </c>
      <c r="D6" s="2" t="str">
        <v>광주광역시</v>
      </c>
      <c r="E6" s="2" t="str">
        <v>무주군</v>
      </c>
    </row>
    <row r="7" spans="1:5" s="1" customFormat="1" ht="16.5" customHeight="1">
      <c r="A7" s="6" t="s">
        <v>42</v>
      </c>
      <c r="B7" s="6" t="s">
        <v>135</v>
      </c>
      <c r="D7" s="2" t="str">
        <v>대구광역시</v>
      </c>
      <c r="E7" s="2" t="str">
        <v>부안군</v>
      </c>
    </row>
    <row r="8" spans="1:5" s="1" customFormat="1" ht="16.5" customHeight="1">
      <c r="A8" s="6" t="s">
        <v>42</v>
      </c>
      <c r="B8" s="6" t="s">
        <v>136</v>
      </c>
      <c r="D8" s="2" t="str">
        <v>대전광역시</v>
      </c>
      <c r="E8" s="2" t="str">
        <v>순창군</v>
      </c>
    </row>
    <row r="9" spans="1:5" s="1" customFormat="1" ht="16.5" customHeight="1">
      <c r="A9" s="6" t="s">
        <v>42</v>
      </c>
      <c r="B9" s="6" t="s">
        <v>137</v>
      </c>
      <c r="D9" s="2" t="str">
        <v>부산광역시</v>
      </c>
      <c r="E9" s="2" t="str">
        <v>완주군</v>
      </c>
    </row>
    <row r="10" spans="1:5" s="1" customFormat="1" ht="16.5" customHeight="1">
      <c r="A10" s="6" t="s">
        <v>42</v>
      </c>
      <c r="B10" s="6" t="s">
        <v>138</v>
      </c>
      <c r="D10" s="2" t="str">
        <v>서울특별시</v>
      </c>
      <c r="E10" s="2" t="str">
        <v>익산시</v>
      </c>
    </row>
    <row r="11" spans="1:5" s="1" customFormat="1" ht="16.5" customHeight="1">
      <c r="A11" s="6" t="s">
        <v>42</v>
      </c>
      <c r="B11" s="6" t="s">
        <v>139</v>
      </c>
      <c r="D11" s="2" t="str">
        <v>세종특별자치시</v>
      </c>
      <c r="E11" s="2" t="str">
        <v>임실군</v>
      </c>
    </row>
    <row r="12" spans="1:5" s="1" customFormat="1" ht="16.5" customHeight="1">
      <c r="A12" s="6" t="s">
        <v>42</v>
      </c>
      <c r="B12" s="6" t="s">
        <v>140</v>
      </c>
      <c r="D12" s="2" t="str">
        <v>울산광역시</v>
      </c>
      <c r="E12" s="2" t="str">
        <v>장수군</v>
      </c>
    </row>
    <row r="13" spans="1:5" s="1" customFormat="1" ht="16.5" customHeight="1">
      <c r="A13" s="6" t="s">
        <v>42</v>
      </c>
      <c r="B13" s="6" t="s">
        <v>141</v>
      </c>
      <c r="D13" s="2" t="str">
        <v>인천광역시</v>
      </c>
      <c r="E13" s="2" t="str">
        <v>전주시</v>
      </c>
    </row>
    <row r="14" spans="1:5" s="1" customFormat="1" ht="16.5" customHeight="1">
      <c r="A14" s="6" t="s">
        <v>42</v>
      </c>
      <c r="B14" s="6" t="s">
        <v>142</v>
      </c>
      <c r="D14" s="2" t="str">
        <v>전라남도</v>
      </c>
      <c r="E14" s="2" t="str">
        <v>정읍시</v>
      </c>
    </row>
    <row r="15" spans="1:5" s="1" customFormat="1" ht="16.5" customHeight="1">
      <c r="A15" s="6" t="s">
        <v>42</v>
      </c>
      <c r="B15" s="6" t="s">
        <v>143</v>
      </c>
      <c r="D15" s="2" t="str">
        <v>전라북도</v>
      </c>
      <c r="E15" s="2" t="str">
        <v>진안군</v>
      </c>
    </row>
    <row r="16" spans="1:5" s="1" customFormat="1" ht="16.5" customHeight="1">
      <c r="A16" s="6" t="s">
        <v>42</v>
      </c>
      <c r="B16" s="6" t="s">
        <v>144</v>
      </c>
      <c r="D16" s="2" t="str">
        <v>제주특별자치도</v>
      </c>
      <c r="E16" s="2"/>
    </row>
    <row r="17" spans="1:5" s="1" customFormat="1" ht="16.5" customHeight="1">
      <c r="A17" s="6" t="s">
        <v>42</v>
      </c>
      <c r="B17" s="6" t="s">
        <v>145</v>
      </c>
      <c r="D17" s="2" t="str">
        <v>충청남도</v>
      </c>
      <c r="E17" s="2"/>
    </row>
    <row r="18" spans="1:5" s="1" customFormat="1" ht="16.5" customHeight="1">
      <c r="A18" s="6" t="s">
        <v>42</v>
      </c>
      <c r="B18" s="6" t="s">
        <v>146</v>
      </c>
      <c r="D18" s="2" t="str">
        <v>충청북도</v>
      </c>
      <c r="E18" s="2"/>
    </row>
    <row r="19" spans="1:5" s="1" customFormat="1" ht="16.5" customHeight="1">
      <c r="A19" s="6" t="s">
        <v>42</v>
      </c>
      <c r="B19" s="6" t="s">
        <v>147</v>
      </c>
      <c r="E19" s="2"/>
    </row>
    <row r="20" spans="1:5" s="1" customFormat="1" ht="16.5" customHeight="1">
      <c r="A20" s="6" t="s">
        <v>42</v>
      </c>
      <c r="B20" s="6" t="s">
        <v>148</v>
      </c>
      <c r="E20"/>
    </row>
    <row r="21" spans="1:5" s="1" customFormat="1" ht="16.5" customHeight="1">
      <c r="A21" s="6" t="s">
        <v>42</v>
      </c>
      <c r="B21" s="6" t="s">
        <v>149</v>
      </c>
      <c r="E21"/>
    </row>
    <row r="22" spans="1:5" s="1" customFormat="1" ht="16.5" customHeight="1">
      <c r="A22" s="6" t="s">
        <v>42</v>
      </c>
      <c r="B22" s="6" t="s">
        <v>150</v>
      </c>
      <c r="E22"/>
    </row>
    <row r="23" spans="1:5" s="1" customFormat="1" ht="16.5" customHeight="1">
      <c r="A23" s="6" t="s">
        <v>42</v>
      </c>
      <c r="B23" s="6" t="s">
        <v>151</v>
      </c>
      <c r="E23"/>
    </row>
    <row r="24" spans="1:5" s="1" customFormat="1" ht="16.5" customHeight="1">
      <c r="A24" s="6" t="s">
        <v>42</v>
      </c>
      <c r="B24" s="6" t="s">
        <v>43</v>
      </c>
      <c r="E24"/>
    </row>
    <row r="25" spans="1:5" s="1" customFormat="1" ht="16.5" customHeight="1">
      <c r="A25" s="6" t="s">
        <v>42</v>
      </c>
      <c r="B25" s="6" t="s">
        <v>152</v>
      </c>
      <c r="E25"/>
    </row>
    <row r="26" spans="1:5" s="1" customFormat="1" ht="16.5" customHeight="1">
      <c r="A26" s="6" t="s">
        <v>42</v>
      </c>
      <c r="B26" s="6" t="s">
        <v>153</v>
      </c>
      <c r="E26"/>
    </row>
    <row r="27" spans="1:5" s="1" customFormat="1" ht="16.5" customHeight="1">
      <c r="A27" s="6" t="s">
        <v>154</v>
      </c>
      <c r="B27" s="6" t="s">
        <v>155</v>
      </c>
    </row>
    <row r="28" spans="1:5" s="1" customFormat="1" ht="16.5" customHeight="1">
      <c r="A28" s="6" t="s">
        <v>154</v>
      </c>
      <c r="B28" s="6" t="s">
        <v>156</v>
      </c>
    </row>
    <row r="29" spans="1:5" s="1" customFormat="1" ht="16.5" customHeight="1">
      <c r="A29" s="6" t="s">
        <v>154</v>
      </c>
      <c r="B29" s="6" t="s">
        <v>157</v>
      </c>
    </row>
    <row r="30" spans="1:5" s="1" customFormat="1" ht="16.5" customHeight="1">
      <c r="A30" s="6" t="s">
        <v>154</v>
      </c>
      <c r="B30" s="6" t="s">
        <v>158</v>
      </c>
    </row>
    <row r="31" spans="1:5" s="1" customFormat="1" ht="16.5" customHeight="1">
      <c r="A31" s="6" t="s">
        <v>154</v>
      </c>
      <c r="B31" s="6" t="s">
        <v>159</v>
      </c>
    </row>
    <row r="32" spans="1:5" s="1" customFormat="1" ht="16.5" customHeight="1">
      <c r="A32" s="6" t="s">
        <v>154</v>
      </c>
      <c r="B32" s="6" t="s">
        <v>160</v>
      </c>
    </row>
    <row r="33" spans="1:2" s="1" customFormat="1" ht="16.5" customHeight="1">
      <c r="A33" s="6" t="s">
        <v>154</v>
      </c>
      <c r="B33" s="6" t="s">
        <v>161</v>
      </c>
    </row>
    <row r="34" spans="1:2" s="1" customFormat="1" ht="16.5" customHeight="1">
      <c r="A34" s="6" t="s">
        <v>154</v>
      </c>
      <c r="B34" s="6" t="s">
        <v>162</v>
      </c>
    </row>
    <row r="35" spans="1:2" s="1" customFormat="1" ht="16.5" customHeight="1">
      <c r="A35" s="6" t="s">
        <v>154</v>
      </c>
      <c r="B35" s="6" t="s">
        <v>163</v>
      </c>
    </row>
    <row r="36" spans="1:2" s="1" customFormat="1" ht="16.5" customHeight="1">
      <c r="A36" s="6" t="s">
        <v>154</v>
      </c>
      <c r="B36" s="6" t="s">
        <v>164</v>
      </c>
    </row>
    <row r="37" spans="1:2" s="1" customFormat="1" ht="16.5" customHeight="1">
      <c r="A37" s="6" t="s">
        <v>154</v>
      </c>
      <c r="B37" s="6" t="s">
        <v>165</v>
      </c>
    </row>
    <row r="38" spans="1:2" s="1" customFormat="1" ht="16.5" customHeight="1">
      <c r="A38" s="6" t="s">
        <v>154</v>
      </c>
      <c r="B38" s="6" t="s">
        <v>166</v>
      </c>
    </row>
    <row r="39" spans="1:2" s="1" customFormat="1" ht="16.5" customHeight="1">
      <c r="A39" s="6" t="s">
        <v>154</v>
      </c>
      <c r="B39" s="6" t="s">
        <v>167</v>
      </c>
    </row>
    <row r="40" spans="1:2" s="1" customFormat="1" ht="16.5" customHeight="1">
      <c r="A40" s="6" t="s">
        <v>154</v>
      </c>
      <c r="B40" s="6" t="s">
        <v>168</v>
      </c>
    </row>
    <row r="41" spans="1:2" s="1" customFormat="1" ht="16.5" customHeight="1">
      <c r="A41" s="6" t="s">
        <v>154</v>
      </c>
      <c r="B41" s="6" t="s">
        <v>169</v>
      </c>
    </row>
    <row r="42" spans="1:2" s="1" customFormat="1" ht="16.5" customHeight="1">
      <c r="A42" s="6" t="s">
        <v>154</v>
      </c>
      <c r="B42" s="6" t="s">
        <v>170</v>
      </c>
    </row>
    <row r="43" spans="1:2" s="1" customFormat="1" ht="16.5" customHeight="1">
      <c r="A43" s="6" t="s">
        <v>154</v>
      </c>
      <c r="B43" s="6" t="s">
        <v>171</v>
      </c>
    </row>
    <row r="44" spans="1:2" s="1" customFormat="1" ht="16.5" customHeight="1">
      <c r="A44" s="6" t="s">
        <v>154</v>
      </c>
      <c r="B44" s="6" t="s">
        <v>172</v>
      </c>
    </row>
    <row r="45" spans="1:2" s="1" customFormat="1" ht="16.5" customHeight="1">
      <c r="A45" s="6" t="s">
        <v>110</v>
      </c>
      <c r="B45" s="6" t="s">
        <v>173</v>
      </c>
    </row>
    <row r="46" spans="1:2" s="1" customFormat="1" ht="16.5" customHeight="1">
      <c r="A46" s="6" t="s">
        <v>110</v>
      </c>
      <c r="B46" s="6" t="s">
        <v>174</v>
      </c>
    </row>
    <row r="47" spans="1:2" s="1" customFormat="1" ht="16.5" customHeight="1">
      <c r="A47" s="6" t="s">
        <v>110</v>
      </c>
      <c r="B47" s="6" t="s">
        <v>175</v>
      </c>
    </row>
    <row r="48" spans="1:2" s="1" customFormat="1" ht="16.5" customHeight="1">
      <c r="A48" s="6" t="s">
        <v>110</v>
      </c>
      <c r="B48" s="6" t="s">
        <v>176</v>
      </c>
    </row>
    <row r="49" spans="1:2" s="1" customFormat="1" ht="16.5" customHeight="1">
      <c r="A49" s="6" t="s">
        <v>110</v>
      </c>
      <c r="B49" s="6" t="s">
        <v>177</v>
      </c>
    </row>
    <row r="50" spans="1:2" s="1" customFormat="1" ht="16.5" customHeight="1">
      <c r="A50" s="6" t="s">
        <v>110</v>
      </c>
      <c r="B50" s="6" t="s">
        <v>178</v>
      </c>
    </row>
    <row r="51" spans="1:2" s="1" customFormat="1" ht="16.5" customHeight="1">
      <c r="A51" s="6" t="s">
        <v>110</v>
      </c>
      <c r="B51" s="6" t="s">
        <v>179</v>
      </c>
    </row>
    <row r="52" spans="1:2" s="1" customFormat="1" ht="16.5" customHeight="1">
      <c r="A52" s="6" t="s">
        <v>110</v>
      </c>
      <c r="B52" s="6" t="s">
        <v>180</v>
      </c>
    </row>
    <row r="53" spans="1:2" s="1" customFormat="1" ht="16.5" customHeight="1">
      <c r="A53" s="6" t="s">
        <v>110</v>
      </c>
      <c r="B53" s="6" t="s">
        <v>181</v>
      </c>
    </row>
    <row r="54" spans="1:2" s="1" customFormat="1" ht="16.5" customHeight="1">
      <c r="A54" s="6" t="s">
        <v>110</v>
      </c>
      <c r="B54" s="6" t="s">
        <v>182</v>
      </c>
    </row>
    <row r="55" spans="1:2" s="1" customFormat="1" ht="16.5" customHeight="1">
      <c r="A55" s="6" t="s">
        <v>110</v>
      </c>
      <c r="B55" s="6" t="s">
        <v>183</v>
      </c>
    </row>
    <row r="56" spans="1:2" s="1" customFormat="1" ht="16.5" customHeight="1">
      <c r="A56" s="6" t="s">
        <v>110</v>
      </c>
      <c r="B56" s="6" t="s">
        <v>184</v>
      </c>
    </row>
    <row r="57" spans="1:2" s="1" customFormat="1" ht="16.5" customHeight="1">
      <c r="A57" s="6" t="s">
        <v>110</v>
      </c>
      <c r="B57" s="6" t="s">
        <v>185</v>
      </c>
    </row>
    <row r="58" spans="1:2" s="1" customFormat="1" ht="16.5" customHeight="1">
      <c r="A58" s="6" t="s">
        <v>110</v>
      </c>
      <c r="B58" s="6" t="s">
        <v>186</v>
      </c>
    </row>
    <row r="59" spans="1:2" s="1" customFormat="1" ht="16.5" customHeight="1">
      <c r="A59" s="6" t="s">
        <v>110</v>
      </c>
      <c r="B59" s="6" t="s">
        <v>187</v>
      </c>
    </row>
    <row r="60" spans="1:2" s="1" customFormat="1" ht="16.5" customHeight="1">
      <c r="A60" s="6" t="s">
        <v>110</v>
      </c>
      <c r="B60" s="6" t="s">
        <v>188</v>
      </c>
    </row>
    <row r="61" spans="1:2" s="1" customFormat="1" ht="16.5" customHeight="1">
      <c r="A61" s="6" t="s">
        <v>110</v>
      </c>
      <c r="B61" s="6" t="s">
        <v>189</v>
      </c>
    </row>
    <row r="62" spans="1:2" s="1" customFormat="1" ht="16.5" customHeight="1">
      <c r="A62" s="6" t="s">
        <v>110</v>
      </c>
      <c r="B62" s="6" t="s">
        <v>190</v>
      </c>
    </row>
    <row r="63" spans="1:2" s="1" customFormat="1" ht="16.5" customHeight="1">
      <c r="A63" s="6" t="s">
        <v>110</v>
      </c>
      <c r="B63" s="6" t="s">
        <v>191</v>
      </c>
    </row>
    <row r="64" spans="1:2" s="1" customFormat="1" ht="16.5" customHeight="1">
      <c r="A64" s="6" t="s">
        <v>110</v>
      </c>
      <c r="B64" s="6" t="s">
        <v>192</v>
      </c>
    </row>
    <row r="65" spans="1:2" s="1" customFormat="1" ht="16.5" customHeight="1">
      <c r="A65" s="6" t="s">
        <v>110</v>
      </c>
      <c r="B65" s="6" t="s">
        <v>193</v>
      </c>
    </row>
    <row r="66" spans="1:2" s="1" customFormat="1" ht="16.5" customHeight="1">
      <c r="A66" s="6" t="s">
        <v>110</v>
      </c>
      <c r="B66" s="6" t="s">
        <v>194</v>
      </c>
    </row>
    <row r="67" spans="1:2" s="1" customFormat="1" ht="16.5" customHeight="1">
      <c r="A67" s="6" t="s">
        <v>110</v>
      </c>
      <c r="B67" s="6" t="s">
        <v>195</v>
      </c>
    </row>
    <row r="68" spans="1:2" s="1" customFormat="1" ht="16.5" customHeight="1">
      <c r="A68" s="6" t="s">
        <v>110</v>
      </c>
      <c r="B68" s="6" t="s">
        <v>196</v>
      </c>
    </row>
    <row r="69" spans="1:2" s="1" customFormat="1" ht="16.5" customHeight="1">
      <c r="A69" s="6" t="s">
        <v>110</v>
      </c>
      <c r="B69" s="6" t="s">
        <v>197</v>
      </c>
    </row>
    <row r="70" spans="1:2" s="1" customFormat="1" ht="16.5" customHeight="1">
      <c r="A70" s="6" t="s">
        <v>110</v>
      </c>
      <c r="B70" s="6" t="s">
        <v>198</v>
      </c>
    </row>
    <row r="71" spans="1:2" s="1" customFormat="1" ht="16.5" customHeight="1">
      <c r="A71" s="6" t="s">
        <v>110</v>
      </c>
      <c r="B71" s="6" t="s">
        <v>199</v>
      </c>
    </row>
    <row r="72" spans="1:2" s="1" customFormat="1" ht="16.5" customHeight="1">
      <c r="A72" s="6" t="s">
        <v>110</v>
      </c>
      <c r="B72" s="6" t="s">
        <v>200</v>
      </c>
    </row>
    <row r="73" spans="1:2" s="1" customFormat="1" ht="16.5" customHeight="1">
      <c r="A73" s="6" t="s">
        <v>110</v>
      </c>
      <c r="B73" s="6" t="s">
        <v>201</v>
      </c>
    </row>
    <row r="74" spans="1:2" s="1" customFormat="1" ht="16.5" customHeight="1">
      <c r="A74" s="6" t="s">
        <v>110</v>
      </c>
      <c r="B74" s="6" t="s">
        <v>202</v>
      </c>
    </row>
    <row r="75" spans="1:2" s="1" customFormat="1" ht="16.5" customHeight="1">
      <c r="A75" s="6" t="s">
        <v>110</v>
      </c>
      <c r="B75" s="6" t="s">
        <v>203</v>
      </c>
    </row>
    <row r="76" spans="1:2" s="1" customFormat="1" ht="16.5" customHeight="1">
      <c r="A76" s="6" t="s">
        <v>126</v>
      </c>
      <c r="B76" s="6" t="s">
        <v>204</v>
      </c>
    </row>
    <row r="77" spans="1:2" s="1" customFormat="1" ht="16.5" customHeight="1">
      <c r="A77" s="6" t="s">
        <v>126</v>
      </c>
      <c r="B77" s="6" t="s">
        <v>205</v>
      </c>
    </row>
    <row r="78" spans="1:2" s="1" customFormat="1" ht="16.5" customHeight="1">
      <c r="A78" s="6" t="s">
        <v>100</v>
      </c>
      <c r="B78" s="6" t="s">
        <v>131</v>
      </c>
    </row>
    <row r="79" spans="1:2" s="1" customFormat="1" ht="16.5" customHeight="1">
      <c r="A79" s="6" t="s">
        <v>100</v>
      </c>
      <c r="B79" s="6" t="s">
        <v>206</v>
      </c>
    </row>
    <row r="80" spans="1:2" s="1" customFormat="1" ht="16.5" customHeight="1">
      <c r="A80" s="6" t="s">
        <v>100</v>
      </c>
      <c r="B80" s="6" t="s">
        <v>207</v>
      </c>
    </row>
    <row r="81" spans="1:2" s="1" customFormat="1" ht="16.5" customHeight="1">
      <c r="A81" s="6" t="s">
        <v>100</v>
      </c>
      <c r="B81" s="6" t="s">
        <v>208</v>
      </c>
    </row>
    <row r="82" spans="1:2" s="1" customFormat="1" ht="16.5" customHeight="1">
      <c r="A82" s="6" t="s">
        <v>100</v>
      </c>
      <c r="B82" s="6" t="s">
        <v>209</v>
      </c>
    </row>
    <row r="83" spans="1:2" s="1" customFormat="1" ht="16.5" customHeight="1">
      <c r="A83" s="6" t="s">
        <v>100</v>
      </c>
      <c r="B83" s="6" t="s">
        <v>210</v>
      </c>
    </row>
    <row r="84" spans="1:2" s="1" customFormat="1" ht="16.5" customHeight="1">
      <c r="A84" s="6" t="s">
        <v>100</v>
      </c>
      <c r="B84" s="6" t="s">
        <v>211</v>
      </c>
    </row>
    <row r="85" spans="1:2" s="1" customFormat="1" ht="16.5" customHeight="1">
      <c r="A85" s="6" t="s">
        <v>100</v>
      </c>
      <c r="B85" s="6" t="s">
        <v>212</v>
      </c>
    </row>
    <row r="86" spans="1:2" s="1" customFormat="1" ht="16.5" customHeight="1">
      <c r="A86" s="6" t="s">
        <v>100</v>
      </c>
      <c r="B86" s="6" t="s">
        <v>213</v>
      </c>
    </row>
    <row r="87" spans="1:2" s="1" customFormat="1" ht="16.5" customHeight="1">
      <c r="A87" s="6" t="s">
        <v>100</v>
      </c>
      <c r="B87" s="6" t="s">
        <v>214</v>
      </c>
    </row>
    <row r="88" spans="1:2" s="1" customFormat="1" ht="16.5" customHeight="1">
      <c r="A88" s="6" t="s">
        <v>96</v>
      </c>
      <c r="B88" s="6" t="s">
        <v>131</v>
      </c>
    </row>
    <row r="89" spans="1:2" s="1" customFormat="1" ht="16.5" customHeight="1">
      <c r="A89" s="6" t="s">
        <v>96</v>
      </c>
      <c r="B89" s="6" t="s">
        <v>212</v>
      </c>
    </row>
    <row r="90" spans="1:2" s="1" customFormat="1" ht="16.5" customHeight="1">
      <c r="A90" s="6" t="s">
        <v>96</v>
      </c>
      <c r="B90" s="6" t="s">
        <v>206</v>
      </c>
    </row>
    <row r="91" spans="1:2" s="1" customFormat="1" ht="16.5" customHeight="1">
      <c r="A91" s="6" t="s">
        <v>96</v>
      </c>
      <c r="B91" s="6" t="s">
        <v>215</v>
      </c>
    </row>
    <row r="92" spans="1:2" s="1" customFormat="1" ht="16.5" customHeight="1">
      <c r="A92" s="6" t="s">
        <v>96</v>
      </c>
      <c r="B92" s="6" t="s">
        <v>216</v>
      </c>
    </row>
    <row r="93" spans="1:2" s="1" customFormat="1" ht="16.5" customHeight="1">
      <c r="A93" s="6" t="s">
        <v>96</v>
      </c>
      <c r="B93" s="6" t="s">
        <v>217</v>
      </c>
    </row>
    <row r="94" spans="1:2" s="1" customFormat="1" ht="16.5" customHeight="1">
      <c r="A94" s="6" t="s">
        <v>96</v>
      </c>
      <c r="B94" s="6" t="s">
        <v>218</v>
      </c>
    </row>
    <row r="95" spans="1:2" s="1" customFormat="1" ht="16.5" customHeight="1">
      <c r="A95" s="6" t="s">
        <v>96</v>
      </c>
      <c r="B95" s="6" t="s">
        <v>219</v>
      </c>
    </row>
    <row r="96" spans="1:2" s="1" customFormat="1" ht="16.5" customHeight="1">
      <c r="A96" s="6" t="s">
        <v>96</v>
      </c>
      <c r="B96" s="6" t="s">
        <v>220</v>
      </c>
    </row>
    <row r="97" spans="1:2" s="1" customFormat="1" ht="16.5" customHeight="1">
      <c r="A97" s="6" t="s">
        <v>96</v>
      </c>
      <c r="B97" s="6" t="s">
        <v>221</v>
      </c>
    </row>
    <row r="98" spans="1:2" s="1" customFormat="1" ht="16.5" customHeight="1">
      <c r="A98" s="6" t="s">
        <v>96</v>
      </c>
      <c r="B98" s="6" t="s">
        <v>222</v>
      </c>
    </row>
    <row r="99" spans="1:2" s="1" customFormat="1" ht="16.5" customHeight="1">
      <c r="A99" s="6" t="s">
        <v>96</v>
      </c>
      <c r="B99" s="6" t="s">
        <v>145</v>
      </c>
    </row>
    <row r="100" spans="1:2" s="1" customFormat="1" ht="16.5" customHeight="1">
      <c r="A100" s="6" t="s">
        <v>96</v>
      </c>
      <c r="B100" s="6" t="s">
        <v>223</v>
      </c>
    </row>
    <row r="101" spans="1:2" s="1" customFormat="1" ht="16.5" customHeight="1">
      <c r="A101" s="6" t="s">
        <v>96</v>
      </c>
      <c r="B101" s="6" t="s">
        <v>224</v>
      </c>
    </row>
    <row r="102" spans="1:2" s="1" customFormat="1" ht="16.5" customHeight="1">
      <c r="A102" s="6" t="s">
        <v>96</v>
      </c>
      <c r="B102" s="6" t="s">
        <v>225</v>
      </c>
    </row>
    <row r="103" spans="1:2" s="1" customFormat="1" ht="16.5" customHeight="1">
      <c r="A103" s="6" t="s">
        <v>96</v>
      </c>
      <c r="B103" s="6" t="s">
        <v>226</v>
      </c>
    </row>
    <row r="104" spans="1:2" s="1" customFormat="1" ht="16.5" customHeight="1">
      <c r="A104" s="6" t="s">
        <v>98</v>
      </c>
      <c r="B104" s="6" t="s">
        <v>131</v>
      </c>
    </row>
    <row r="105" spans="1:2" s="1" customFormat="1" ht="16.5" customHeight="1">
      <c r="A105" s="6" t="s">
        <v>98</v>
      </c>
      <c r="B105" s="6" t="s">
        <v>206</v>
      </c>
    </row>
    <row r="106" spans="1:2" s="1" customFormat="1" ht="16.5" customHeight="1">
      <c r="A106" s="6" t="s">
        <v>98</v>
      </c>
      <c r="B106" s="6" t="s">
        <v>212</v>
      </c>
    </row>
    <row r="107" spans="1:2" s="1" customFormat="1" ht="16.5" customHeight="1">
      <c r="A107" s="6" t="s">
        <v>98</v>
      </c>
      <c r="B107" s="6" t="s">
        <v>218</v>
      </c>
    </row>
    <row r="108" spans="1:2" s="1" customFormat="1" ht="16.5" customHeight="1">
      <c r="A108" s="6" t="s">
        <v>98</v>
      </c>
      <c r="B108" s="6" t="s">
        <v>219</v>
      </c>
    </row>
    <row r="109" spans="1:2" s="1" customFormat="1" ht="16.5" customHeight="1">
      <c r="A109" s="6" t="s">
        <v>98</v>
      </c>
      <c r="B109" s="6" t="s">
        <v>227</v>
      </c>
    </row>
    <row r="110" spans="1:2" s="1" customFormat="1" ht="16.5" customHeight="1">
      <c r="A110" s="6" t="s">
        <v>98</v>
      </c>
      <c r="B110" s="6" t="s">
        <v>228</v>
      </c>
    </row>
    <row r="111" spans="1:2" s="1" customFormat="1" ht="16.5" customHeight="1">
      <c r="A111" s="6" t="s">
        <v>98</v>
      </c>
      <c r="B111" s="6" t="s">
        <v>229</v>
      </c>
    </row>
    <row r="112" spans="1:2" s="1" customFormat="1" ht="16.5" customHeight="1">
      <c r="A112" s="6" t="s">
        <v>108</v>
      </c>
      <c r="B112" s="6" t="s">
        <v>108</v>
      </c>
    </row>
    <row r="113" spans="1:2" s="1" customFormat="1" ht="16.5" customHeight="1">
      <c r="A113" s="6" t="s">
        <v>104</v>
      </c>
      <c r="B113" s="6" t="s">
        <v>206</v>
      </c>
    </row>
    <row r="114" spans="1:2" s="1" customFormat="1" ht="16.5" customHeight="1">
      <c r="A114" s="6" t="s">
        <v>104</v>
      </c>
      <c r="B114" s="6" t="s">
        <v>131</v>
      </c>
    </row>
    <row r="115" spans="1:2" s="1" customFormat="1" ht="16.5" customHeight="1">
      <c r="A115" s="6" t="s">
        <v>104</v>
      </c>
      <c r="B115" s="6" t="s">
        <v>212</v>
      </c>
    </row>
    <row r="116" spans="1:2" s="1" customFormat="1" ht="16.5" customHeight="1">
      <c r="A116" s="6" t="s">
        <v>104</v>
      </c>
      <c r="B116" s="6" t="s">
        <v>230</v>
      </c>
    </row>
    <row r="117" spans="1:2" s="1" customFormat="1" ht="16.5" customHeight="1">
      <c r="A117" s="6" t="s">
        <v>104</v>
      </c>
      <c r="B117" s="6" t="s">
        <v>231</v>
      </c>
    </row>
    <row r="118" spans="1:2" s="1" customFormat="1" ht="16.5" customHeight="1">
      <c r="A118" s="6" t="s">
        <v>106</v>
      </c>
      <c r="B118" s="6" t="s">
        <v>131</v>
      </c>
    </row>
    <row r="119" spans="1:2" s="1" customFormat="1" ht="16.5" customHeight="1">
      <c r="A119" s="6" t="s">
        <v>106</v>
      </c>
      <c r="B119" s="6" t="s">
        <v>218</v>
      </c>
    </row>
    <row r="120" spans="1:2" s="1" customFormat="1" ht="16.5" customHeight="1">
      <c r="A120" s="6" t="s">
        <v>106</v>
      </c>
      <c r="B120" s="6" t="s">
        <v>206</v>
      </c>
    </row>
    <row r="121" spans="1:2" s="1" customFormat="1" ht="16.5" customHeight="1">
      <c r="A121" s="6" t="s">
        <v>106</v>
      </c>
      <c r="B121" s="6" t="s">
        <v>219</v>
      </c>
    </row>
    <row r="122" spans="1:2" s="1" customFormat="1" ht="16.5" customHeight="1">
      <c r="A122" s="6" t="s">
        <v>106</v>
      </c>
      <c r="B122" s="6" t="s">
        <v>232</v>
      </c>
    </row>
    <row r="123" spans="1:2" s="1" customFormat="1" ht="16.5" customHeight="1">
      <c r="A123" s="6" t="s">
        <v>102</v>
      </c>
      <c r="B123" s="6" t="s">
        <v>206</v>
      </c>
    </row>
    <row r="124" spans="1:2" s="1" customFormat="1" ht="16.5" customHeight="1">
      <c r="A124" s="6" t="s">
        <v>102</v>
      </c>
      <c r="B124" s="6" t="s">
        <v>212</v>
      </c>
    </row>
    <row r="125" spans="1:2" s="1" customFormat="1" ht="16.5" customHeight="1">
      <c r="A125" s="6" t="s">
        <v>102</v>
      </c>
      <c r="B125" s="6" t="s">
        <v>218</v>
      </c>
    </row>
    <row r="126" spans="1:2" s="1" customFormat="1" ht="16.5" customHeight="1">
      <c r="A126" s="6" t="s">
        <v>102</v>
      </c>
      <c r="B126" s="6" t="s">
        <v>219</v>
      </c>
    </row>
    <row r="127" spans="1:2" s="1" customFormat="1" ht="16.5" customHeight="1">
      <c r="A127" s="6" t="s">
        <v>102</v>
      </c>
      <c r="B127" s="6" t="s">
        <v>233</v>
      </c>
    </row>
    <row r="128" spans="1:2" s="1" customFormat="1" ht="16.5" customHeight="1">
      <c r="A128" s="6" t="s">
        <v>114</v>
      </c>
      <c r="B128" s="6" t="s">
        <v>234</v>
      </c>
    </row>
    <row r="129" spans="1:2" s="1" customFormat="1" ht="16.5" customHeight="1">
      <c r="A129" s="6" t="s">
        <v>114</v>
      </c>
      <c r="B129" s="6" t="s">
        <v>235</v>
      </c>
    </row>
    <row r="130" spans="1:2" s="1" customFormat="1" ht="16.5" customHeight="1">
      <c r="A130" s="6" t="s">
        <v>114</v>
      </c>
      <c r="B130" s="6" t="s">
        <v>236</v>
      </c>
    </row>
    <row r="131" spans="1:2" s="1" customFormat="1" ht="16.5" customHeight="1">
      <c r="A131" s="6" t="s">
        <v>114</v>
      </c>
      <c r="B131" s="6" t="s">
        <v>237</v>
      </c>
    </row>
    <row r="132" spans="1:2" s="1" customFormat="1" ht="16.5" customHeight="1">
      <c r="A132" s="6" t="s">
        <v>114</v>
      </c>
      <c r="B132" s="6" t="s">
        <v>238</v>
      </c>
    </row>
    <row r="133" spans="1:2" s="1" customFormat="1" ht="16.5" customHeight="1">
      <c r="A133" s="6" t="s">
        <v>114</v>
      </c>
      <c r="B133" s="6" t="s">
        <v>239</v>
      </c>
    </row>
    <row r="134" spans="1:2" s="1" customFormat="1" ht="16.5" customHeight="1">
      <c r="A134" s="6" t="s">
        <v>114</v>
      </c>
      <c r="B134" s="6" t="s">
        <v>240</v>
      </c>
    </row>
    <row r="135" spans="1:2" s="1" customFormat="1" ht="16.5" customHeight="1">
      <c r="A135" s="6" t="s">
        <v>114</v>
      </c>
      <c r="B135" s="6" t="s">
        <v>241</v>
      </c>
    </row>
    <row r="136" spans="1:2" s="1" customFormat="1" ht="16.5" customHeight="1">
      <c r="A136" s="6" t="s">
        <v>114</v>
      </c>
      <c r="B136" s="6" t="s">
        <v>242</v>
      </c>
    </row>
    <row r="137" spans="1:2" s="1" customFormat="1" ht="16.5" customHeight="1">
      <c r="A137" s="6" t="s">
        <v>114</v>
      </c>
      <c r="B137" s="6" t="s">
        <v>243</v>
      </c>
    </row>
    <row r="138" spans="1:2" s="1" customFormat="1" ht="16.5" customHeight="1">
      <c r="A138" s="6" t="s">
        <v>114</v>
      </c>
      <c r="B138" s="6" t="s">
        <v>244</v>
      </c>
    </row>
    <row r="139" spans="1:2" s="1" customFormat="1" ht="16.5" customHeight="1">
      <c r="A139" s="6" t="s">
        <v>116</v>
      </c>
      <c r="B139" s="6" t="s">
        <v>245</v>
      </c>
    </row>
    <row r="140" spans="1:2" s="1" customFormat="1" ht="16.5" customHeight="1">
      <c r="A140" s="6" t="s">
        <v>116</v>
      </c>
      <c r="B140" s="6" t="s">
        <v>246</v>
      </c>
    </row>
    <row r="141" spans="1:2" s="1" customFormat="1" ht="16.5" customHeight="1">
      <c r="A141" s="6" t="s">
        <v>116</v>
      </c>
      <c r="B141" s="6" t="s">
        <v>247</v>
      </c>
    </row>
    <row r="142" spans="1:2" s="1" customFormat="1" ht="16.5" customHeight="1">
      <c r="A142" s="6" t="s">
        <v>116</v>
      </c>
      <c r="B142" s="6" t="s">
        <v>248</v>
      </c>
    </row>
    <row r="143" spans="1:2" s="1" customFormat="1" ht="16.5" customHeight="1">
      <c r="A143" s="6" t="s">
        <v>116</v>
      </c>
      <c r="B143" s="6" t="s">
        <v>249</v>
      </c>
    </row>
    <row r="144" spans="1:2" s="1" customFormat="1" ht="16.5" customHeight="1">
      <c r="A144" s="6" t="s">
        <v>116</v>
      </c>
      <c r="B144" s="6" t="s">
        <v>250</v>
      </c>
    </row>
    <row r="145" spans="1:2" s="1" customFormat="1" ht="16.5" customHeight="1">
      <c r="A145" s="6" t="s">
        <v>116</v>
      </c>
      <c r="B145" s="6" t="s">
        <v>251</v>
      </c>
    </row>
    <row r="146" spans="1:2" s="1" customFormat="1" ht="16.5" customHeight="1">
      <c r="A146" s="6" t="s">
        <v>116</v>
      </c>
      <c r="B146" s="6" t="s">
        <v>252</v>
      </c>
    </row>
    <row r="147" spans="1:2" s="1" customFormat="1" ht="16.5" customHeight="1">
      <c r="A147" s="6" t="s">
        <v>116</v>
      </c>
      <c r="B147" s="6" t="s">
        <v>253</v>
      </c>
    </row>
    <row r="148" spans="1:2" s="1" customFormat="1" ht="16.5" customHeight="1">
      <c r="A148" s="6" t="s">
        <v>116</v>
      </c>
      <c r="B148" s="6" t="s">
        <v>254</v>
      </c>
    </row>
    <row r="149" spans="1:2" s="1" customFormat="1" ht="16.5" customHeight="1">
      <c r="A149" s="6" t="s">
        <v>116</v>
      </c>
      <c r="B149" s="6" t="s">
        <v>255</v>
      </c>
    </row>
    <row r="150" spans="1:2" s="1" customFormat="1" ht="16.5" customHeight="1">
      <c r="A150" s="6" t="s">
        <v>116</v>
      </c>
      <c r="B150" s="6" t="s">
        <v>256</v>
      </c>
    </row>
    <row r="151" spans="1:2" s="1" customFormat="1" ht="16.5" customHeight="1">
      <c r="A151" s="6" t="s">
        <v>116</v>
      </c>
      <c r="B151" s="6" t="s">
        <v>257</v>
      </c>
    </row>
    <row r="152" spans="1:2" s="1" customFormat="1" ht="16.5" customHeight="1">
      <c r="A152" s="6" t="s">
        <v>116</v>
      </c>
      <c r="B152" s="6" t="s">
        <v>258</v>
      </c>
    </row>
    <row r="153" spans="1:2" s="1" customFormat="1" ht="16.5" customHeight="1">
      <c r="A153" s="6" t="s">
        <v>116</v>
      </c>
      <c r="B153" s="6" t="s">
        <v>259</v>
      </c>
    </row>
    <row r="154" spans="1:2" s="1" customFormat="1" ht="16.5" customHeight="1">
      <c r="A154" s="6" t="s">
        <v>260</v>
      </c>
      <c r="B154" s="6" t="s">
        <v>261</v>
      </c>
    </row>
    <row r="155" spans="1:2" s="1" customFormat="1" ht="16.5" customHeight="1">
      <c r="A155" s="6" t="s">
        <v>260</v>
      </c>
      <c r="B155" s="6" t="s">
        <v>262</v>
      </c>
    </row>
    <row r="156" spans="1:2" s="1" customFormat="1" ht="16.5" customHeight="1">
      <c r="A156" s="6" t="s">
        <v>260</v>
      </c>
      <c r="B156" s="6" t="s">
        <v>263</v>
      </c>
    </row>
    <row r="157" spans="1:2" s="1" customFormat="1" ht="16.5" customHeight="1">
      <c r="A157" s="6" t="s">
        <v>260</v>
      </c>
      <c r="B157" s="6" t="s">
        <v>264</v>
      </c>
    </row>
    <row r="158" spans="1:2" s="1" customFormat="1" ht="16.5" customHeight="1">
      <c r="A158" s="6" t="s">
        <v>260</v>
      </c>
      <c r="B158" s="6" t="s">
        <v>265</v>
      </c>
    </row>
    <row r="159" spans="1:2" s="1" customFormat="1" ht="16.5" customHeight="1">
      <c r="A159" s="6" t="s">
        <v>260</v>
      </c>
      <c r="B159" s="6" t="s">
        <v>266</v>
      </c>
    </row>
    <row r="160" spans="1:2" s="1" customFormat="1" ht="16.5" customHeight="1">
      <c r="A160" s="6" t="s">
        <v>260</v>
      </c>
      <c r="B160" s="6" t="s">
        <v>267</v>
      </c>
    </row>
    <row r="161" spans="1:2" s="1" customFormat="1" ht="16.5" customHeight="1">
      <c r="A161" s="6" t="s">
        <v>260</v>
      </c>
      <c r="B161" s="6" t="s">
        <v>268</v>
      </c>
    </row>
    <row r="162" spans="1:2" s="1" customFormat="1" ht="16.5" customHeight="1">
      <c r="A162" s="6" t="s">
        <v>260</v>
      </c>
      <c r="B162" s="6" t="s">
        <v>269</v>
      </c>
    </row>
    <row r="163" spans="1:2" s="1" customFormat="1" ht="16.5" customHeight="1">
      <c r="A163" s="6" t="s">
        <v>260</v>
      </c>
      <c r="B163" s="6" t="s">
        <v>270</v>
      </c>
    </row>
    <row r="164" spans="1:2" s="1" customFormat="1" ht="16.5" customHeight="1">
      <c r="A164" s="6" t="s">
        <v>260</v>
      </c>
      <c r="B164" s="6" t="s">
        <v>271</v>
      </c>
    </row>
    <row r="165" spans="1:2" s="1" customFormat="1" ht="16.5" customHeight="1">
      <c r="A165" s="6" t="s">
        <v>260</v>
      </c>
      <c r="B165" s="6" t="s">
        <v>272</v>
      </c>
    </row>
    <row r="166" spans="1:2" s="1" customFormat="1" ht="16.5" customHeight="1">
      <c r="A166" s="6" t="s">
        <v>260</v>
      </c>
      <c r="B166" s="6" t="s">
        <v>273</v>
      </c>
    </row>
    <row r="167" spans="1:2" s="1" customFormat="1" ht="16.5" customHeight="1">
      <c r="A167" s="6" t="s">
        <v>260</v>
      </c>
      <c r="B167" s="6" t="s">
        <v>274</v>
      </c>
    </row>
    <row r="168" spans="1:2" s="1" customFormat="1" ht="16.5" customHeight="1">
      <c r="A168" s="6" t="s">
        <v>120</v>
      </c>
      <c r="B168" s="6" t="s">
        <v>275</v>
      </c>
    </row>
    <row r="169" spans="1:2" s="1" customFormat="1" ht="16.5" customHeight="1">
      <c r="A169" s="6" t="s">
        <v>120</v>
      </c>
      <c r="B169" s="6" t="s">
        <v>276</v>
      </c>
    </row>
    <row r="170" spans="1:2" s="1" customFormat="1" ht="16.5" customHeight="1">
      <c r="A170" s="6" t="s">
        <v>120</v>
      </c>
      <c r="B170" s="6" t="s">
        <v>277</v>
      </c>
    </row>
    <row r="171" spans="1:2" s="1" customFormat="1" ht="16.5" customHeight="1">
      <c r="A171" s="6" t="s">
        <v>120</v>
      </c>
      <c r="B171" s="6" t="s">
        <v>278</v>
      </c>
    </row>
    <row r="172" spans="1:2" s="1" customFormat="1" ht="16.5" customHeight="1">
      <c r="A172" s="6" t="s">
        <v>120</v>
      </c>
      <c r="B172" s="6" t="s">
        <v>279</v>
      </c>
    </row>
    <row r="173" spans="1:2" s="1" customFormat="1" ht="16.5" customHeight="1">
      <c r="A173" s="6" t="s">
        <v>120</v>
      </c>
      <c r="B173" s="6" t="s">
        <v>280</v>
      </c>
    </row>
    <row r="174" spans="1:2" s="1" customFormat="1" ht="16.5" customHeight="1">
      <c r="A174" s="6" t="s">
        <v>120</v>
      </c>
      <c r="B174" s="6" t="s">
        <v>281</v>
      </c>
    </row>
    <row r="175" spans="1:2" s="1" customFormat="1" ht="16.5" customHeight="1">
      <c r="A175" s="6" t="s">
        <v>120</v>
      </c>
      <c r="B175" s="6" t="s">
        <v>282</v>
      </c>
    </row>
    <row r="176" spans="1:2" s="1" customFormat="1" ht="16.5" customHeight="1">
      <c r="A176" s="6" t="s">
        <v>120</v>
      </c>
      <c r="B176" s="6" t="s">
        <v>283</v>
      </c>
    </row>
    <row r="177" spans="1:2" s="1" customFormat="1" ht="16.5" customHeight="1">
      <c r="A177" s="6" t="s">
        <v>120</v>
      </c>
      <c r="B177" s="6" t="s">
        <v>284</v>
      </c>
    </row>
    <row r="178" spans="1:2" s="1" customFormat="1" ht="16.5" customHeight="1">
      <c r="A178" s="6" t="s">
        <v>120</v>
      </c>
      <c r="B178" s="6" t="s">
        <v>285</v>
      </c>
    </row>
    <row r="179" spans="1:2" s="1" customFormat="1" ht="16.5" customHeight="1">
      <c r="A179" s="6" t="s">
        <v>120</v>
      </c>
      <c r="B179" s="6" t="s">
        <v>286</v>
      </c>
    </row>
    <row r="180" spans="1:2" s="1" customFormat="1" ht="16.5" customHeight="1">
      <c r="A180" s="6" t="s">
        <v>120</v>
      </c>
      <c r="B180" s="6" t="s">
        <v>287</v>
      </c>
    </row>
    <row r="181" spans="1:2" s="1" customFormat="1" ht="16.5" customHeight="1">
      <c r="A181" s="6" t="s">
        <v>120</v>
      </c>
      <c r="B181" s="6" t="s">
        <v>288</v>
      </c>
    </row>
    <row r="182" spans="1:2" s="1" customFormat="1" ht="16.5" customHeight="1">
      <c r="A182" s="6" t="s">
        <v>120</v>
      </c>
      <c r="B182" s="6" t="s">
        <v>289</v>
      </c>
    </row>
    <row r="183" spans="1:2" s="1" customFormat="1" ht="16.5" customHeight="1">
      <c r="A183" s="6" t="s">
        <v>120</v>
      </c>
      <c r="B183" s="6" t="s">
        <v>290</v>
      </c>
    </row>
    <row r="184" spans="1:2" s="1" customFormat="1" ht="16.5" customHeight="1">
      <c r="A184" s="6" t="s">
        <v>120</v>
      </c>
      <c r="B184" s="6" t="s">
        <v>291</v>
      </c>
    </row>
    <row r="185" spans="1:2" s="1" customFormat="1" ht="16.5" customHeight="1">
      <c r="A185" s="6" t="s">
        <v>120</v>
      </c>
      <c r="B185" s="6" t="s">
        <v>292</v>
      </c>
    </row>
    <row r="186" spans="1:2" s="1" customFormat="1" ht="16.5" customHeight="1">
      <c r="A186" s="6" t="s">
        <v>120</v>
      </c>
      <c r="B186" s="6" t="s">
        <v>293</v>
      </c>
    </row>
    <row r="187" spans="1:2" s="1" customFormat="1" ht="16.5" customHeight="1">
      <c r="A187" s="6" t="s">
        <v>120</v>
      </c>
      <c r="B187" s="6" t="s">
        <v>294</v>
      </c>
    </row>
    <row r="188" spans="1:2" s="1" customFormat="1" ht="16.5" customHeight="1">
      <c r="A188" s="6" t="s">
        <v>120</v>
      </c>
      <c r="B188" s="6" t="s">
        <v>295</v>
      </c>
    </row>
    <row r="189" spans="1:2" s="1" customFormat="1" ht="16.5" customHeight="1">
      <c r="A189" s="6" t="s">
        <v>120</v>
      </c>
      <c r="B189" s="6" t="s">
        <v>296</v>
      </c>
    </row>
    <row r="190" spans="1:2" s="1" customFormat="1" ht="16.5" customHeight="1">
      <c r="A190" s="6" t="s">
        <v>122</v>
      </c>
      <c r="B190" s="6" t="s">
        <v>297</v>
      </c>
    </row>
    <row r="191" spans="1:2" s="1" customFormat="1" ht="16.5" customHeight="1">
      <c r="A191" s="6" t="s">
        <v>122</v>
      </c>
      <c r="B191" s="6" t="s">
        <v>298</v>
      </c>
    </row>
    <row r="192" spans="1:2" s="1" customFormat="1" ht="16.5" customHeight="1">
      <c r="A192" s="6" t="s">
        <v>122</v>
      </c>
      <c r="B192" s="6" t="s">
        <v>299</v>
      </c>
    </row>
    <row r="193" spans="1:2" s="1" customFormat="1" ht="16.5" customHeight="1">
      <c r="A193" s="6" t="s">
        <v>122</v>
      </c>
      <c r="B193" s="6" t="s">
        <v>300</v>
      </c>
    </row>
    <row r="194" spans="1:2" s="1" customFormat="1" ht="16.5" customHeight="1">
      <c r="A194" s="6" t="s">
        <v>122</v>
      </c>
      <c r="B194" s="6" t="s">
        <v>301</v>
      </c>
    </row>
    <row r="195" spans="1:2" s="1" customFormat="1" ht="16.5" customHeight="1">
      <c r="A195" s="6" t="s">
        <v>122</v>
      </c>
      <c r="B195" s="6" t="s">
        <v>302</v>
      </c>
    </row>
    <row r="196" spans="1:2" s="1" customFormat="1" ht="16.5" customHeight="1">
      <c r="A196" s="6" t="s">
        <v>122</v>
      </c>
      <c r="B196" s="6" t="s">
        <v>303</v>
      </c>
    </row>
    <row r="197" spans="1:2" s="1" customFormat="1" ht="16.5" customHeight="1">
      <c r="A197" s="6" t="s">
        <v>122</v>
      </c>
      <c r="B197" s="6" t="s">
        <v>304</v>
      </c>
    </row>
    <row r="198" spans="1:2" s="1" customFormat="1" ht="16.5" customHeight="1">
      <c r="A198" s="6" t="s">
        <v>122</v>
      </c>
      <c r="B198" s="6" t="s">
        <v>305</v>
      </c>
    </row>
    <row r="199" spans="1:2" s="1" customFormat="1" ht="16.5" customHeight="1">
      <c r="A199" s="6" t="s">
        <v>122</v>
      </c>
      <c r="B199" s="6" t="s">
        <v>306</v>
      </c>
    </row>
    <row r="200" spans="1:2" s="1" customFormat="1" ht="16.5" customHeight="1">
      <c r="A200" s="6" t="s">
        <v>122</v>
      </c>
      <c r="B200" s="6" t="s">
        <v>307</v>
      </c>
    </row>
    <row r="201" spans="1:2" s="1" customFormat="1" ht="16.5" customHeight="1">
      <c r="A201" s="6" t="s">
        <v>122</v>
      </c>
      <c r="B201" s="6" t="s">
        <v>308</v>
      </c>
    </row>
    <row r="202" spans="1:2" s="1" customFormat="1" ht="16.5" customHeight="1">
      <c r="A202" s="6" t="s">
        <v>122</v>
      </c>
      <c r="B202" s="6" t="s">
        <v>309</v>
      </c>
    </row>
    <row r="203" spans="1:2" s="1" customFormat="1" ht="16.5" customHeight="1">
      <c r="A203" s="6" t="s">
        <v>122</v>
      </c>
      <c r="B203" s="6" t="s">
        <v>310</v>
      </c>
    </row>
    <row r="204" spans="1:2" s="1" customFormat="1" ht="16.5" customHeight="1">
      <c r="A204" s="6" t="s">
        <v>122</v>
      </c>
      <c r="B204" s="6" t="s">
        <v>311</v>
      </c>
    </row>
    <row r="205" spans="1:2" s="1" customFormat="1" ht="16.5" customHeight="1">
      <c r="A205" s="6" t="s">
        <v>122</v>
      </c>
      <c r="B205" s="6" t="s">
        <v>312</v>
      </c>
    </row>
    <row r="206" spans="1:2" s="1" customFormat="1" ht="16.5" customHeight="1">
      <c r="A206" s="6" t="s">
        <v>122</v>
      </c>
      <c r="B206" s="6" t="s">
        <v>313</v>
      </c>
    </row>
    <row r="207" spans="1:2" s="1" customFormat="1" ht="16.5" customHeight="1">
      <c r="A207" s="6" t="s">
        <v>122</v>
      </c>
      <c r="B207" s="6" t="s">
        <v>314</v>
      </c>
    </row>
    <row r="208" spans="1:2" s="1" customFormat="1" ht="16.5" customHeight="1">
      <c r="A208" s="6" t="s">
        <v>122</v>
      </c>
      <c r="B208" s="6" t="s">
        <v>315</v>
      </c>
    </row>
    <row r="209" spans="1:2" s="1" customFormat="1" ht="16.5" customHeight="1">
      <c r="A209" s="6" t="s">
        <v>122</v>
      </c>
      <c r="B209" s="6" t="s">
        <v>316</v>
      </c>
    </row>
    <row r="210" spans="1:2" s="1" customFormat="1" ht="16.5" customHeight="1">
      <c r="A210" s="6" t="s">
        <v>122</v>
      </c>
      <c r="B210" s="6" t="s">
        <v>317</v>
      </c>
    </row>
    <row r="211" spans="1:2" s="1" customFormat="1" ht="16.5" customHeight="1">
      <c r="A211" s="6" t="s">
        <v>122</v>
      </c>
      <c r="B211" s="6" t="s">
        <v>318</v>
      </c>
    </row>
    <row r="212" spans="1:2" s="1" customFormat="1" ht="16.5" customHeight="1">
      <c r="A212" s="6" t="s">
        <v>124</v>
      </c>
      <c r="B212" s="6" t="s">
        <v>319</v>
      </c>
    </row>
    <row r="213" spans="1:2" s="1" customFormat="1" ht="16.5" customHeight="1">
      <c r="A213" s="6" t="s">
        <v>124</v>
      </c>
      <c r="B213" s="6" t="s">
        <v>320</v>
      </c>
    </row>
    <row r="214" spans="1:2" s="1" customFormat="1" ht="16.5" customHeight="1">
      <c r="A214" s="6" t="s">
        <v>124</v>
      </c>
      <c r="B214" s="6" t="s">
        <v>321</v>
      </c>
    </row>
    <row r="215" spans="1:2" s="1" customFormat="1" ht="16.5" customHeight="1">
      <c r="A215" s="6" t="s">
        <v>124</v>
      </c>
      <c r="B215" s="6" t="s">
        <v>322</v>
      </c>
    </row>
    <row r="216" spans="1:2" s="1" customFormat="1" ht="16.5" customHeight="1">
      <c r="A216" s="6" t="s">
        <v>124</v>
      </c>
      <c r="B216" s="6" t="s">
        <v>323</v>
      </c>
    </row>
    <row r="217" spans="1:2" s="1" customFormat="1" ht="16.5" customHeight="1">
      <c r="A217" s="6" t="s">
        <v>124</v>
      </c>
      <c r="B217" s="6" t="s">
        <v>324</v>
      </c>
    </row>
    <row r="218" spans="1:2" s="1" customFormat="1" ht="16.5" customHeight="1">
      <c r="A218" s="6" t="s">
        <v>124</v>
      </c>
      <c r="B218" s="6" t="s">
        <v>325</v>
      </c>
    </row>
    <row r="219" spans="1:2" s="1" customFormat="1" ht="16.5" customHeight="1">
      <c r="A219" s="6" t="s">
        <v>124</v>
      </c>
      <c r="B219" s="6" t="s">
        <v>326</v>
      </c>
    </row>
    <row r="220" spans="1:2" s="1" customFormat="1" ht="16.5" customHeight="1">
      <c r="A220" s="6" t="s">
        <v>124</v>
      </c>
      <c r="B220" s="6" t="s">
        <v>327</v>
      </c>
    </row>
    <row r="221" spans="1:2" s="1" customFormat="1" ht="16.5" customHeight="1">
      <c r="A221" s="6" t="s">
        <v>124</v>
      </c>
      <c r="B221" s="6" t="s">
        <v>328</v>
      </c>
    </row>
    <row r="222" spans="1:2" s="1" customFormat="1" ht="16.5" customHeight="1">
      <c r="A222" s="6" t="s">
        <v>124</v>
      </c>
      <c r="B222" s="6" t="s">
        <v>329</v>
      </c>
    </row>
    <row r="223" spans="1:2" s="1" customFormat="1" ht="16.5" customHeight="1">
      <c r="A223" s="6" t="s">
        <v>124</v>
      </c>
      <c r="B223" s="6" t="s">
        <v>171</v>
      </c>
    </row>
    <row r="224" spans="1:2" s="1" customFormat="1" ht="16.5" customHeight="1">
      <c r="A224" s="6" t="s">
        <v>124</v>
      </c>
      <c r="B224" s="6" t="s">
        <v>330</v>
      </c>
    </row>
    <row r="225" spans="1:2" s="1" customFormat="1" ht="16.5" customHeight="1">
      <c r="A225" s="6" t="s">
        <v>124</v>
      </c>
      <c r="B225" s="6" t="s">
        <v>331</v>
      </c>
    </row>
    <row r="226" spans="1:2" s="1" customFormat="1" ht="16.5" customHeight="1">
      <c r="A226" s="6" t="s">
        <v>124</v>
      </c>
      <c r="B226" s="6" t="s">
        <v>332</v>
      </c>
    </row>
    <row r="227" spans="1:2" s="1" customFormat="1" ht="16.5" customHeight="1">
      <c r="A227" s="6" t="s">
        <v>124</v>
      </c>
      <c r="B227" s="6" t="s">
        <v>333</v>
      </c>
    </row>
    <row r="228" spans="1:2" s="1" customFormat="1" ht="16.5" customHeight="1">
      <c r="A228" s="6" t="s">
        <v>124</v>
      </c>
      <c r="B228" s="6" t="s">
        <v>334</v>
      </c>
    </row>
    <row r="229" spans="1:2" s="1" customFormat="1" ht="16.5" customHeight="1">
      <c r="A229" s="6" t="s">
        <v>124</v>
      </c>
      <c r="B229" s="6" t="s">
        <v>335</v>
      </c>
    </row>
  </sheetData>
  <phoneticPr fontId="49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1"/>
  <sheetViews>
    <sheetView workbookViewId="0"/>
  </sheetViews>
  <sheetFormatPr defaultColWidth="7.625" defaultRowHeight="15"/>
  <cols>
    <col min="1" max="1" width="8.75" style="72" customWidth="1"/>
    <col min="2" max="14" width="7" style="72" customWidth="1"/>
    <col min="15" max="15" width="7.625" style="72" customWidth="1"/>
    <col min="16" max="16384" width="7.625" style="72"/>
  </cols>
  <sheetData>
    <row r="1" spans="1:26" s="1" customFormat="1" ht="25.5" customHeight="1">
      <c r="A1" s="23" t="s">
        <v>336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3" spans="1:26" s="1" customFormat="1" ht="21.75" customHeight="1">
      <c r="A3" s="25" t="s">
        <v>337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26" s="1" customFormat="1" ht="21.75" customHeight="1">
      <c r="A4" s="73" t="s">
        <v>338</v>
      </c>
      <c r="B4" s="74" t="s">
        <v>27</v>
      </c>
      <c r="C4" s="74" t="s">
        <v>28</v>
      </c>
      <c r="D4" s="74" t="s">
        <v>29</v>
      </c>
      <c r="E4" s="74" t="s">
        <v>30</v>
      </c>
      <c r="F4" s="74" t="s">
        <v>31</v>
      </c>
      <c r="G4" s="74" t="s">
        <v>32</v>
      </c>
      <c r="H4" s="74" t="s">
        <v>33</v>
      </c>
      <c r="I4" s="74" t="s">
        <v>34</v>
      </c>
      <c r="J4" s="74" t="s">
        <v>35</v>
      </c>
      <c r="K4" s="74" t="s">
        <v>36</v>
      </c>
      <c r="L4" s="74" t="s">
        <v>37</v>
      </c>
      <c r="M4" s="74" t="s">
        <v>38</v>
      </c>
      <c r="N4" s="73" t="s">
        <v>339</v>
      </c>
    </row>
    <row r="5" spans="1:26" s="1" customFormat="1" ht="19.5" customHeight="1">
      <c r="A5" s="75" t="s">
        <v>340</v>
      </c>
      <c r="B5" s="76">
        <v>-9.1999999999999993</v>
      </c>
      <c r="C5" s="76">
        <v>-6.3</v>
      </c>
      <c r="D5" s="76">
        <v>0.3</v>
      </c>
      <c r="E5" s="76">
        <v>8.4</v>
      </c>
      <c r="F5" s="76">
        <v>15</v>
      </c>
      <c r="G5" s="76">
        <v>19.600000000000001</v>
      </c>
      <c r="H5" s="76">
        <v>24.1</v>
      </c>
      <c r="I5" s="76">
        <v>24.3</v>
      </c>
      <c r="J5" s="76">
        <v>17.8</v>
      </c>
      <c r="K5" s="76">
        <v>9.8000000000000007</v>
      </c>
      <c r="L5" s="76">
        <v>1.5</v>
      </c>
      <c r="M5" s="76">
        <v>-6.8</v>
      </c>
      <c r="N5" s="77">
        <f t="shared" ref="N5:N29" si="0">AVERAGE(B5,C5,D5,E5,F5,G5,H5,I5,J5,K5,L5,M5)</f>
        <v>8.2083333333333339</v>
      </c>
    </row>
    <row r="6" spans="1:26" s="1" customFormat="1" ht="18" customHeight="1">
      <c r="A6" s="75" t="s">
        <v>341</v>
      </c>
      <c r="B6" s="76">
        <v>9.8000000000000007</v>
      </c>
      <c r="C6" s="76">
        <v>10.199999999999999</v>
      </c>
      <c r="D6" s="76">
        <v>11</v>
      </c>
      <c r="E6" s="76">
        <v>12.1</v>
      </c>
      <c r="F6" s="76">
        <v>11.5</v>
      </c>
      <c r="G6" s="76">
        <v>10</v>
      </c>
      <c r="H6" s="76">
        <v>8.8000000000000007</v>
      </c>
      <c r="I6" s="76">
        <v>9.1999999999999993</v>
      </c>
      <c r="J6" s="76">
        <v>10.5</v>
      </c>
      <c r="K6" s="76">
        <v>11.8</v>
      </c>
      <c r="L6" s="76">
        <v>10.3</v>
      </c>
      <c r="M6" s="76">
        <v>9.5</v>
      </c>
      <c r="N6" s="77">
        <f t="shared" si="0"/>
        <v>10.391666666666666</v>
      </c>
    </row>
    <row r="7" spans="1:26" s="1" customFormat="1" ht="16.5" customHeight="1">
      <c r="A7" s="78">
        <v>0</v>
      </c>
      <c r="B7" s="76">
        <f t="shared" ref="B7:M7" si="1">B5+(B6/2)*-0.866025</f>
        <v>-13.4435225</v>
      </c>
      <c r="C7" s="76">
        <f t="shared" si="1"/>
        <v>-10.716727500000001</v>
      </c>
      <c r="D7" s="76">
        <f t="shared" si="1"/>
        <v>-4.4631375000000002</v>
      </c>
      <c r="E7" s="76">
        <f t="shared" si="1"/>
        <v>3.1605487500000002</v>
      </c>
      <c r="F7" s="76">
        <f t="shared" si="1"/>
        <v>10.020356249999999</v>
      </c>
      <c r="G7" s="76">
        <f t="shared" si="1"/>
        <v>15.269875000000001</v>
      </c>
      <c r="H7" s="76">
        <f t="shared" si="1"/>
        <v>20.289490000000001</v>
      </c>
      <c r="I7" s="76">
        <f t="shared" si="1"/>
        <v>20.316285000000001</v>
      </c>
      <c r="J7" s="76">
        <f t="shared" si="1"/>
        <v>13.25336875</v>
      </c>
      <c r="K7" s="76">
        <f t="shared" si="1"/>
        <v>4.6904525000000001</v>
      </c>
      <c r="L7" s="76">
        <f t="shared" si="1"/>
        <v>-2.9600287500000002</v>
      </c>
      <c r="M7" s="76">
        <f t="shared" si="1"/>
        <v>-10.913618750000001</v>
      </c>
      <c r="N7" s="79">
        <f t="shared" si="0"/>
        <v>3.7086117708333339</v>
      </c>
    </row>
    <row r="8" spans="1:26" s="1" customFormat="1" ht="16.5" customHeight="1">
      <c r="A8" s="78">
        <v>1</v>
      </c>
      <c r="B8" s="76">
        <f t="shared" ref="B8:M8" si="2">B5+(B6/2)*-0.965926</f>
        <v>-13.9330374</v>
      </c>
      <c r="C8" s="76">
        <f t="shared" si="2"/>
        <v>-11.2262226</v>
      </c>
      <c r="D8" s="76">
        <f t="shared" si="2"/>
        <v>-5.0125929999999999</v>
      </c>
      <c r="E8" s="76">
        <f t="shared" si="2"/>
        <v>2.5561477000000012</v>
      </c>
      <c r="F8" s="76">
        <f t="shared" si="2"/>
        <v>9.4459255000000013</v>
      </c>
      <c r="G8" s="76">
        <f t="shared" si="2"/>
        <v>14.770370000000002</v>
      </c>
      <c r="H8" s="76">
        <f t="shared" si="2"/>
        <v>19.849925600000002</v>
      </c>
      <c r="I8" s="76">
        <f t="shared" si="2"/>
        <v>19.8567404</v>
      </c>
      <c r="J8" s="76">
        <f t="shared" si="2"/>
        <v>12.7288885</v>
      </c>
      <c r="K8" s="76">
        <f t="shared" si="2"/>
        <v>4.1010366000000005</v>
      </c>
      <c r="L8" s="76">
        <f t="shared" si="2"/>
        <v>-3.4745189000000005</v>
      </c>
      <c r="M8" s="76">
        <f t="shared" si="2"/>
        <v>-11.3881485</v>
      </c>
      <c r="N8" s="79">
        <f t="shared" si="0"/>
        <v>3.1895428250000006</v>
      </c>
    </row>
    <row r="9" spans="1:26" s="1" customFormat="1" ht="16.5" customHeight="1">
      <c r="A9" s="78">
        <v>2</v>
      </c>
      <c r="B9" s="76">
        <f t="shared" ref="B9:M9" si="3">B5+(B6/2)*-1</f>
        <v>-14.1</v>
      </c>
      <c r="C9" s="76">
        <f t="shared" si="3"/>
        <v>-11.399999999999999</v>
      </c>
      <c r="D9" s="76">
        <f t="shared" si="3"/>
        <v>-5.2</v>
      </c>
      <c r="E9" s="76">
        <f t="shared" si="3"/>
        <v>2.3500000000000005</v>
      </c>
      <c r="F9" s="76">
        <f t="shared" si="3"/>
        <v>9.25</v>
      </c>
      <c r="G9" s="76">
        <f t="shared" si="3"/>
        <v>14.600000000000001</v>
      </c>
      <c r="H9" s="76">
        <f t="shared" si="3"/>
        <v>19.700000000000003</v>
      </c>
      <c r="I9" s="76">
        <f t="shared" si="3"/>
        <v>19.700000000000003</v>
      </c>
      <c r="J9" s="76">
        <f t="shared" si="3"/>
        <v>12.55</v>
      </c>
      <c r="K9" s="76">
        <f t="shared" si="3"/>
        <v>3.9000000000000004</v>
      </c>
      <c r="L9" s="76">
        <f t="shared" si="3"/>
        <v>-3.6500000000000004</v>
      </c>
      <c r="M9" s="76">
        <f t="shared" si="3"/>
        <v>-11.55</v>
      </c>
      <c r="N9" s="79">
        <f t="shared" si="0"/>
        <v>3.0125000000000006</v>
      </c>
    </row>
    <row r="10" spans="1:26" s="1" customFormat="1" ht="16.5" customHeight="1">
      <c r="A10" s="78">
        <v>3</v>
      </c>
      <c r="B10" s="76">
        <f t="shared" ref="B10:M10" si="4">B5+(B6/2)*-0.965926</f>
        <v>-13.9330374</v>
      </c>
      <c r="C10" s="76">
        <f t="shared" si="4"/>
        <v>-11.2262226</v>
      </c>
      <c r="D10" s="76">
        <f t="shared" si="4"/>
        <v>-5.0125929999999999</v>
      </c>
      <c r="E10" s="76">
        <f t="shared" si="4"/>
        <v>2.5561477000000012</v>
      </c>
      <c r="F10" s="76">
        <f t="shared" si="4"/>
        <v>9.4459255000000013</v>
      </c>
      <c r="G10" s="76">
        <f t="shared" si="4"/>
        <v>14.770370000000002</v>
      </c>
      <c r="H10" s="76">
        <f t="shared" si="4"/>
        <v>19.849925600000002</v>
      </c>
      <c r="I10" s="76">
        <f t="shared" si="4"/>
        <v>19.8567404</v>
      </c>
      <c r="J10" s="76">
        <f t="shared" si="4"/>
        <v>12.7288885</v>
      </c>
      <c r="K10" s="76">
        <f t="shared" si="4"/>
        <v>4.1010366000000005</v>
      </c>
      <c r="L10" s="76">
        <f t="shared" si="4"/>
        <v>-3.4745189000000005</v>
      </c>
      <c r="M10" s="76">
        <f t="shared" si="4"/>
        <v>-11.3881485</v>
      </c>
      <c r="N10" s="79">
        <f t="shared" si="0"/>
        <v>3.1895428250000006</v>
      </c>
    </row>
    <row r="11" spans="1:26" s="1" customFormat="1" ht="16.5" customHeight="1">
      <c r="A11" s="78">
        <v>4</v>
      </c>
      <c r="B11" s="76">
        <f t="shared" ref="B11:M11" si="5">B5+(B6/2)*-0.866025</f>
        <v>-13.4435225</v>
      </c>
      <c r="C11" s="76">
        <f t="shared" si="5"/>
        <v>-10.716727500000001</v>
      </c>
      <c r="D11" s="76">
        <f t="shared" si="5"/>
        <v>-4.4631375000000002</v>
      </c>
      <c r="E11" s="76">
        <f t="shared" si="5"/>
        <v>3.1605487500000002</v>
      </c>
      <c r="F11" s="76">
        <f t="shared" si="5"/>
        <v>10.020356249999999</v>
      </c>
      <c r="G11" s="76">
        <f t="shared" si="5"/>
        <v>15.269875000000001</v>
      </c>
      <c r="H11" s="76">
        <f t="shared" si="5"/>
        <v>20.289490000000001</v>
      </c>
      <c r="I11" s="76">
        <f t="shared" si="5"/>
        <v>20.316285000000001</v>
      </c>
      <c r="J11" s="76">
        <f t="shared" si="5"/>
        <v>13.25336875</v>
      </c>
      <c r="K11" s="76">
        <f t="shared" si="5"/>
        <v>4.6904525000000001</v>
      </c>
      <c r="L11" s="76">
        <f t="shared" si="5"/>
        <v>-2.9600287500000002</v>
      </c>
      <c r="M11" s="76">
        <f t="shared" si="5"/>
        <v>-10.913618750000001</v>
      </c>
      <c r="N11" s="79">
        <f t="shared" si="0"/>
        <v>3.7086117708333339</v>
      </c>
    </row>
    <row r="12" spans="1:26" s="1" customFormat="1" ht="16.5" customHeight="1">
      <c r="A12" s="78">
        <v>5</v>
      </c>
      <c r="B12" s="76">
        <f t="shared" ref="B12:M12" si="6">B5+(B6/2)*-0.707107</f>
        <v>-12.664824299999999</v>
      </c>
      <c r="C12" s="76">
        <f t="shared" si="6"/>
        <v>-9.9062456999999995</v>
      </c>
      <c r="D12" s="76">
        <f t="shared" si="6"/>
        <v>-3.5890885000000003</v>
      </c>
      <c r="E12" s="76">
        <f t="shared" si="6"/>
        <v>4.1220026500000007</v>
      </c>
      <c r="F12" s="76">
        <f t="shared" si="6"/>
        <v>10.93413475</v>
      </c>
      <c r="G12" s="76">
        <f t="shared" si="6"/>
        <v>16.064465000000002</v>
      </c>
      <c r="H12" s="76">
        <f t="shared" si="6"/>
        <v>20.988729200000002</v>
      </c>
      <c r="I12" s="76">
        <f t="shared" si="6"/>
        <v>21.047307800000002</v>
      </c>
      <c r="J12" s="76">
        <f t="shared" si="6"/>
        <v>14.087688250000001</v>
      </c>
      <c r="K12" s="76">
        <f t="shared" si="6"/>
        <v>5.6280687</v>
      </c>
      <c r="L12" s="76">
        <f t="shared" si="6"/>
        <v>-2.1416010500000007</v>
      </c>
      <c r="M12" s="76">
        <f t="shared" si="6"/>
        <v>-10.15875825</v>
      </c>
      <c r="N12" s="79">
        <f t="shared" si="0"/>
        <v>4.5343232125000004</v>
      </c>
    </row>
    <row r="13" spans="1:26" s="1" customFormat="1" ht="16.5" customHeight="1">
      <c r="A13" s="78">
        <v>6</v>
      </c>
      <c r="B13" s="76">
        <f t="shared" ref="B13:M13" si="7">B5+(B6/2)*-0.5</f>
        <v>-11.649999999999999</v>
      </c>
      <c r="C13" s="76">
        <f t="shared" si="7"/>
        <v>-8.85</v>
      </c>
      <c r="D13" s="76">
        <f t="shared" si="7"/>
        <v>-2.4500000000000002</v>
      </c>
      <c r="E13" s="76">
        <f t="shared" si="7"/>
        <v>5.375</v>
      </c>
      <c r="F13" s="76">
        <f t="shared" si="7"/>
        <v>12.125</v>
      </c>
      <c r="G13" s="76">
        <f t="shared" si="7"/>
        <v>17.100000000000001</v>
      </c>
      <c r="H13" s="76">
        <f t="shared" si="7"/>
        <v>21.900000000000002</v>
      </c>
      <c r="I13" s="76">
        <f t="shared" si="7"/>
        <v>22</v>
      </c>
      <c r="J13" s="76">
        <f t="shared" si="7"/>
        <v>15.175000000000001</v>
      </c>
      <c r="K13" s="76">
        <f t="shared" si="7"/>
        <v>6.8500000000000005</v>
      </c>
      <c r="L13" s="76">
        <f t="shared" si="7"/>
        <v>-1.0750000000000002</v>
      </c>
      <c r="M13" s="76">
        <f t="shared" si="7"/>
        <v>-9.1750000000000007</v>
      </c>
      <c r="N13" s="79">
        <f t="shared" si="0"/>
        <v>5.6104166666666666</v>
      </c>
    </row>
    <row r="14" spans="1:26" s="1" customFormat="1" ht="16.5" customHeight="1">
      <c r="A14" s="78">
        <v>7</v>
      </c>
      <c r="B14" s="76">
        <f t="shared" ref="B14:M14" si="8">B5+(B6/2)*-0.258819</f>
        <v>-10.4682131</v>
      </c>
      <c r="C14" s="76">
        <f t="shared" si="8"/>
        <v>-7.6199769000000002</v>
      </c>
      <c r="D14" s="76">
        <f t="shared" si="8"/>
        <v>-1.1235045000000001</v>
      </c>
      <c r="E14" s="76">
        <f t="shared" si="8"/>
        <v>6.8341450500000001</v>
      </c>
      <c r="F14" s="76">
        <f t="shared" si="8"/>
        <v>13.511790749999999</v>
      </c>
      <c r="G14" s="76">
        <f t="shared" si="8"/>
        <v>18.305905000000003</v>
      </c>
      <c r="H14" s="76">
        <f t="shared" si="8"/>
        <v>22.961196400000002</v>
      </c>
      <c r="I14" s="76">
        <f t="shared" si="8"/>
        <v>23.109432600000002</v>
      </c>
      <c r="J14" s="76">
        <f t="shared" si="8"/>
        <v>16.441200250000001</v>
      </c>
      <c r="K14" s="76">
        <f t="shared" si="8"/>
        <v>8.2729679000000012</v>
      </c>
      <c r="L14" s="76">
        <f t="shared" si="8"/>
        <v>0.16708214999999971</v>
      </c>
      <c r="M14" s="76">
        <f t="shared" si="8"/>
        <v>-8.0293902500000005</v>
      </c>
      <c r="N14" s="79">
        <f t="shared" si="0"/>
        <v>6.8635529458333338</v>
      </c>
    </row>
    <row r="15" spans="1:26" s="1" customFormat="1" ht="16.5" customHeight="1">
      <c r="A15" s="78">
        <v>8</v>
      </c>
      <c r="B15" s="76">
        <f t="shared" ref="B15:M15" si="9">B5+(B6/2)*0</f>
        <v>-9.1999999999999993</v>
      </c>
      <c r="C15" s="76">
        <f t="shared" si="9"/>
        <v>-6.3</v>
      </c>
      <c r="D15" s="76">
        <f t="shared" si="9"/>
        <v>0.3</v>
      </c>
      <c r="E15" s="76">
        <f t="shared" si="9"/>
        <v>8.4</v>
      </c>
      <c r="F15" s="76">
        <f t="shared" si="9"/>
        <v>15</v>
      </c>
      <c r="G15" s="76">
        <f t="shared" si="9"/>
        <v>19.600000000000001</v>
      </c>
      <c r="H15" s="76">
        <f t="shared" si="9"/>
        <v>24.1</v>
      </c>
      <c r="I15" s="76">
        <f t="shared" si="9"/>
        <v>24.3</v>
      </c>
      <c r="J15" s="76">
        <f t="shared" si="9"/>
        <v>17.8</v>
      </c>
      <c r="K15" s="76">
        <f t="shared" si="9"/>
        <v>9.8000000000000007</v>
      </c>
      <c r="L15" s="76">
        <f t="shared" si="9"/>
        <v>1.5</v>
      </c>
      <c r="M15" s="76">
        <f t="shared" si="9"/>
        <v>-6.8</v>
      </c>
      <c r="N15" s="79">
        <f t="shared" si="0"/>
        <v>8.2083333333333339</v>
      </c>
    </row>
    <row r="16" spans="1:26" s="1" customFormat="1" ht="16.5" customHeight="1">
      <c r="A16" s="78">
        <v>9</v>
      </c>
      <c r="B16" s="76">
        <f t="shared" ref="B16:M16" si="10">B5+(B6/2)*0.258819</f>
        <v>-7.9317868999999988</v>
      </c>
      <c r="C16" s="76">
        <f t="shared" si="10"/>
        <v>-4.9800230999999995</v>
      </c>
      <c r="D16" s="76">
        <f t="shared" si="10"/>
        <v>1.7235045000000002</v>
      </c>
      <c r="E16" s="76">
        <f t="shared" si="10"/>
        <v>9.9658549500000007</v>
      </c>
      <c r="F16" s="76">
        <f t="shared" si="10"/>
        <v>16.488209250000001</v>
      </c>
      <c r="G16" s="76">
        <f t="shared" si="10"/>
        <v>20.894095</v>
      </c>
      <c r="H16" s="76">
        <f t="shared" si="10"/>
        <v>25.238803600000001</v>
      </c>
      <c r="I16" s="76">
        <f t="shared" si="10"/>
        <v>25.4905674</v>
      </c>
      <c r="J16" s="76">
        <f t="shared" si="10"/>
        <v>19.15879975</v>
      </c>
      <c r="K16" s="76">
        <f t="shared" si="10"/>
        <v>11.3270321</v>
      </c>
      <c r="L16" s="76">
        <f t="shared" si="10"/>
        <v>2.8329178500000003</v>
      </c>
      <c r="M16" s="76">
        <f t="shared" si="10"/>
        <v>-5.57060975</v>
      </c>
      <c r="N16" s="79">
        <f t="shared" si="0"/>
        <v>9.5531137208333323</v>
      </c>
    </row>
    <row r="17" spans="1:14" s="1" customFormat="1" ht="16.5" customHeight="1">
      <c r="A17" s="78">
        <v>10</v>
      </c>
      <c r="B17" s="76">
        <f t="shared" ref="B17:M17" si="11">B5+(B6/2)*0.5</f>
        <v>-6.7499999999999991</v>
      </c>
      <c r="C17" s="76">
        <f t="shared" si="11"/>
        <v>-3.75</v>
      </c>
      <c r="D17" s="76">
        <f t="shared" si="11"/>
        <v>3.05</v>
      </c>
      <c r="E17" s="76">
        <f t="shared" si="11"/>
        <v>11.425000000000001</v>
      </c>
      <c r="F17" s="76">
        <f t="shared" si="11"/>
        <v>17.875</v>
      </c>
      <c r="G17" s="76">
        <f t="shared" si="11"/>
        <v>22.1</v>
      </c>
      <c r="H17" s="76">
        <f t="shared" si="11"/>
        <v>26.3</v>
      </c>
      <c r="I17" s="76">
        <f t="shared" si="11"/>
        <v>26.6</v>
      </c>
      <c r="J17" s="76">
        <f t="shared" si="11"/>
        <v>20.425000000000001</v>
      </c>
      <c r="K17" s="76">
        <f t="shared" si="11"/>
        <v>12.75</v>
      </c>
      <c r="L17" s="76">
        <f t="shared" si="11"/>
        <v>4.0750000000000002</v>
      </c>
      <c r="M17" s="76">
        <f t="shared" si="11"/>
        <v>-4.4249999999999998</v>
      </c>
      <c r="N17" s="79">
        <f t="shared" si="0"/>
        <v>10.806249999999997</v>
      </c>
    </row>
    <row r="18" spans="1:14" s="1" customFormat="1" ht="16.5" customHeight="1">
      <c r="A18" s="78">
        <v>11</v>
      </c>
      <c r="B18" s="76">
        <f t="shared" ref="B18:M18" si="12">B5+(B6/2)*0.707107</f>
        <v>-5.7351756999999992</v>
      </c>
      <c r="C18" s="76">
        <f t="shared" si="12"/>
        <v>-2.6937542999999997</v>
      </c>
      <c r="D18" s="76">
        <f t="shared" si="12"/>
        <v>4.1890885000000004</v>
      </c>
      <c r="E18" s="76">
        <f t="shared" si="12"/>
        <v>12.67799735</v>
      </c>
      <c r="F18" s="76">
        <f t="shared" si="12"/>
        <v>19.065865250000002</v>
      </c>
      <c r="G18" s="76">
        <f t="shared" si="12"/>
        <v>23.135535000000001</v>
      </c>
      <c r="H18" s="76">
        <f t="shared" si="12"/>
        <v>27.211270800000001</v>
      </c>
      <c r="I18" s="76">
        <f t="shared" si="12"/>
        <v>27.552692199999999</v>
      </c>
      <c r="J18" s="76">
        <f t="shared" si="12"/>
        <v>21.512311750000002</v>
      </c>
      <c r="K18" s="76">
        <f t="shared" si="12"/>
        <v>13.971931300000001</v>
      </c>
      <c r="L18" s="76">
        <f t="shared" si="12"/>
        <v>5.1416010500000002</v>
      </c>
      <c r="M18" s="76">
        <f t="shared" si="12"/>
        <v>-3.4412417499999997</v>
      </c>
      <c r="N18" s="79">
        <f t="shared" si="0"/>
        <v>11.882343454166667</v>
      </c>
    </row>
    <row r="19" spans="1:14" s="1" customFormat="1" ht="16.5" customHeight="1">
      <c r="A19" s="78">
        <v>12</v>
      </c>
      <c r="B19" s="76">
        <f t="shared" ref="B19:M19" si="13">B5+(B6/2)*0.866025</f>
        <v>-4.9564774999999992</v>
      </c>
      <c r="C19" s="76">
        <f t="shared" si="13"/>
        <v>-1.8832724999999995</v>
      </c>
      <c r="D19" s="76">
        <f t="shared" si="13"/>
        <v>5.0631374999999998</v>
      </c>
      <c r="E19" s="76">
        <f t="shared" si="13"/>
        <v>13.63945125</v>
      </c>
      <c r="F19" s="76">
        <f t="shared" si="13"/>
        <v>19.979643750000001</v>
      </c>
      <c r="G19" s="76">
        <f t="shared" si="13"/>
        <v>23.930125000000004</v>
      </c>
      <c r="H19" s="76">
        <f t="shared" si="13"/>
        <v>27.910510000000002</v>
      </c>
      <c r="I19" s="76">
        <f t="shared" si="13"/>
        <v>28.283715000000001</v>
      </c>
      <c r="J19" s="76">
        <f t="shared" si="13"/>
        <v>22.346631250000002</v>
      </c>
      <c r="K19" s="76">
        <f t="shared" si="13"/>
        <v>14.909547500000002</v>
      </c>
      <c r="L19" s="76">
        <f t="shared" si="13"/>
        <v>5.9600287500000002</v>
      </c>
      <c r="M19" s="76">
        <f t="shared" si="13"/>
        <v>-2.6863812499999993</v>
      </c>
      <c r="N19" s="79">
        <f t="shared" si="0"/>
        <v>12.708054895833333</v>
      </c>
    </row>
    <row r="20" spans="1:14" s="1" customFormat="1" ht="16.5" customHeight="1">
      <c r="A20" s="78">
        <v>13</v>
      </c>
      <c r="B20" s="76">
        <f t="shared" ref="B20:M20" si="14">B5+(B6/2)*0.965926</f>
        <v>-4.4669625999999996</v>
      </c>
      <c r="C20" s="76">
        <f t="shared" si="14"/>
        <v>-1.3737774000000007</v>
      </c>
      <c r="D20" s="76">
        <f t="shared" si="14"/>
        <v>5.6125929999999995</v>
      </c>
      <c r="E20" s="76">
        <f t="shared" si="14"/>
        <v>14.2438523</v>
      </c>
      <c r="F20" s="76">
        <f t="shared" si="14"/>
        <v>20.554074499999999</v>
      </c>
      <c r="G20" s="76">
        <f t="shared" si="14"/>
        <v>24.429630000000003</v>
      </c>
      <c r="H20" s="76">
        <f t="shared" si="14"/>
        <v>28.3500744</v>
      </c>
      <c r="I20" s="76">
        <f t="shared" si="14"/>
        <v>28.743259600000002</v>
      </c>
      <c r="J20" s="76">
        <f t="shared" si="14"/>
        <v>22.871111500000001</v>
      </c>
      <c r="K20" s="76">
        <f t="shared" si="14"/>
        <v>15.498963400000001</v>
      </c>
      <c r="L20" s="76">
        <f t="shared" si="14"/>
        <v>6.4745189000000005</v>
      </c>
      <c r="M20" s="76">
        <f t="shared" si="14"/>
        <v>-2.2118514999999999</v>
      </c>
      <c r="N20" s="79">
        <f t="shared" si="0"/>
        <v>13.227123841666668</v>
      </c>
    </row>
    <row r="21" spans="1:14" s="1" customFormat="1" ht="16.5" customHeight="1">
      <c r="A21" s="78">
        <v>14</v>
      </c>
      <c r="B21" s="76">
        <f t="shared" ref="B21:M21" si="15">B5+(B6/2)*1</f>
        <v>-4.2999999999999989</v>
      </c>
      <c r="C21" s="76">
        <f t="shared" si="15"/>
        <v>-1.2000000000000002</v>
      </c>
      <c r="D21" s="76">
        <f t="shared" si="15"/>
        <v>5.8</v>
      </c>
      <c r="E21" s="76">
        <f t="shared" si="15"/>
        <v>14.45</v>
      </c>
      <c r="F21" s="76">
        <f t="shared" si="15"/>
        <v>20.75</v>
      </c>
      <c r="G21" s="76">
        <f t="shared" si="15"/>
        <v>24.6</v>
      </c>
      <c r="H21" s="76">
        <f t="shared" si="15"/>
        <v>28.5</v>
      </c>
      <c r="I21" s="76">
        <f t="shared" si="15"/>
        <v>28.9</v>
      </c>
      <c r="J21" s="76">
        <f t="shared" si="15"/>
        <v>23.05</v>
      </c>
      <c r="K21" s="76">
        <f t="shared" si="15"/>
        <v>15.700000000000001</v>
      </c>
      <c r="L21" s="76">
        <f t="shared" si="15"/>
        <v>6.65</v>
      </c>
      <c r="M21" s="76">
        <f t="shared" si="15"/>
        <v>-2.0499999999999998</v>
      </c>
      <c r="N21" s="79">
        <f t="shared" si="0"/>
        <v>13.404166666666667</v>
      </c>
    </row>
    <row r="22" spans="1:14" s="1" customFormat="1" ht="16.5" customHeight="1">
      <c r="A22" s="78">
        <v>15</v>
      </c>
      <c r="B22" s="76">
        <f t="shared" ref="B22:M22" si="16">B5+(B6/2)*0.965926</f>
        <v>-4.4669625999999996</v>
      </c>
      <c r="C22" s="76">
        <f t="shared" si="16"/>
        <v>-1.3737774000000007</v>
      </c>
      <c r="D22" s="76">
        <f t="shared" si="16"/>
        <v>5.6125929999999995</v>
      </c>
      <c r="E22" s="76">
        <f t="shared" si="16"/>
        <v>14.2438523</v>
      </c>
      <c r="F22" s="76">
        <f t="shared" si="16"/>
        <v>20.554074499999999</v>
      </c>
      <c r="G22" s="76">
        <f t="shared" si="16"/>
        <v>24.429630000000003</v>
      </c>
      <c r="H22" s="76">
        <f t="shared" si="16"/>
        <v>28.3500744</v>
      </c>
      <c r="I22" s="76">
        <f t="shared" si="16"/>
        <v>28.743259600000002</v>
      </c>
      <c r="J22" s="76">
        <f t="shared" si="16"/>
        <v>22.871111500000001</v>
      </c>
      <c r="K22" s="76">
        <f t="shared" si="16"/>
        <v>15.498963400000001</v>
      </c>
      <c r="L22" s="76">
        <f t="shared" si="16"/>
        <v>6.4745189000000005</v>
      </c>
      <c r="M22" s="76">
        <f t="shared" si="16"/>
        <v>-2.2118514999999999</v>
      </c>
      <c r="N22" s="79">
        <f t="shared" si="0"/>
        <v>13.227123841666668</v>
      </c>
    </row>
    <row r="23" spans="1:14" s="1" customFormat="1" ht="16.5" customHeight="1">
      <c r="A23" s="78">
        <v>16</v>
      </c>
      <c r="B23" s="76">
        <f t="shared" ref="B23:M23" si="17">B5+(B6/2)*0.866025</f>
        <v>-4.9564774999999992</v>
      </c>
      <c r="C23" s="76">
        <f t="shared" si="17"/>
        <v>-1.8832724999999995</v>
      </c>
      <c r="D23" s="76">
        <f t="shared" si="17"/>
        <v>5.0631374999999998</v>
      </c>
      <c r="E23" s="76">
        <f t="shared" si="17"/>
        <v>13.63945125</v>
      </c>
      <c r="F23" s="76">
        <f t="shared" si="17"/>
        <v>19.979643750000001</v>
      </c>
      <c r="G23" s="76">
        <f t="shared" si="17"/>
        <v>23.930125000000004</v>
      </c>
      <c r="H23" s="76">
        <f t="shared" si="17"/>
        <v>27.910510000000002</v>
      </c>
      <c r="I23" s="76">
        <f t="shared" si="17"/>
        <v>28.283715000000001</v>
      </c>
      <c r="J23" s="76">
        <f t="shared" si="17"/>
        <v>22.346631250000002</v>
      </c>
      <c r="K23" s="76">
        <f t="shared" si="17"/>
        <v>14.909547500000002</v>
      </c>
      <c r="L23" s="76">
        <f t="shared" si="17"/>
        <v>5.9600287500000002</v>
      </c>
      <c r="M23" s="76">
        <f t="shared" si="17"/>
        <v>-2.6863812499999993</v>
      </c>
      <c r="N23" s="79">
        <f t="shared" si="0"/>
        <v>12.708054895833333</v>
      </c>
    </row>
    <row r="24" spans="1:14" s="1" customFormat="1" ht="16.5" customHeight="1">
      <c r="A24" s="78">
        <v>17</v>
      </c>
      <c r="B24" s="76">
        <f t="shared" ref="B24:M24" si="18">B5+(B6/2)*0.707107</f>
        <v>-5.7351756999999992</v>
      </c>
      <c r="C24" s="76">
        <f t="shared" si="18"/>
        <v>-2.6937542999999997</v>
      </c>
      <c r="D24" s="76">
        <f t="shared" si="18"/>
        <v>4.1890885000000004</v>
      </c>
      <c r="E24" s="76">
        <f t="shared" si="18"/>
        <v>12.67799735</v>
      </c>
      <c r="F24" s="76">
        <f t="shared" si="18"/>
        <v>19.065865250000002</v>
      </c>
      <c r="G24" s="76">
        <f t="shared" si="18"/>
        <v>23.135535000000001</v>
      </c>
      <c r="H24" s="76">
        <f t="shared" si="18"/>
        <v>27.211270800000001</v>
      </c>
      <c r="I24" s="76">
        <f t="shared" si="18"/>
        <v>27.552692199999999</v>
      </c>
      <c r="J24" s="76">
        <f t="shared" si="18"/>
        <v>21.512311750000002</v>
      </c>
      <c r="K24" s="76">
        <f t="shared" si="18"/>
        <v>13.971931300000001</v>
      </c>
      <c r="L24" s="76">
        <f t="shared" si="18"/>
        <v>5.1416010500000002</v>
      </c>
      <c r="M24" s="76">
        <f t="shared" si="18"/>
        <v>-3.4412417499999997</v>
      </c>
      <c r="N24" s="79">
        <f t="shared" si="0"/>
        <v>11.882343454166667</v>
      </c>
    </row>
    <row r="25" spans="1:14" s="1" customFormat="1" ht="16.5" customHeight="1">
      <c r="A25" s="78">
        <v>18</v>
      </c>
      <c r="B25" s="76">
        <f t="shared" ref="B25:M25" si="19">B5+(B6/2)*0.5</f>
        <v>-6.7499999999999991</v>
      </c>
      <c r="C25" s="76">
        <f t="shared" si="19"/>
        <v>-3.75</v>
      </c>
      <c r="D25" s="76">
        <f t="shared" si="19"/>
        <v>3.05</v>
      </c>
      <c r="E25" s="76">
        <f t="shared" si="19"/>
        <v>11.425000000000001</v>
      </c>
      <c r="F25" s="76">
        <f t="shared" si="19"/>
        <v>17.875</v>
      </c>
      <c r="G25" s="76">
        <f t="shared" si="19"/>
        <v>22.1</v>
      </c>
      <c r="H25" s="76">
        <f t="shared" si="19"/>
        <v>26.3</v>
      </c>
      <c r="I25" s="76">
        <f t="shared" si="19"/>
        <v>26.6</v>
      </c>
      <c r="J25" s="76">
        <f t="shared" si="19"/>
        <v>20.425000000000001</v>
      </c>
      <c r="K25" s="76">
        <f t="shared" si="19"/>
        <v>12.75</v>
      </c>
      <c r="L25" s="76">
        <f t="shared" si="19"/>
        <v>4.0750000000000002</v>
      </c>
      <c r="M25" s="76">
        <f t="shared" si="19"/>
        <v>-4.4249999999999998</v>
      </c>
      <c r="N25" s="79">
        <f t="shared" si="0"/>
        <v>10.806249999999997</v>
      </c>
    </row>
    <row r="26" spans="1:14" s="1" customFormat="1" ht="16.5" customHeight="1">
      <c r="A26" s="78">
        <v>19</v>
      </c>
      <c r="B26" s="76">
        <f t="shared" ref="B26:M26" si="20">B5+(B6/2)*0.258819</f>
        <v>-7.9317868999999988</v>
      </c>
      <c r="C26" s="76">
        <f t="shared" si="20"/>
        <v>-4.9800230999999995</v>
      </c>
      <c r="D26" s="76">
        <f t="shared" si="20"/>
        <v>1.7235045000000002</v>
      </c>
      <c r="E26" s="76">
        <f t="shared" si="20"/>
        <v>9.9658549500000007</v>
      </c>
      <c r="F26" s="76">
        <f t="shared" si="20"/>
        <v>16.488209250000001</v>
      </c>
      <c r="G26" s="76">
        <f t="shared" si="20"/>
        <v>20.894095</v>
      </c>
      <c r="H26" s="76">
        <f t="shared" si="20"/>
        <v>25.238803600000001</v>
      </c>
      <c r="I26" s="76">
        <f t="shared" si="20"/>
        <v>25.4905674</v>
      </c>
      <c r="J26" s="76">
        <f t="shared" si="20"/>
        <v>19.15879975</v>
      </c>
      <c r="K26" s="76">
        <f t="shared" si="20"/>
        <v>11.3270321</v>
      </c>
      <c r="L26" s="76">
        <f t="shared" si="20"/>
        <v>2.8329178500000003</v>
      </c>
      <c r="M26" s="76">
        <f t="shared" si="20"/>
        <v>-5.57060975</v>
      </c>
      <c r="N26" s="79">
        <f t="shared" si="0"/>
        <v>9.5531137208333323</v>
      </c>
    </row>
    <row r="27" spans="1:14" s="1" customFormat="1" ht="16.5" customHeight="1">
      <c r="A27" s="78">
        <v>20</v>
      </c>
      <c r="B27" s="76">
        <f t="shared" ref="B27:M27" si="21">B5+(B6/2)*0</f>
        <v>-9.1999999999999993</v>
      </c>
      <c r="C27" s="76">
        <f t="shared" si="21"/>
        <v>-6.3</v>
      </c>
      <c r="D27" s="76">
        <f t="shared" si="21"/>
        <v>0.3</v>
      </c>
      <c r="E27" s="76">
        <f t="shared" si="21"/>
        <v>8.4</v>
      </c>
      <c r="F27" s="76">
        <f t="shared" si="21"/>
        <v>15</v>
      </c>
      <c r="G27" s="76">
        <f t="shared" si="21"/>
        <v>19.600000000000001</v>
      </c>
      <c r="H27" s="76">
        <f t="shared" si="21"/>
        <v>24.1</v>
      </c>
      <c r="I27" s="76">
        <f t="shared" si="21"/>
        <v>24.3</v>
      </c>
      <c r="J27" s="76">
        <f t="shared" si="21"/>
        <v>17.8</v>
      </c>
      <c r="K27" s="76">
        <f t="shared" si="21"/>
        <v>9.8000000000000007</v>
      </c>
      <c r="L27" s="76">
        <f t="shared" si="21"/>
        <v>1.5</v>
      </c>
      <c r="M27" s="76">
        <f t="shared" si="21"/>
        <v>-6.8</v>
      </c>
      <c r="N27" s="79">
        <f t="shared" si="0"/>
        <v>8.2083333333333339</v>
      </c>
    </row>
    <row r="28" spans="1:14" s="1" customFormat="1" ht="16.5" customHeight="1">
      <c r="A28" s="78">
        <v>21</v>
      </c>
      <c r="B28" s="76">
        <f t="shared" ref="B28:M28" si="22">B5+(B6/2)*-0.258819</f>
        <v>-10.4682131</v>
      </c>
      <c r="C28" s="76">
        <f t="shared" si="22"/>
        <v>-7.6199769000000002</v>
      </c>
      <c r="D28" s="76">
        <f t="shared" si="22"/>
        <v>-1.1235045000000001</v>
      </c>
      <c r="E28" s="76">
        <f t="shared" si="22"/>
        <v>6.8341450500000001</v>
      </c>
      <c r="F28" s="76">
        <f t="shared" si="22"/>
        <v>13.511790749999999</v>
      </c>
      <c r="G28" s="76">
        <f t="shared" si="22"/>
        <v>18.305905000000003</v>
      </c>
      <c r="H28" s="76">
        <f t="shared" si="22"/>
        <v>22.961196400000002</v>
      </c>
      <c r="I28" s="76">
        <f t="shared" si="22"/>
        <v>23.109432600000002</v>
      </c>
      <c r="J28" s="76">
        <f t="shared" si="22"/>
        <v>16.441200250000001</v>
      </c>
      <c r="K28" s="76">
        <f t="shared" si="22"/>
        <v>8.2729679000000012</v>
      </c>
      <c r="L28" s="76">
        <f t="shared" si="22"/>
        <v>0.16708214999999971</v>
      </c>
      <c r="M28" s="76">
        <f t="shared" si="22"/>
        <v>-8.0293902500000005</v>
      </c>
      <c r="N28" s="79">
        <f t="shared" si="0"/>
        <v>6.8635529458333338</v>
      </c>
    </row>
    <row r="29" spans="1:14" s="1" customFormat="1" ht="16.5" customHeight="1">
      <c r="A29" s="78">
        <v>22</v>
      </c>
      <c r="B29" s="76">
        <f t="shared" ref="B29:M29" si="23">B5+(B6/2)*-0.5</f>
        <v>-11.649999999999999</v>
      </c>
      <c r="C29" s="76">
        <f t="shared" si="23"/>
        <v>-8.85</v>
      </c>
      <c r="D29" s="76">
        <f t="shared" si="23"/>
        <v>-2.4500000000000002</v>
      </c>
      <c r="E29" s="76">
        <f t="shared" si="23"/>
        <v>5.375</v>
      </c>
      <c r="F29" s="76">
        <f t="shared" si="23"/>
        <v>12.125</v>
      </c>
      <c r="G29" s="76">
        <f t="shared" si="23"/>
        <v>17.100000000000001</v>
      </c>
      <c r="H29" s="76">
        <f t="shared" si="23"/>
        <v>21.900000000000002</v>
      </c>
      <c r="I29" s="76">
        <f t="shared" si="23"/>
        <v>22</v>
      </c>
      <c r="J29" s="76">
        <f t="shared" si="23"/>
        <v>15.175000000000001</v>
      </c>
      <c r="K29" s="76">
        <f t="shared" si="23"/>
        <v>6.8500000000000005</v>
      </c>
      <c r="L29" s="76">
        <f t="shared" si="23"/>
        <v>-1.0750000000000002</v>
      </c>
      <c r="M29" s="76">
        <f t="shared" si="23"/>
        <v>-9.1750000000000007</v>
      </c>
      <c r="N29" s="79">
        <f t="shared" si="0"/>
        <v>5.6104166666666666</v>
      </c>
    </row>
    <row r="30" spans="1:14" s="1" customFormat="1" ht="21.75" customHeight="1">
      <c r="A30" s="22" t="s">
        <v>342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0"/>
    </row>
    <row r="31" spans="1:14" s="1" customFormat="1" ht="21.75" customHeight="1">
      <c r="A31" s="80" t="s">
        <v>338</v>
      </c>
      <c r="B31" s="81" t="s">
        <v>27</v>
      </c>
      <c r="C31" s="81" t="s">
        <v>28</v>
      </c>
      <c r="D31" s="81" t="s">
        <v>29</v>
      </c>
      <c r="E31" s="81" t="s">
        <v>30</v>
      </c>
      <c r="F31" s="81" t="s">
        <v>31</v>
      </c>
      <c r="G31" s="81" t="s">
        <v>32</v>
      </c>
      <c r="H31" s="81" t="s">
        <v>33</v>
      </c>
      <c r="I31" s="81" t="s">
        <v>34</v>
      </c>
      <c r="J31" s="81" t="s">
        <v>35</v>
      </c>
      <c r="K31" s="81" t="s">
        <v>36</v>
      </c>
      <c r="L31" s="81" t="s">
        <v>37</v>
      </c>
      <c r="M31" s="81" t="s">
        <v>38</v>
      </c>
      <c r="N31" s="80" t="s">
        <v>339</v>
      </c>
    </row>
    <row r="32" spans="1:14" s="1" customFormat="1" ht="19.5" customHeight="1">
      <c r="A32" s="82" t="s">
        <v>340</v>
      </c>
      <c r="B32" s="83">
        <v>-1.8</v>
      </c>
      <c r="C32" s="83">
        <v>0.8</v>
      </c>
      <c r="D32" s="83">
        <v>6.5</v>
      </c>
      <c r="E32" s="83">
        <v>13.2</v>
      </c>
      <c r="F32" s="83">
        <v>18.5</v>
      </c>
      <c r="G32" s="83">
        <v>23</v>
      </c>
      <c r="H32" s="83">
        <v>26.4</v>
      </c>
      <c r="I32" s="83">
        <v>27.1</v>
      </c>
      <c r="J32" s="83">
        <v>22</v>
      </c>
      <c r="K32" s="83">
        <v>15.2</v>
      </c>
      <c r="L32" s="83">
        <v>7.5</v>
      </c>
      <c r="M32" s="83">
        <v>0.5</v>
      </c>
      <c r="N32" s="84">
        <f t="shared" ref="N32:N56" si="24">AVERAGE(B32,C32,D32,E32,F32,G32,H32,I32,J32,K32,L32,M32)</f>
        <v>13.241666666666665</v>
      </c>
    </row>
    <row r="33" spans="1:14" s="1" customFormat="1" ht="18" customHeight="1">
      <c r="A33" s="82" t="s">
        <v>341</v>
      </c>
      <c r="B33" s="83">
        <v>7.2</v>
      </c>
      <c r="C33" s="83">
        <v>8</v>
      </c>
      <c r="D33" s="83">
        <v>9.5</v>
      </c>
      <c r="E33" s="83">
        <v>10.8</v>
      </c>
      <c r="F33" s="83">
        <v>9.8000000000000007</v>
      </c>
      <c r="G33" s="83">
        <v>8.5</v>
      </c>
      <c r="H33" s="83">
        <v>7.5</v>
      </c>
      <c r="I33" s="83">
        <v>7.8</v>
      </c>
      <c r="J33" s="83">
        <v>8.8000000000000007</v>
      </c>
      <c r="K33" s="83">
        <v>10.199999999999999</v>
      </c>
      <c r="L33" s="83">
        <v>9</v>
      </c>
      <c r="M33" s="83">
        <v>7.5</v>
      </c>
      <c r="N33" s="84">
        <f t="shared" si="24"/>
        <v>8.7166666666666668</v>
      </c>
    </row>
    <row r="34" spans="1:14" s="1" customFormat="1" ht="16.5" customHeight="1">
      <c r="A34" s="78">
        <v>0</v>
      </c>
      <c r="B34" s="83">
        <f t="shared" ref="B34:M34" si="25">B32+(B33/2)*-0.866025</f>
        <v>-4.9176900000000003</v>
      </c>
      <c r="C34" s="83">
        <f t="shared" si="25"/>
        <v>-2.6641000000000004</v>
      </c>
      <c r="D34" s="83">
        <f t="shared" si="25"/>
        <v>2.3863812499999995</v>
      </c>
      <c r="E34" s="83">
        <f t="shared" si="25"/>
        <v>8.5234649999999981</v>
      </c>
      <c r="F34" s="83">
        <f t="shared" si="25"/>
        <v>14.256477499999999</v>
      </c>
      <c r="G34" s="83">
        <f t="shared" si="25"/>
        <v>19.31939375</v>
      </c>
      <c r="H34" s="83">
        <f t="shared" si="25"/>
        <v>23.152406249999999</v>
      </c>
      <c r="I34" s="83">
        <f t="shared" si="25"/>
        <v>23.722502500000001</v>
      </c>
      <c r="J34" s="83">
        <f t="shared" si="25"/>
        <v>18.189489999999999</v>
      </c>
      <c r="K34" s="83">
        <f t="shared" si="25"/>
        <v>10.783272499999999</v>
      </c>
      <c r="L34" s="83">
        <f t="shared" si="25"/>
        <v>3.6028874999999996</v>
      </c>
      <c r="M34" s="83">
        <f t="shared" si="25"/>
        <v>-2.7475937500000001</v>
      </c>
      <c r="N34" s="79">
        <f t="shared" si="24"/>
        <v>9.4672410416666661</v>
      </c>
    </row>
    <row r="35" spans="1:14" s="1" customFormat="1" ht="16.5" customHeight="1">
      <c r="A35" s="78">
        <v>1</v>
      </c>
      <c r="B35" s="83">
        <f t="shared" ref="B35:M35" si="26">B32+(B33/2)*-0.965926</f>
        <v>-5.2773335999999995</v>
      </c>
      <c r="C35" s="83">
        <f t="shared" si="26"/>
        <v>-3.0637039999999995</v>
      </c>
      <c r="D35" s="83">
        <f t="shared" si="26"/>
        <v>1.9118515</v>
      </c>
      <c r="E35" s="83">
        <f t="shared" si="26"/>
        <v>7.9839995999999989</v>
      </c>
      <c r="F35" s="83">
        <f t="shared" si="26"/>
        <v>13.766962599999999</v>
      </c>
      <c r="G35" s="83">
        <f t="shared" si="26"/>
        <v>18.894814499999999</v>
      </c>
      <c r="H35" s="83">
        <f t="shared" si="26"/>
        <v>22.777777499999999</v>
      </c>
      <c r="I35" s="83">
        <f t="shared" si="26"/>
        <v>23.3328886</v>
      </c>
      <c r="J35" s="83">
        <f t="shared" si="26"/>
        <v>17.749925600000001</v>
      </c>
      <c r="K35" s="83">
        <f t="shared" si="26"/>
        <v>10.2737774</v>
      </c>
      <c r="L35" s="83">
        <f t="shared" si="26"/>
        <v>3.1533329999999999</v>
      </c>
      <c r="M35" s="83">
        <f t="shared" si="26"/>
        <v>-3.1222224999999999</v>
      </c>
      <c r="N35" s="79">
        <f t="shared" si="24"/>
        <v>9.0318391833333322</v>
      </c>
    </row>
    <row r="36" spans="1:14" s="1" customFormat="1" ht="16.5" customHeight="1">
      <c r="A36" s="78">
        <v>2</v>
      </c>
      <c r="B36" s="83">
        <f t="shared" ref="B36:M36" si="27">B32+(B33/2)*-1</f>
        <v>-5.4</v>
      </c>
      <c r="C36" s="83">
        <f t="shared" si="27"/>
        <v>-3.2</v>
      </c>
      <c r="D36" s="83">
        <f t="shared" si="27"/>
        <v>1.75</v>
      </c>
      <c r="E36" s="83">
        <f t="shared" si="27"/>
        <v>7.7999999999999989</v>
      </c>
      <c r="F36" s="83">
        <f t="shared" si="27"/>
        <v>13.6</v>
      </c>
      <c r="G36" s="83">
        <f t="shared" si="27"/>
        <v>18.75</v>
      </c>
      <c r="H36" s="83">
        <f t="shared" si="27"/>
        <v>22.65</v>
      </c>
      <c r="I36" s="83">
        <f t="shared" si="27"/>
        <v>23.200000000000003</v>
      </c>
      <c r="J36" s="83">
        <f t="shared" si="27"/>
        <v>17.600000000000001</v>
      </c>
      <c r="K36" s="83">
        <f t="shared" si="27"/>
        <v>10.1</v>
      </c>
      <c r="L36" s="83">
        <f t="shared" si="27"/>
        <v>3</v>
      </c>
      <c r="M36" s="83">
        <f t="shared" si="27"/>
        <v>-3.25</v>
      </c>
      <c r="N36" s="79">
        <f t="shared" si="24"/>
        <v>8.8833333333333329</v>
      </c>
    </row>
    <row r="37" spans="1:14" s="1" customFormat="1" ht="16.5" customHeight="1">
      <c r="A37" s="78">
        <v>3</v>
      </c>
      <c r="B37" s="83">
        <f t="shared" ref="B37:M37" si="28">B32+(B33/2)*-0.965926</f>
        <v>-5.2773335999999995</v>
      </c>
      <c r="C37" s="83">
        <f t="shared" si="28"/>
        <v>-3.0637039999999995</v>
      </c>
      <c r="D37" s="83">
        <f t="shared" si="28"/>
        <v>1.9118515</v>
      </c>
      <c r="E37" s="83">
        <f t="shared" si="28"/>
        <v>7.9839995999999989</v>
      </c>
      <c r="F37" s="83">
        <f t="shared" si="28"/>
        <v>13.766962599999999</v>
      </c>
      <c r="G37" s="83">
        <f t="shared" si="28"/>
        <v>18.894814499999999</v>
      </c>
      <c r="H37" s="83">
        <f t="shared" si="28"/>
        <v>22.777777499999999</v>
      </c>
      <c r="I37" s="83">
        <f t="shared" si="28"/>
        <v>23.3328886</v>
      </c>
      <c r="J37" s="83">
        <f t="shared" si="28"/>
        <v>17.749925600000001</v>
      </c>
      <c r="K37" s="83">
        <f t="shared" si="28"/>
        <v>10.2737774</v>
      </c>
      <c r="L37" s="83">
        <f t="shared" si="28"/>
        <v>3.1533329999999999</v>
      </c>
      <c r="M37" s="83">
        <f t="shared" si="28"/>
        <v>-3.1222224999999999</v>
      </c>
      <c r="N37" s="79">
        <f t="shared" si="24"/>
        <v>9.0318391833333322</v>
      </c>
    </row>
    <row r="38" spans="1:14" s="1" customFormat="1" ht="16.5" customHeight="1">
      <c r="A38" s="78">
        <v>4</v>
      </c>
      <c r="B38" s="83">
        <f t="shared" ref="B38:M38" si="29">B32+(B33/2)*-0.866025</f>
        <v>-4.9176900000000003</v>
      </c>
      <c r="C38" s="83">
        <f t="shared" si="29"/>
        <v>-2.6641000000000004</v>
      </c>
      <c r="D38" s="83">
        <f t="shared" si="29"/>
        <v>2.3863812499999995</v>
      </c>
      <c r="E38" s="83">
        <f t="shared" si="29"/>
        <v>8.5234649999999981</v>
      </c>
      <c r="F38" s="83">
        <f t="shared" si="29"/>
        <v>14.256477499999999</v>
      </c>
      <c r="G38" s="83">
        <f t="shared" si="29"/>
        <v>19.31939375</v>
      </c>
      <c r="H38" s="83">
        <f t="shared" si="29"/>
        <v>23.152406249999999</v>
      </c>
      <c r="I38" s="83">
        <f t="shared" si="29"/>
        <v>23.722502500000001</v>
      </c>
      <c r="J38" s="83">
        <f t="shared" si="29"/>
        <v>18.189489999999999</v>
      </c>
      <c r="K38" s="83">
        <f t="shared" si="29"/>
        <v>10.783272499999999</v>
      </c>
      <c r="L38" s="83">
        <f t="shared" si="29"/>
        <v>3.6028874999999996</v>
      </c>
      <c r="M38" s="83">
        <f t="shared" si="29"/>
        <v>-2.7475937500000001</v>
      </c>
      <c r="N38" s="79">
        <f t="shared" si="24"/>
        <v>9.4672410416666661</v>
      </c>
    </row>
    <row r="39" spans="1:14" s="1" customFormat="1" ht="16.5" customHeight="1">
      <c r="A39" s="78">
        <v>5</v>
      </c>
      <c r="B39" s="83">
        <f t="shared" ref="B39:M39" si="30">B32+(B33/2)*-0.707107</f>
        <v>-4.3455852000000004</v>
      </c>
      <c r="C39" s="83">
        <f t="shared" si="30"/>
        <v>-2.0284279999999999</v>
      </c>
      <c r="D39" s="83">
        <f t="shared" si="30"/>
        <v>3.1412417499999998</v>
      </c>
      <c r="E39" s="83">
        <f t="shared" si="30"/>
        <v>9.3816221999999989</v>
      </c>
      <c r="F39" s="83">
        <f t="shared" si="30"/>
        <v>15.0351757</v>
      </c>
      <c r="G39" s="83">
        <f t="shared" si="30"/>
        <v>19.994795249999999</v>
      </c>
      <c r="H39" s="83">
        <f t="shared" si="30"/>
        <v>23.748348749999998</v>
      </c>
      <c r="I39" s="83">
        <f t="shared" si="30"/>
        <v>24.342282700000002</v>
      </c>
      <c r="J39" s="83">
        <f t="shared" si="30"/>
        <v>18.8887292</v>
      </c>
      <c r="K39" s="83">
        <f t="shared" si="30"/>
        <v>11.593754299999999</v>
      </c>
      <c r="L39" s="83">
        <f t="shared" si="30"/>
        <v>4.3180185</v>
      </c>
      <c r="M39" s="83">
        <f t="shared" si="30"/>
        <v>-2.15165125</v>
      </c>
      <c r="N39" s="79">
        <f t="shared" si="24"/>
        <v>10.159858658333333</v>
      </c>
    </row>
    <row r="40" spans="1:14" s="1" customFormat="1" ht="16.5" customHeight="1">
      <c r="A40" s="78">
        <v>6</v>
      </c>
      <c r="B40" s="83">
        <f t="shared" ref="B40:M40" si="31">B32+(B33/2)*-0.5</f>
        <v>-3.6</v>
      </c>
      <c r="C40" s="83">
        <f t="shared" si="31"/>
        <v>-1.2</v>
      </c>
      <c r="D40" s="83">
        <f t="shared" si="31"/>
        <v>4.125</v>
      </c>
      <c r="E40" s="83">
        <f t="shared" si="31"/>
        <v>10.5</v>
      </c>
      <c r="F40" s="83">
        <f t="shared" si="31"/>
        <v>16.05</v>
      </c>
      <c r="G40" s="83">
        <f t="shared" si="31"/>
        <v>20.875</v>
      </c>
      <c r="H40" s="83">
        <f t="shared" si="31"/>
        <v>24.524999999999999</v>
      </c>
      <c r="I40" s="83">
        <f t="shared" si="31"/>
        <v>25.150000000000002</v>
      </c>
      <c r="J40" s="83">
        <f t="shared" si="31"/>
        <v>19.8</v>
      </c>
      <c r="K40" s="83">
        <f t="shared" si="31"/>
        <v>12.649999999999999</v>
      </c>
      <c r="L40" s="83">
        <f t="shared" si="31"/>
        <v>5.25</v>
      </c>
      <c r="M40" s="83">
        <f t="shared" si="31"/>
        <v>-1.375</v>
      </c>
      <c r="N40" s="79">
        <f t="shared" si="24"/>
        <v>11.0625</v>
      </c>
    </row>
    <row r="41" spans="1:14" s="1" customFormat="1" ht="16.5" customHeight="1">
      <c r="A41" s="78">
        <v>7</v>
      </c>
      <c r="B41" s="83">
        <f t="shared" ref="B41:M41" si="32">B32+(B33/2)*-0.258819</f>
        <v>-2.7317484000000003</v>
      </c>
      <c r="C41" s="83">
        <f t="shared" si="32"/>
        <v>-0.23527600000000004</v>
      </c>
      <c r="D41" s="83">
        <f t="shared" si="32"/>
        <v>5.2706097500000002</v>
      </c>
      <c r="E41" s="83">
        <f t="shared" si="32"/>
        <v>11.802377399999999</v>
      </c>
      <c r="F41" s="83">
        <f t="shared" si="32"/>
        <v>17.231786899999999</v>
      </c>
      <c r="G41" s="83">
        <f t="shared" si="32"/>
        <v>21.90001925</v>
      </c>
      <c r="H41" s="83">
        <f t="shared" si="32"/>
        <v>25.42942875</v>
      </c>
      <c r="I41" s="83">
        <f t="shared" si="32"/>
        <v>26.0906059</v>
      </c>
      <c r="J41" s="83">
        <f t="shared" si="32"/>
        <v>20.861196400000001</v>
      </c>
      <c r="K41" s="83">
        <f t="shared" si="32"/>
        <v>13.880023099999999</v>
      </c>
      <c r="L41" s="83">
        <f t="shared" si="32"/>
        <v>6.3353145</v>
      </c>
      <c r="M41" s="83">
        <f t="shared" si="32"/>
        <v>-0.47057125000000011</v>
      </c>
      <c r="N41" s="79">
        <f t="shared" si="24"/>
        <v>12.113647191666665</v>
      </c>
    </row>
    <row r="42" spans="1:14" s="1" customFormat="1" ht="16.5" customHeight="1">
      <c r="A42" s="78">
        <v>8</v>
      </c>
      <c r="B42" s="83">
        <f t="shared" ref="B42:M42" si="33">B32+(B33/2)*0</f>
        <v>-1.8</v>
      </c>
      <c r="C42" s="83">
        <f t="shared" si="33"/>
        <v>0.8</v>
      </c>
      <c r="D42" s="83">
        <f t="shared" si="33"/>
        <v>6.5</v>
      </c>
      <c r="E42" s="83">
        <f t="shared" si="33"/>
        <v>13.2</v>
      </c>
      <c r="F42" s="83">
        <f t="shared" si="33"/>
        <v>18.5</v>
      </c>
      <c r="G42" s="83">
        <f t="shared" si="33"/>
        <v>23</v>
      </c>
      <c r="H42" s="83">
        <f t="shared" si="33"/>
        <v>26.4</v>
      </c>
      <c r="I42" s="83">
        <f t="shared" si="33"/>
        <v>27.1</v>
      </c>
      <c r="J42" s="83">
        <f t="shared" si="33"/>
        <v>22</v>
      </c>
      <c r="K42" s="83">
        <f t="shared" si="33"/>
        <v>15.2</v>
      </c>
      <c r="L42" s="83">
        <f t="shared" si="33"/>
        <v>7.5</v>
      </c>
      <c r="M42" s="83">
        <f t="shared" si="33"/>
        <v>0.5</v>
      </c>
      <c r="N42" s="79">
        <f t="shared" si="24"/>
        <v>13.241666666666665</v>
      </c>
    </row>
    <row r="43" spans="1:14" s="1" customFormat="1" ht="16.5" customHeight="1">
      <c r="A43" s="78">
        <v>9</v>
      </c>
      <c r="B43" s="83">
        <f t="shared" ref="B43:M43" si="34">B32+(B33/2)*0.258819</f>
        <v>-0.8682515999999999</v>
      </c>
      <c r="C43" s="83">
        <f t="shared" si="34"/>
        <v>1.8352760000000001</v>
      </c>
      <c r="D43" s="83">
        <f t="shared" si="34"/>
        <v>7.7293902499999998</v>
      </c>
      <c r="E43" s="83">
        <f t="shared" si="34"/>
        <v>14.597622599999999</v>
      </c>
      <c r="F43" s="83">
        <f t="shared" si="34"/>
        <v>19.768213100000001</v>
      </c>
      <c r="G43" s="83">
        <f t="shared" si="34"/>
        <v>24.09998075</v>
      </c>
      <c r="H43" s="83">
        <f t="shared" si="34"/>
        <v>27.370571249999998</v>
      </c>
      <c r="I43" s="83">
        <f t="shared" si="34"/>
        <v>28.109394100000003</v>
      </c>
      <c r="J43" s="83">
        <f t="shared" si="34"/>
        <v>23.138803599999999</v>
      </c>
      <c r="K43" s="83">
        <f t="shared" si="34"/>
        <v>16.5199769</v>
      </c>
      <c r="L43" s="83">
        <f t="shared" si="34"/>
        <v>8.6646855000000009</v>
      </c>
      <c r="M43" s="83">
        <f t="shared" si="34"/>
        <v>1.4705712500000001</v>
      </c>
      <c r="N43" s="79">
        <f t="shared" si="24"/>
        <v>14.369686141666664</v>
      </c>
    </row>
    <row r="44" spans="1:14" s="1" customFormat="1" ht="16.5" customHeight="1">
      <c r="A44" s="78">
        <v>10</v>
      </c>
      <c r="B44" s="83">
        <f t="shared" ref="B44:M44" si="35">B32+(B33/2)*0.5</f>
        <v>0</v>
      </c>
      <c r="C44" s="83">
        <f t="shared" si="35"/>
        <v>2.8</v>
      </c>
      <c r="D44" s="83">
        <f t="shared" si="35"/>
        <v>8.875</v>
      </c>
      <c r="E44" s="83">
        <f t="shared" si="35"/>
        <v>15.899999999999999</v>
      </c>
      <c r="F44" s="83">
        <f t="shared" si="35"/>
        <v>20.95</v>
      </c>
      <c r="G44" s="83">
        <f t="shared" si="35"/>
        <v>25.125</v>
      </c>
      <c r="H44" s="83">
        <f t="shared" si="35"/>
        <v>28.274999999999999</v>
      </c>
      <c r="I44" s="83">
        <f t="shared" si="35"/>
        <v>29.05</v>
      </c>
      <c r="J44" s="83">
        <f t="shared" si="35"/>
        <v>24.2</v>
      </c>
      <c r="K44" s="83">
        <f t="shared" si="35"/>
        <v>17.75</v>
      </c>
      <c r="L44" s="83">
        <f t="shared" si="35"/>
        <v>9.75</v>
      </c>
      <c r="M44" s="83">
        <f t="shared" si="35"/>
        <v>2.375</v>
      </c>
      <c r="N44" s="79">
        <f t="shared" si="24"/>
        <v>15.420833333333334</v>
      </c>
    </row>
    <row r="45" spans="1:14" s="1" customFormat="1" ht="16.5" customHeight="1">
      <c r="A45" s="78">
        <v>11</v>
      </c>
      <c r="B45" s="83">
        <f t="shared" ref="B45:M45" si="36">B32+(B33/2)*0.707107</f>
        <v>0.74558520000000006</v>
      </c>
      <c r="C45" s="83">
        <f t="shared" si="36"/>
        <v>3.6284280000000004</v>
      </c>
      <c r="D45" s="83">
        <f t="shared" si="36"/>
        <v>9.8587582500000011</v>
      </c>
      <c r="E45" s="83">
        <f t="shared" si="36"/>
        <v>17.0183778</v>
      </c>
      <c r="F45" s="83">
        <f t="shared" si="36"/>
        <v>21.9648243</v>
      </c>
      <c r="G45" s="83">
        <f t="shared" si="36"/>
        <v>26.005204750000001</v>
      </c>
      <c r="H45" s="83">
        <f t="shared" si="36"/>
        <v>29.051651249999999</v>
      </c>
      <c r="I45" s="83">
        <f t="shared" si="36"/>
        <v>29.857717300000001</v>
      </c>
      <c r="J45" s="83">
        <f t="shared" si="36"/>
        <v>25.1112708</v>
      </c>
      <c r="K45" s="83">
        <f t="shared" si="36"/>
        <v>18.806245699999998</v>
      </c>
      <c r="L45" s="83">
        <f t="shared" si="36"/>
        <v>10.681981499999999</v>
      </c>
      <c r="M45" s="83">
        <f t="shared" si="36"/>
        <v>3.15165125</v>
      </c>
      <c r="N45" s="79">
        <f t="shared" si="24"/>
        <v>16.323474675</v>
      </c>
    </row>
    <row r="46" spans="1:14" s="1" customFormat="1" ht="16.5" customHeight="1">
      <c r="A46" s="78">
        <v>12</v>
      </c>
      <c r="B46" s="83">
        <f t="shared" ref="B46:M46" si="37">B32+(B33/2)*0.866025</f>
        <v>1.31769</v>
      </c>
      <c r="C46" s="83">
        <f t="shared" si="37"/>
        <v>4.2641</v>
      </c>
      <c r="D46" s="83">
        <f t="shared" si="37"/>
        <v>10.613618750000001</v>
      </c>
      <c r="E46" s="83">
        <f t="shared" si="37"/>
        <v>17.876535000000001</v>
      </c>
      <c r="F46" s="83">
        <f t="shared" si="37"/>
        <v>22.743522500000001</v>
      </c>
      <c r="G46" s="83">
        <f t="shared" si="37"/>
        <v>26.68060625</v>
      </c>
      <c r="H46" s="83">
        <f t="shared" si="37"/>
        <v>29.647593749999999</v>
      </c>
      <c r="I46" s="83">
        <f t="shared" si="37"/>
        <v>30.477497500000002</v>
      </c>
      <c r="J46" s="83">
        <f t="shared" si="37"/>
        <v>25.810510000000001</v>
      </c>
      <c r="K46" s="83">
        <f t="shared" si="37"/>
        <v>19.6167275</v>
      </c>
      <c r="L46" s="83">
        <f t="shared" si="37"/>
        <v>11.3971125</v>
      </c>
      <c r="M46" s="83">
        <f t="shared" si="37"/>
        <v>3.7475937500000001</v>
      </c>
      <c r="N46" s="79">
        <f t="shared" si="24"/>
        <v>17.016092291666663</v>
      </c>
    </row>
    <row r="47" spans="1:14" s="1" customFormat="1" ht="16.5" customHeight="1">
      <c r="A47" s="78">
        <v>13</v>
      </c>
      <c r="B47" s="83">
        <f t="shared" ref="B47:M47" si="38">B32+(B33/2)*0.965926</f>
        <v>1.6773335999999996</v>
      </c>
      <c r="C47" s="83">
        <f t="shared" si="38"/>
        <v>4.6637040000000001</v>
      </c>
      <c r="D47" s="83">
        <f t="shared" si="38"/>
        <v>11.088148499999999</v>
      </c>
      <c r="E47" s="83">
        <f t="shared" si="38"/>
        <v>18.416000400000001</v>
      </c>
      <c r="F47" s="83">
        <f t="shared" si="38"/>
        <v>23.233037400000001</v>
      </c>
      <c r="G47" s="83">
        <f t="shared" si="38"/>
        <v>27.105185500000001</v>
      </c>
      <c r="H47" s="83">
        <f t="shared" si="38"/>
        <v>30.022222499999998</v>
      </c>
      <c r="I47" s="83">
        <f t="shared" si="38"/>
        <v>30.867111400000002</v>
      </c>
      <c r="J47" s="83">
        <f t="shared" si="38"/>
        <v>26.250074399999999</v>
      </c>
      <c r="K47" s="83">
        <f t="shared" si="38"/>
        <v>20.126222599999998</v>
      </c>
      <c r="L47" s="83">
        <f t="shared" si="38"/>
        <v>11.846667</v>
      </c>
      <c r="M47" s="83">
        <f t="shared" si="38"/>
        <v>4.1222224999999995</v>
      </c>
      <c r="N47" s="79">
        <f t="shared" si="24"/>
        <v>17.451494149999998</v>
      </c>
    </row>
    <row r="48" spans="1:14" s="1" customFormat="1" ht="16.5" customHeight="1">
      <c r="A48" s="78">
        <v>14</v>
      </c>
      <c r="B48" s="83">
        <f t="shared" ref="B48:M48" si="39">B32+(B33/2)*1</f>
        <v>1.8</v>
      </c>
      <c r="C48" s="83">
        <f t="shared" si="39"/>
        <v>4.8</v>
      </c>
      <c r="D48" s="83">
        <f t="shared" si="39"/>
        <v>11.25</v>
      </c>
      <c r="E48" s="83">
        <f t="shared" si="39"/>
        <v>18.600000000000001</v>
      </c>
      <c r="F48" s="83">
        <f t="shared" si="39"/>
        <v>23.4</v>
      </c>
      <c r="G48" s="83">
        <f t="shared" si="39"/>
        <v>27.25</v>
      </c>
      <c r="H48" s="83">
        <f t="shared" si="39"/>
        <v>30.15</v>
      </c>
      <c r="I48" s="83">
        <f t="shared" si="39"/>
        <v>31</v>
      </c>
      <c r="J48" s="83">
        <f t="shared" si="39"/>
        <v>26.4</v>
      </c>
      <c r="K48" s="83">
        <f t="shared" si="39"/>
        <v>20.299999999999997</v>
      </c>
      <c r="L48" s="83">
        <f t="shared" si="39"/>
        <v>12</v>
      </c>
      <c r="M48" s="83">
        <f t="shared" si="39"/>
        <v>4.25</v>
      </c>
      <c r="N48" s="79">
        <f t="shared" si="24"/>
        <v>17.599999999999998</v>
      </c>
    </row>
    <row r="49" spans="1:14" s="1" customFormat="1" ht="16.5" customHeight="1">
      <c r="A49" s="78">
        <v>15</v>
      </c>
      <c r="B49" s="83">
        <f t="shared" ref="B49:M49" si="40">B32+(B33/2)*0.965926</f>
        <v>1.6773335999999996</v>
      </c>
      <c r="C49" s="83">
        <f t="shared" si="40"/>
        <v>4.6637040000000001</v>
      </c>
      <c r="D49" s="83">
        <f t="shared" si="40"/>
        <v>11.088148499999999</v>
      </c>
      <c r="E49" s="83">
        <f t="shared" si="40"/>
        <v>18.416000400000001</v>
      </c>
      <c r="F49" s="83">
        <f t="shared" si="40"/>
        <v>23.233037400000001</v>
      </c>
      <c r="G49" s="83">
        <f t="shared" si="40"/>
        <v>27.105185500000001</v>
      </c>
      <c r="H49" s="83">
        <f t="shared" si="40"/>
        <v>30.022222499999998</v>
      </c>
      <c r="I49" s="83">
        <f t="shared" si="40"/>
        <v>30.867111400000002</v>
      </c>
      <c r="J49" s="83">
        <f t="shared" si="40"/>
        <v>26.250074399999999</v>
      </c>
      <c r="K49" s="83">
        <f t="shared" si="40"/>
        <v>20.126222599999998</v>
      </c>
      <c r="L49" s="83">
        <f t="shared" si="40"/>
        <v>11.846667</v>
      </c>
      <c r="M49" s="83">
        <f t="shared" si="40"/>
        <v>4.1222224999999995</v>
      </c>
      <c r="N49" s="79">
        <f t="shared" si="24"/>
        <v>17.451494149999998</v>
      </c>
    </row>
    <row r="50" spans="1:14" s="1" customFormat="1" ht="16.5" customHeight="1">
      <c r="A50" s="78">
        <v>16</v>
      </c>
      <c r="B50" s="83">
        <f t="shared" ref="B50:M50" si="41">B32+(B33/2)*0.866025</f>
        <v>1.31769</v>
      </c>
      <c r="C50" s="83">
        <f t="shared" si="41"/>
        <v>4.2641</v>
      </c>
      <c r="D50" s="83">
        <f t="shared" si="41"/>
        <v>10.613618750000001</v>
      </c>
      <c r="E50" s="83">
        <f t="shared" si="41"/>
        <v>17.876535000000001</v>
      </c>
      <c r="F50" s="83">
        <f t="shared" si="41"/>
        <v>22.743522500000001</v>
      </c>
      <c r="G50" s="83">
        <f t="shared" si="41"/>
        <v>26.68060625</v>
      </c>
      <c r="H50" s="83">
        <f t="shared" si="41"/>
        <v>29.647593749999999</v>
      </c>
      <c r="I50" s="83">
        <f t="shared" si="41"/>
        <v>30.477497500000002</v>
      </c>
      <c r="J50" s="83">
        <f t="shared" si="41"/>
        <v>25.810510000000001</v>
      </c>
      <c r="K50" s="83">
        <f t="shared" si="41"/>
        <v>19.6167275</v>
      </c>
      <c r="L50" s="83">
        <f t="shared" si="41"/>
        <v>11.3971125</v>
      </c>
      <c r="M50" s="83">
        <f t="shared" si="41"/>
        <v>3.7475937500000001</v>
      </c>
      <c r="N50" s="79">
        <f t="shared" si="24"/>
        <v>17.016092291666663</v>
      </c>
    </row>
    <row r="51" spans="1:14" s="1" customFormat="1" ht="16.5" customHeight="1">
      <c r="A51" s="78">
        <v>17</v>
      </c>
      <c r="B51" s="83">
        <f t="shared" ref="B51:M51" si="42">B32+(B33/2)*0.707107</f>
        <v>0.74558520000000006</v>
      </c>
      <c r="C51" s="83">
        <f t="shared" si="42"/>
        <v>3.6284280000000004</v>
      </c>
      <c r="D51" s="83">
        <f t="shared" si="42"/>
        <v>9.8587582500000011</v>
      </c>
      <c r="E51" s="83">
        <f t="shared" si="42"/>
        <v>17.0183778</v>
      </c>
      <c r="F51" s="83">
        <f t="shared" si="42"/>
        <v>21.9648243</v>
      </c>
      <c r="G51" s="83">
        <f t="shared" si="42"/>
        <v>26.005204750000001</v>
      </c>
      <c r="H51" s="83">
        <f t="shared" si="42"/>
        <v>29.051651249999999</v>
      </c>
      <c r="I51" s="83">
        <f t="shared" si="42"/>
        <v>29.857717300000001</v>
      </c>
      <c r="J51" s="83">
        <f t="shared" si="42"/>
        <v>25.1112708</v>
      </c>
      <c r="K51" s="83">
        <f t="shared" si="42"/>
        <v>18.806245699999998</v>
      </c>
      <c r="L51" s="83">
        <f t="shared" si="42"/>
        <v>10.681981499999999</v>
      </c>
      <c r="M51" s="83">
        <f t="shared" si="42"/>
        <v>3.15165125</v>
      </c>
      <c r="N51" s="79">
        <f t="shared" si="24"/>
        <v>16.323474675</v>
      </c>
    </row>
    <row r="52" spans="1:14" s="1" customFormat="1" ht="16.5" customHeight="1">
      <c r="A52" s="78">
        <v>18</v>
      </c>
      <c r="B52" s="83">
        <f t="shared" ref="B52:M52" si="43">B32+(B33/2)*0.5</f>
        <v>0</v>
      </c>
      <c r="C52" s="83">
        <f t="shared" si="43"/>
        <v>2.8</v>
      </c>
      <c r="D52" s="83">
        <f t="shared" si="43"/>
        <v>8.875</v>
      </c>
      <c r="E52" s="83">
        <f t="shared" si="43"/>
        <v>15.899999999999999</v>
      </c>
      <c r="F52" s="83">
        <f t="shared" si="43"/>
        <v>20.95</v>
      </c>
      <c r="G52" s="83">
        <f t="shared" si="43"/>
        <v>25.125</v>
      </c>
      <c r="H52" s="83">
        <f t="shared" si="43"/>
        <v>28.274999999999999</v>
      </c>
      <c r="I52" s="83">
        <f t="shared" si="43"/>
        <v>29.05</v>
      </c>
      <c r="J52" s="83">
        <f t="shared" si="43"/>
        <v>24.2</v>
      </c>
      <c r="K52" s="83">
        <f t="shared" si="43"/>
        <v>17.75</v>
      </c>
      <c r="L52" s="83">
        <f t="shared" si="43"/>
        <v>9.75</v>
      </c>
      <c r="M52" s="83">
        <f t="shared" si="43"/>
        <v>2.375</v>
      </c>
      <c r="N52" s="79">
        <f t="shared" si="24"/>
        <v>15.420833333333334</v>
      </c>
    </row>
    <row r="53" spans="1:14" s="1" customFormat="1" ht="16.5" customHeight="1">
      <c r="A53" s="78">
        <v>19</v>
      </c>
      <c r="B53" s="83">
        <f t="shared" ref="B53:M53" si="44">B32+(B33/2)*0.258819</f>
        <v>-0.8682515999999999</v>
      </c>
      <c r="C53" s="83">
        <f t="shared" si="44"/>
        <v>1.8352760000000001</v>
      </c>
      <c r="D53" s="83">
        <f t="shared" si="44"/>
        <v>7.7293902499999998</v>
      </c>
      <c r="E53" s="83">
        <f t="shared" si="44"/>
        <v>14.597622599999999</v>
      </c>
      <c r="F53" s="83">
        <f t="shared" si="44"/>
        <v>19.768213100000001</v>
      </c>
      <c r="G53" s="83">
        <f t="shared" si="44"/>
        <v>24.09998075</v>
      </c>
      <c r="H53" s="83">
        <f t="shared" si="44"/>
        <v>27.370571249999998</v>
      </c>
      <c r="I53" s="83">
        <f t="shared" si="44"/>
        <v>28.109394100000003</v>
      </c>
      <c r="J53" s="83">
        <f t="shared" si="44"/>
        <v>23.138803599999999</v>
      </c>
      <c r="K53" s="83">
        <f t="shared" si="44"/>
        <v>16.5199769</v>
      </c>
      <c r="L53" s="83">
        <f t="shared" si="44"/>
        <v>8.6646855000000009</v>
      </c>
      <c r="M53" s="83">
        <f t="shared" si="44"/>
        <v>1.4705712500000001</v>
      </c>
      <c r="N53" s="79">
        <f t="shared" si="24"/>
        <v>14.369686141666664</v>
      </c>
    </row>
    <row r="54" spans="1:14" s="1" customFormat="1" ht="16.5" customHeight="1">
      <c r="A54" s="78">
        <v>20</v>
      </c>
      <c r="B54" s="83">
        <f t="shared" ref="B54:M54" si="45">B32+(B33/2)*0</f>
        <v>-1.8</v>
      </c>
      <c r="C54" s="83">
        <f t="shared" si="45"/>
        <v>0.8</v>
      </c>
      <c r="D54" s="83">
        <f t="shared" si="45"/>
        <v>6.5</v>
      </c>
      <c r="E54" s="83">
        <f t="shared" si="45"/>
        <v>13.2</v>
      </c>
      <c r="F54" s="83">
        <f t="shared" si="45"/>
        <v>18.5</v>
      </c>
      <c r="G54" s="83">
        <f t="shared" si="45"/>
        <v>23</v>
      </c>
      <c r="H54" s="83">
        <f t="shared" si="45"/>
        <v>26.4</v>
      </c>
      <c r="I54" s="83">
        <f t="shared" si="45"/>
        <v>27.1</v>
      </c>
      <c r="J54" s="83">
        <f t="shared" si="45"/>
        <v>22</v>
      </c>
      <c r="K54" s="83">
        <f t="shared" si="45"/>
        <v>15.2</v>
      </c>
      <c r="L54" s="83">
        <f t="shared" si="45"/>
        <v>7.5</v>
      </c>
      <c r="M54" s="83">
        <f t="shared" si="45"/>
        <v>0.5</v>
      </c>
      <c r="N54" s="79">
        <f t="shared" si="24"/>
        <v>13.241666666666665</v>
      </c>
    </row>
    <row r="55" spans="1:14" s="1" customFormat="1" ht="16.5" customHeight="1">
      <c r="A55" s="78">
        <v>21</v>
      </c>
      <c r="B55" s="83">
        <f t="shared" ref="B55:M55" si="46">B32+(B33/2)*-0.258819</f>
        <v>-2.7317484000000003</v>
      </c>
      <c r="C55" s="83">
        <f t="shared" si="46"/>
        <v>-0.23527600000000004</v>
      </c>
      <c r="D55" s="83">
        <f t="shared" si="46"/>
        <v>5.2706097500000002</v>
      </c>
      <c r="E55" s="83">
        <f t="shared" si="46"/>
        <v>11.802377399999999</v>
      </c>
      <c r="F55" s="83">
        <f t="shared" si="46"/>
        <v>17.231786899999999</v>
      </c>
      <c r="G55" s="83">
        <f t="shared" si="46"/>
        <v>21.90001925</v>
      </c>
      <c r="H55" s="83">
        <f t="shared" si="46"/>
        <v>25.42942875</v>
      </c>
      <c r="I55" s="83">
        <f t="shared" si="46"/>
        <v>26.0906059</v>
      </c>
      <c r="J55" s="83">
        <f t="shared" si="46"/>
        <v>20.861196400000001</v>
      </c>
      <c r="K55" s="83">
        <f t="shared" si="46"/>
        <v>13.880023099999999</v>
      </c>
      <c r="L55" s="83">
        <f t="shared" si="46"/>
        <v>6.3353145</v>
      </c>
      <c r="M55" s="83">
        <f t="shared" si="46"/>
        <v>-0.47057125000000011</v>
      </c>
      <c r="N55" s="79">
        <f t="shared" si="24"/>
        <v>12.113647191666665</v>
      </c>
    </row>
    <row r="56" spans="1:14" s="1" customFormat="1" ht="16.5" customHeight="1">
      <c r="A56" s="78">
        <v>22</v>
      </c>
      <c r="B56" s="83">
        <f t="shared" ref="B56:M56" si="47">B32+(B33/2)*-0.5</f>
        <v>-3.6</v>
      </c>
      <c r="C56" s="83">
        <f t="shared" si="47"/>
        <v>-1.2</v>
      </c>
      <c r="D56" s="83">
        <f t="shared" si="47"/>
        <v>4.125</v>
      </c>
      <c r="E56" s="83">
        <f t="shared" si="47"/>
        <v>10.5</v>
      </c>
      <c r="F56" s="83">
        <f t="shared" si="47"/>
        <v>16.05</v>
      </c>
      <c r="G56" s="83">
        <f t="shared" si="47"/>
        <v>20.875</v>
      </c>
      <c r="H56" s="83">
        <f t="shared" si="47"/>
        <v>24.524999999999999</v>
      </c>
      <c r="I56" s="83">
        <f t="shared" si="47"/>
        <v>25.150000000000002</v>
      </c>
      <c r="J56" s="83">
        <f t="shared" si="47"/>
        <v>19.8</v>
      </c>
      <c r="K56" s="83">
        <f t="shared" si="47"/>
        <v>12.649999999999999</v>
      </c>
      <c r="L56" s="83">
        <f t="shared" si="47"/>
        <v>5.25</v>
      </c>
      <c r="M56" s="83">
        <f t="shared" si="47"/>
        <v>-1.375</v>
      </c>
      <c r="N56" s="79">
        <f t="shared" si="24"/>
        <v>11.0625</v>
      </c>
    </row>
    <row r="57" spans="1:14" s="1" customFormat="1" ht="21.75" customHeight="1">
      <c r="A57" s="19" t="s">
        <v>343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18"/>
    </row>
    <row r="58" spans="1:14" s="1" customFormat="1" ht="21.75" customHeight="1">
      <c r="A58" s="85" t="s">
        <v>338</v>
      </c>
      <c r="B58" s="86" t="s">
        <v>27</v>
      </c>
      <c r="C58" s="86" t="s">
        <v>28</v>
      </c>
      <c r="D58" s="86" t="s">
        <v>29</v>
      </c>
      <c r="E58" s="86" t="s">
        <v>30</v>
      </c>
      <c r="F58" s="86" t="s">
        <v>31</v>
      </c>
      <c r="G58" s="86" t="s">
        <v>32</v>
      </c>
      <c r="H58" s="86" t="s">
        <v>33</v>
      </c>
      <c r="I58" s="86" t="s">
        <v>34</v>
      </c>
      <c r="J58" s="86" t="s">
        <v>35</v>
      </c>
      <c r="K58" s="86" t="s">
        <v>36</v>
      </c>
      <c r="L58" s="86" t="s">
        <v>37</v>
      </c>
      <c r="M58" s="86" t="s">
        <v>38</v>
      </c>
      <c r="N58" s="85" t="s">
        <v>339</v>
      </c>
    </row>
    <row r="59" spans="1:14" s="1" customFormat="1" ht="19.5" customHeight="1">
      <c r="A59" s="87" t="s">
        <v>340</v>
      </c>
      <c r="B59" s="88">
        <v>3.8</v>
      </c>
      <c r="C59" s="88">
        <v>5.4</v>
      </c>
      <c r="D59" s="88">
        <v>9.5</v>
      </c>
      <c r="E59" s="88">
        <v>15.2</v>
      </c>
      <c r="F59" s="88">
        <v>19.5</v>
      </c>
      <c r="G59" s="88">
        <v>22.5</v>
      </c>
      <c r="H59" s="88">
        <v>26</v>
      </c>
      <c r="I59" s="88">
        <v>27.2</v>
      </c>
      <c r="J59" s="88">
        <v>23.2</v>
      </c>
      <c r="K59" s="88">
        <v>17.5</v>
      </c>
      <c r="L59" s="88">
        <v>11.2</v>
      </c>
      <c r="M59" s="88">
        <v>5.5</v>
      </c>
      <c r="N59" s="89">
        <f t="shared" ref="N59:N83" si="48">AVERAGE(B59,C59,D59,E59,F59,G59,H59,I59,J59,K59,L59,M59)</f>
        <v>15.541666666666664</v>
      </c>
    </row>
    <row r="60" spans="1:14" s="1" customFormat="1" ht="18" customHeight="1">
      <c r="A60" s="87" t="s">
        <v>341</v>
      </c>
      <c r="B60" s="88">
        <v>6.2</v>
      </c>
      <c r="C60" s="88">
        <v>7</v>
      </c>
      <c r="D60" s="88">
        <v>8.5</v>
      </c>
      <c r="E60" s="88">
        <v>9.8000000000000007</v>
      </c>
      <c r="F60" s="88">
        <v>9.1999999999999993</v>
      </c>
      <c r="G60" s="88">
        <v>8</v>
      </c>
      <c r="H60" s="88">
        <v>7.5</v>
      </c>
      <c r="I60" s="88">
        <v>7.2</v>
      </c>
      <c r="J60" s="88">
        <v>7.8</v>
      </c>
      <c r="K60" s="88">
        <v>8.5</v>
      </c>
      <c r="L60" s="88">
        <v>8.1999999999999993</v>
      </c>
      <c r="M60" s="88">
        <v>7</v>
      </c>
      <c r="N60" s="89">
        <f t="shared" si="48"/>
        <v>7.9083333333333341</v>
      </c>
    </row>
    <row r="61" spans="1:14" s="1" customFormat="1" ht="16.5" customHeight="1">
      <c r="A61" s="78">
        <v>0</v>
      </c>
      <c r="B61" s="88">
        <f t="shared" ref="B61:M61" si="49">B59+(B60/2)*-0.866025</f>
        <v>1.1153224999999996</v>
      </c>
      <c r="C61" s="88">
        <f t="shared" si="49"/>
        <v>2.3689125000000004</v>
      </c>
      <c r="D61" s="88">
        <f t="shared" si="49"/>
        <v>5.8193937499999997</v>
      </c>
      <c r="E61" s="88">
        <f t="shared" si="49"/>
        <v>10.956477499999998</v>
      </c>
      <c r="F61" s="88">
        <f t="shared" si="49"/>
        <v>15.516285</v>
      </c>
      <c r="G61" s="88">
        <f t="shared" si="49"/>
        <v>19.035899999999998</v>
      </c>
      <c r="H61" s="88">
        <f t="shared" si="49"/>
        <v>22.75240625</v>
      </c>
      <c r="I61" s="88">
        <f t="shared" si="49"/>
        <v>24.08231</v>
      </c>
      <c r="J61" s="88">
        <f t="shared" si="49"/>
        <v>19.822502499999999</v>
      </c>
      <c r="K61" s="88">
        <f t="shared" si="49"/>
        <v>13.81939375</v>
      </c>
      <c r="L61" s="88">
        <f t="shared" si="49"/>
        <v>7.6492974999999994</v>
      </c>
      <c r="M61" s="88">
        <f t="shared" si="49"/>
        <v>2.4689125000000001</v>
      </c>
      <c r="N61" s="79">
        <f t="shared" si="48"/>
        <v>12.117259479166664</v>
      </c>
    </row>
    <row r="62" spans="1:14" s="1" customFormat="1" ht="16.5" customHeight="1">
      <c r="A62" s="78">
        <v>1</v>
      </c>
      <c r="B62" s="88">
        <f t="shared" ref="B62:M62" si="50">B59+(B60/2)*-0.965926</f>
        <v>0.80562939999999994</v>
      </c>
      <c r="C62" s="88">
        <f t="shared" si="50"/>
        <v>2.0192590000000004</v>
      </c>
      <c r="D62" s="88">
        <f t="shared" si="50"/>
        <v>5.3948144999999998</v>
      </c>
      <c r="E62" s="88">
        <f t="shared" si="50"/>
        <v>10.466962599999999</v>
      </c>
      <c r="F62" s="88">
        <f t="shared" si="50"/>
        <v>15.056740400000001</v>
      </c>
      <c r="G62" s="88">
        <f t="shared" si="50"/>
        <v>18.636296000000002</v>
      </c>
      <c r="H62" s="88">
        <f t="shared" si="50"/>
        <v>22.377777500000001</v>
      </c>
      <c r="I62" s="88">
        <f t="shared" si="50"/>
        <v>23.722666400000001</v>
      </c>
      <c r="J62" s="88">
        <f t="shared" si="50"/>
        <v>19.432888599999998</v>
      </c>
      <c r="K62" s="88">
        <f t="shared" si="50"/>
        <v>13.394814499999999</v>
      </c>
      <c r="L62" s="88">
        <f t="shared" si="50"/>
        <v>7.2397033999999998</v>
      </c>
      <c r="M62" s="88">
        <f t="shared" si="50"/>
        <v>2.119259</v>
      </c>
      <c r="N62" s="79">
        <f t="shared" si="48"/>
        <v>11.722234275</v>
      </c>
    </row>
    <row r="63" spans="1:14" s="1" customFormat="1" ht="16.5" customHeight="1">
      <c r="A63" s="78">
        <v>2</v>
      </c>
      <c r="B63" s="88">
        <f t="shared" ref="B63:M63" si="51">B59+(B60/2)*-1</f>
        <v>0.69999999999999973</v>
      </c>
      <c r="C63" s="88">
        <f t="shared" si="51"/>
        <v>1.9000000000000004</v>
      </c>
      <c r="D63" s="88">
        <f t="shared" si="51"/>
        <v>5.25</v>
      </c>
      <c r="E63" s="88">
        <f t="shared" si="51"/>
        <v>10.299999999999999</v>
      </c>
      <c r="F63" s="88">
        <f t="shared" si="51"/>
        <v>14.9</v>
      </c>
      <c r="G63" s="88">
        <f t="shared" si="51"/>
        <v>18.5</v>
      </c>
      <c r="H63" s="88">
        <f t="shared" si="51"/>
        <v>22.25</v>
      </c>
      <c r="I63" s="88">
        <f t="shared" si="51"/>
        <v>23.599999999999998</v>
      </c>
      <c r="J63" s="88">
        <f t="shared" si="51"/>
        <v>19.3</v>
      </c>
      <c r="K63" s="88">
        <f t="shared" si="51"/>
        <v>13.25</v>
      </c>
      <c r="L63" s="88">
        <f t="shared" si="51"/>
        <v>7.1</v>
      </c>
      <c r="M63" s="88">
        <f t="shared" si="51"/>
        <v>2</v>
      </c>
      <c r="N63" s="79">
        <f t="shared" si="48"/>
        <v>11.587499999999999</v>
      </c>
    </row>
    <row r="64" spans="1:14" s="1" customFormat="1" ht="16.5" customHeight="1">
      <c r="A64" s="78">
        <v>3</v>
      </c>
      <c r="B64" s="88">
        <f t="shared" ref="B64:M64" si="52">B59+(B60/2)*-0.965926</f>
        <v>0.80562939999999994</v>
      </c>
      <c r="C64" s="88">
        <f t="shared" si="52"/>
        <v>2.0192590000000004</v>
      </c>
      <c r="D64" s="88">
        <f t="shared" si="52"/>
        <v>5.3948144999999998</v>
      </c>
      <c r="E64" s="88">
        <f t="shared" si="52"/>
        <v>10.466962599999999</v>
      </c>
      <c r="F64" s="88">
        <f t="shared" si="52"/>
        <v>15.056740400000001</v>
      </c>
      <c r="G64" s="88">
        <f t="shared" si="52"/>
        <v>18.636296000000002</v>
      </c>
      <c r="H64" s="88">
        <f t="shared" si="52"/>
        <v>22.377777500000001</v>
      </c>
      <c r="I64" s="88">
        <f t="shared" si="52"/>
        <v>23.722666400000001</v>
      </c>
      <c r="J64" s="88">
        <f t="shared" si="52"/>
        <v>19.432888599999998</v>
      </c>
      <c r="K64" s="88">
        <f t="shared" si="52"/>
        <v>13.394814499999999</v>
      </c>
      <c r="L64" s="88">
        <f t="shared" si="52"/>
        <v>7.2397033999999998</v>
      </c>
      <c r="M64" s="88">
        <f t="shared" si="52"/>
        <v>2.119259</v>
      </c>
      <c r="N64" s="79">
        <f t="shared" si="48"/>
        <v>11.722234275</v>
      </c>
    </row>
    <row r="65" spans="1:14" s="1" customFormat="1" ht="16.5" customHeight="1">
      <c r="A65" s="78">
        <v>4</v>
      </c>
      <c r="B65" s="88">
        <f t="shared" ref="B65:M65" si="53">B59+(B60/2)*-0.866025</f>
        <v>1.1153224999999996</v>
      </c>
      <c r="C65" s="88">
        <f t="shared" si="53"/>
        <v>2.3689125000000004</v>
      </c>
      <c r="D65" s="88">
        <f t="shared" si="53"/>
        <v>5.8193937499999997</v>
      </c>
      <c r="E65" s="88">
        <f t="shared" si="53"/>
        <v>10.956477499999998</v>
      </c>
      <c r="F65" s="88">
        <f t="shared" si="53"/>
        <v>15.516285</v>
      </c>
      <c r="G65" s="88">
        <f t="shared" si="53"/>
        <v>19.035899999999998</v>
      </c>
      <c r="H65" s="88">
        <f t="shared" si="53"/>
        <v>22.75240625</v>
      </c>
      <c r="I65" s="88">
        <f t="shared" si="53"/>
        <v>24.08231</v>
      </c>
      <c r="J65" s="88">
        <f t="shared" si="53"/>
        <v>19.822502499999999</v>
      </c>
      <c r="K65" s="88">
        <f t="shared" si="53"/>
        <v>13.81939375</v>
      </c>
      <c r="L65" s="88">
        <f t="shared" si="53"/>
        <v>7.6492974999999994</v>
      </c>
      <c r="M65" s="88">
        <f t="shared" si="53"/>
        <v>2.4689125000000001</v>
      </c>
      <c r="N65" s="79">
        <f t="shared" si="48"/>
        <v>12.117259479166664</v>
      </c>
    </row>
    <row r="66" spans="1:14" s="1" customFormat="1" ht="16.5" customHeight="1">
      <c r="A66" s="78">
        <v>5</v>
      </c>
      <c r="B66" s="88">
        <f t="shared" ref="B66:M66" si="54">B59+(B60/2)*-0.707107</f>
        <v>1.6079682999999996</v>
      </c>
      <c r="C66" s="88">
        <f t="shared" si="54"/>
        <v>2.9251255</v>
      </c>
      <c r="D66" s="88">
        <f t="shared" si="54"/>
        <v>6.4947952499999992</v>
      </c>
      <c r="E66" s="88">
        <f t="shared" si="54"/>
        <v>11.735175699999999</v>
      </c>
      <c r="F66" s="88">
        <f t="shared" si="54"/>
        <v>16.247307800000002</v>
      </c>
      <c r="G66" s="88">
        <f t="shared" si="54"/>
        <v>19.671572000000001</v>
      </c>
      <c r="H66" s="88">
        <f t="shared" si="54"/>
        <v>23.34834875</v>
      </c>
      <c r="I66" s="88">
        <f t="shared" si="54"/>
        <v>24.654414799999998</v>
      </c>
      <c r="J66" s="88">
        <f t="shared" si="54"/>
        <v>20.4422827</v>
      </c>
      <c r="K66" s="88">
        <f t="shared" si="54"/>
        <v>14.494795249999999</v>
      </c>
      <c r="L66" s="88">
        <f t="shared" si="54"/>
        <v>8.3008612999999993</v>
      </c>
      <c r="M66" s="88">
        <f t="shared" si="54"/>
        <v>3.0251254999999997</v>
      </c>
      <c r="N66" s="79">
        <f t="shared" si="48"/>
        <v>12.745647737500001</v>
      </c>
    </row>
    <row r="67" spans="1:14" s="1" customFormat="1" ht="16.5" customHeight="1">
      <c r="A67" s="78">
        <v>6</v>
      </c>
      <c r="B67" s="88">
        <f t="shared" ref="B67:M67" si="55">B59+(B60/2)*-0.5</f>
        <v>2.25</v>
      </c>
      <c r="C67" s="88">
        <f t="shared" si="55"/>
        <v>3.6500000000000004</v>
      </c>
      <c r="D67" s="88">
        <f t="shared" si="55"/>
        <v>7.375</v>
      </c>
      <c r="E67" s="88">
        <f t="shared" si="55"/>
        <v>12.75</v>
      </c>
      <c r="F67" s="88">
        <f t="shared" si="55"/>
        <v>17.2</v>
      </c>
      <c r="G67" s="88">
        <f t="shared" si="55"/>
        <v>20.5</v>
      </c>
      <c r="H67" s="88">
        <f t="shared" si="55"/>
        <v>24.125</v>
      </c>
      <c r="I67" s="88">
        <f t="shared" si="55"/>
        <v>25.4</v>
      </c>
      <c r="J67" s="88">
        <f t="shared" si="55"/>
        <v>21.25</v>
      </c>
      <c r="K67" s="88">
        <f t="shared" si="55"/>
        <v>15.375</v>
      </c>
      <c r="L67" s="88">
        <f t="shared" si="55"/>
        <v>9.1499999999999986</v>
      </c>
      <c r="M67" s="88">
        <f t="shared" si="55"/>
        <v>3.75</v>
      </c>
      <c r="N67" s="79">
        <f t="shared" si="48"/>
        <v>13.564583333333333</v>
      </c>
    </row>
    <row r="68" spans="1:14" s="1" customFormat="1" ht="16.5" customHeight="1">
      <c r="A68" s="78">
        <v>7</v>
      </c>
      <c r="B68" s="88">
        <f t="shared" ref="B68:M68" si="56">B59+(B60/2)*-0.258819</f>
        <v>2.9976610999999997</v>
      </c>
      <c r="C68" s="88">
        <f t="shared" si="56"/>
        <v>4.4941335000000002</v>
      </c>
      <c r="D68" s="88">
        <f t="shared" si="56"/>
        <v>8.4000192499999997</v>
      </c>
      <c r="E68" s="88">
        <f t="shared" si="56"/>
        <v>13.931786899999999</v>
      </c>
      <c r="F68" s="88">
        <f t="shared" si="56"/>
        <v>18.309432600000001</v>
      </c>
      <c r="G68" s="88">
        <f t="shared" si="56"/>
        <v>21.464724</v>
      </c>
      <c r="H68" s="88">
        <f t="shared" si="56"/>
        <v>25.029428750000001</v>
      </c>
      <c r="I68" s="88">
        <f t="shared" si="56"/>
        <v>26.268251599999999</v>
      </c>
      <c r="J68" s="88">
        <f t="shared" si="56"/>
        <v>22.190605899999998</v>
      </c>
      <c r="K68" s="88">
        <f t="shared" si="56"/>
        <v>16.40001925</v>
      </c>
      <c r="L68" s="88">
        <f t="shared" si="56"/>
        <v>10.1388421</v>
      </c>
      <c r="M68" s="88">
        <f t="shared" si="56"/>
        <v>4.5941334999999999</v>
      </c>
      <c r="N68" s="79">
        <f t="shared" si="48"/>
        <v>14.518253204166667</v>
      </c>
    </row>
    <row r="69" spans="1:14" s="1" customFormat="1" ht="16.5" customHeight="1">
      <c r="A69" s="78">
        <v>8</v>
      </c>
      <c r="B69" s="88">
        <f t="shared" ref="B69:M69" si="57">B59+(B60/2)*0</f>
        <v>3.8</v>
      </c>
      <c r="C69" s="88">
        <f t="shared" si="57"/>
        <v>5.4</v>
      </c>
      <c r="D69" s="88">
        <f t="shared" si="57"/>
        <v>9.5</v>
      </c>
      <c r="E69" s="88">
        <f t="shared" si="57"/>
        <v>15.2</v>
      </c>
      <c r="F69" s="88">
        <f t="shared" si="57"/>
        <v>19.5</v>
      </c>
      <c r="G69" s="88">
        <f t="shared" si="57"/>
        <v>22.5</v>
      </c>
      <c r="H69" s="88">
        <f t="shared" si="57"/>
        <v>26</v>
      </c>
      <c r="I69" s="88">
        <f t="shared" si="57"/>
        <v>27.2</v>
      </c>
      <c r="J69" s="88">
        <f t="shared" si="57"/>
        <v>23.2</v>
      </c>
      <c r="K69" s="88">
        <f t="shared" si="57"/>
        <v>17.5</v>
      </c>
      <c r="L69" s="88">
        <f t="shared" si="57"/>
        <v>11.2</v>
      </c>
      <c r="M69" s="88">
        <f t="shared" si="57"/>
        <v>5.5</v>
      </c>
      <c r="N69" s="79">
        <f t="shared" si="48"/>
        <v>15.541666666666664</v>
      </c>
    </row>
    <row r="70" spans="1:14" s="1" customFormat="1" ht="16.5" customHeight="1">
      <c r="A70" s="78">
        <v>9</v>
      </c>
      <c r="B70" s="88">
        <f t="shared" ref="B70:M70" si="58">B59+(B60/2)*0.258819</f>
        <v>4.6023388999999995</v>
      </c>
      <c r="C70" s="88">
        <f t="shared" si="58"/>
        <v>6.3058665000000005</v>
      </c>
      <c r="D70" s="88">
        <f t="shared" si="58"/>
        <v>10.59998075</v>
      </c>
      <c r="E70" s="88">
        <f t="shared" si="58"/>
        <v>16.4682131</v>
      </c>
      <c r="F70" s="88">
        <f t="shared" si="58"/>
        <v>20.690567399999999</v>
      </c>
      <c r="G70" s="88">
        <f t="shared" si="58"/>
        <v>23.535276</v>
      </c>
      <c r="H70" s="88">
        <f t="shared" si="58"/>
        <v>26.970571249999999</v>
      </c>
      <c r="I70" s="88">
        <f t="shared" si="58"/>
        <v>28.131748399999999</v>
      </c>
      <c r="J70" s="88">
        <f t="shared" si="58"/>
        <v>24.209394100000001</v>
      </c>
      <c r="K70" s="88">
        <f t="shared" si="58"/>
        <v>18.59998075</v>
      </c>
      <c r="L70" s="88">
        <f t="shared" si="58"/>
        <v>12.261157899999999</v>
      </c>
      <c r="M70" s="88">
        <f t="shared" si="58"/>
        <v>6.4058665000000001</v>
      </c>
      <c r="N70" s="79">
        <f t="shared" si="48"/>
        <v>16.565080129166663</v>
      </c>
    </row>
    <row r="71" spans="1:14" s="1" customFormat="1" ht="16.5" customHeight="1">
      <c r="A71" s="78">
        <v>10</v>
      </c>
      <c r="B71" s="88">
        <f t="shared" ref="B71:M71" si="59">B59+(B60/2)*0.5</f>
        <v>5.35</v>
      </c>
      <c r="C71" s="88">
        <f t="shared" si="59"/>
        <v>7.15</v>
      </c>
      <c r="D71" s="88">
        <f t="shared" si="59"/>
        <v>11.625</v>
      </c>
      <c r="E71" s="88">
        <f t="shared" si="59"/>
        <v>17.649999999999999</v>
      </c>
      <c r="F71" s="88">
        <f t="shared" si="59"/>
        <v>21.8</v>
      </c>
      <c r="G71" s="88">
        <f t="shared" si="59"/>
        <v>24.5</v>
      </c>
      <c r="H71" s="88">
        <f t="shared" si="59"/>
        <v>27.875</v>
      </c>
      <c r="I71" s="88">
        <f t="shared" si="59"/>
        <v>29</v>
      </c>
      <c r="J71" s="88">
        <f t="shared" si="59"/>
        <v>25.15</v>
      </c>
      <c r="K71" s="88">
        <f t="shared" si="59"/>
        <v>19.625</v>
      </c>
      <c r="L71" s="88">
        <f t="shared" si="59"/>
        <v>13.25</v>
      </c>
      <c r="M71" s="88">
        <f t="shared" si="59"/>
        <v>7.25</v>
      </c>
      <c r="N71" s="79">
        <f t="shared" si="48"/>
        <v>17.518750000000001</v>
      </c>
    </row>
    <row r="72" spans="1:14" s="1" customFormat="1" ht="16.5" customHeight="1">
      <c r="A72" s="78">
        <v>11</v>
      </c>
      <c r="B72" s="88">
        <f t="shared" ref="B72:M72" si="60">B59+(B60/2)*0.707107</f>
        <v>5.9920317000000001</v>
      </c>
      <c r="C72" s="88">
        <f t="shared" si="60"/>
        <v>7.8748745000000007</v>
      </c>
      <c r="D72" s="88">
        <f t="shared" si="60"/>
        <v>12.505204750000001</v>
      </c>
      <c r="E72" s="88">
        <f t="shared" si="60"/>
        <v>18.664824299999999</v>
      </c>
      <c r="F72" s="88">
        <f t="shared" si="60"/>
        <v>22.752692199999998</v>
      </c>
      <c r="G72" s="88">
        <f t="shared" si="60"/>
        <v>25.328427999999999</v>
      </c>
      <c r="H72" s="88">
        <f t="shared" si="60"/>
        <v>28.65165125</v>
      </c>
      <c r="I72" s="88">
        <f t="shared" si="60"/>
        <v>29.745585200000001</v>
      </c>
      <c r="J72" s="88">
        <f t="shared" si="60"/>
        <v>25.957717299999999</v>
      </c>
      <c r="K72" s="88">
        <f t="shared" si="60"/>
        <v>20.505204750000001</v>
      </c>
      <c r="L72" s="88">
        <f t="shared" si="60"/>
        <v>14.099138699999999</v>
      </c>
      <c r="M72" s="88">
        <f t="shared" si="60"/>
        <v>7.9748745000000003</v>
      </c>
      <c r="N72" s="79">
        <f t="shared" si="48"/>
        <v>18.337685595833332</v>
      </c>
    </row>
    <row r="73" spans="1:14" s="1" customFormat="1" ht="16.5" customHeight="1">
      <c r="A73" s="78">
        <v>12</v>
      </c>
      <c r="B73" s="88">
        <f t="shared" ref="B73:M73" si="61">B59+(B60/2)*0.866025</f>
        <v>6.4846775000000001</v>
      </c>
      <c r="C73" s="88">
        <f t="shared" si="61"/>
        <v>8.4310875000000003</v>
      </c>
      <c r="D73" s="88">
        <f t="shared" si="61"/>
        <v>13.18060625</v>
      </c>
      <c r="E73" s="88">
        <f t="shared" si="61"/>
        <v>19.4435225</v>
      </c>
      <c r="F73" s="88">
        <f t="shared" si="61"/>
        <v>23.483715</v>
      </c>
      <c r="G73" s="88">
        <f t="shared" si="61"/>
        <v>25.964100000000002</v>
      </c>
      <c r="H73" s="88">
        <f t="shared" si="61"/>
        <v>29.24759375</v>
      </c>
      <c r="I73" s="88">
        <f t="shared" si="61"/>
        <v>30.317689999999999</v>
      </c>
      <c r="J73" s="88">
        <f t="shared" si="61"/>
        <v>26.5774975</v>
      </c>
      <c r="K73" s="88">
        <f t="shared" si="61"/>
        <v>21.18060625</v>
      </c>
      <c r="L73" s="88">
        <f t="shared" si="61"/>
        <v>14.750702499999999</v>
      </c>
      <c r="M73" s="88">
        <f t="shared" si="61"/>
        <v>8.5310874999999999</v>
      </c>
      <c r="N73" s="79">
        <f t="shared" si="48"/>
        <v>18.96607385416667</v>
      </c>
    </row>
    <row r="74" spans="1:14" s="1" customFormat="1" ht="16.5" customHeight="1">
      <c r="A74" s="78">
        <v>13</v>
      </c>
      <c r="B74" s="88">
        <f t="shared" ref="B74:M74" si="62">B59+(B60/2)*0.965926</f>
        <v>6.7943705999999997</v>
      </c>
      <c r="C74" s="88">
        <f t="shared" si="62"/>
        <v>8.7807410000000008</v>
      </c>
      <c r="D74" s="88">
        <f t="shared" si="62"/>
        <v>13.605185500000001</v>
      </c>
      <c r="E74" s="88">
        <f t="shared" si="62"/>
        <v>19.9330374</v>
      </c>
      <c r="F74" s="88">
        <f t="shared" si="62"/>
        <v>23.943259599999998</v>
      </c>
      <c r="G74" s="88">
        <f t="shared" si="62"/>
        <v>26.363703999999998</v>
      </c>
      <c r="H74" s="88">
        <f t="shared" si="62"/>
        <v>29.622222499999999</v>
      </c>
      <c r="I74" s="88">
        <f t="shared" si="62"/>
        <v>30.677333599999997</v>
      </c>
      <c r="J74" s="88">
        <f t="shared" si="62"/>
        <v>26.9671114</v>
      </c>
      <c r="K74" s="88">
        <f t="shared" si="62"/>
        <v>21.605185500000001</v>
      </c>
      <c r="L74" s="88">
        <f t="shared" si="62"/>
        <v>15.160296599999999</v>
      </c>
      <c r="M74" s="88">
        <f t="shared" si="62"/>
        <v>8.8807410000000004</v>
      </c>
      <c r="N74" s="79">
        <f t="shared" si="48"/>
        <v>19.361099058333334</v>
      </c>
    </row>
    <row r="75" spans="1:14" s="1" customFormat="1" ht="16.5" customHeight="1">
      <c r="A75" s="78">
        <v>14</v>
      </c>
      <c r="B75" s="88">
        <f t="shared" ref="B75:M75" si="63">B59+(B60/2)*1</f>
        <v>6.9</v>
      </c>
      <c r="C75" s="88">
        <f t="shared" si="63"/>
        <v>8.9</v>
      </c>
      <c r="D75" s="88">
        <f t="shared" si="63"/>
        <v>13.75</v>
      </c>
      <c r="E75" s="88">
        <f t="shared" si="63"/>
        <v>20.100000000000001</v>
      </c>
      <c r="F75" s="88">
        <f t="shared" si="63"/>
        <v>24.1</v>
      </c>
      <c r="G75" s="88">
        <f t="shared" si="63"/>
        <v>26.5</v>
      </c>
      <c r="H75" s="88">
        <f t="shared" si="63"/>
        <v>29.75</v>
      </c>
      <c r="I75" s="88">
        <f t="shared" si="63"/>
        <v>30.8</v>
      </c>
      <c r="J75" s="88">
        <f t="shared" si="63"/>
        <v>27.099999999999998</v>
      </c>
      <c r="K75" s="88">
        <f t="shared" si="63"/>
        <v>21.75</v>
      </c>
      <c r="L75" s="88">
        <f t="shared" si="63"/>
        <v>15.299999999999999</v>
      </c>
      <c r="M75" s="88">
        <f t="shared" si="63"/>
        <v>9</v>
      </c>
      <c r="N75" s="79">
        <f t="shared" si="48"/>
        <v>19.495833333333334</v>
      </c>
    </row>
    <row r="76" spans="1:14" s="1" customFormat="1" ht="16.5" customHeight="1">
      <c r="A76" s="78">
        <v>15</v>
      </c>
      <c r="B76" s="88">
        <f t="shared" ref="B76:M76" si="64">B59+(B60/2)*0.965926</f>
        <v>6.7943705999999997</v>
      </c>
      <c r="C76" s="88">
        <f t="shared" si="64"/>
        <v>8.7807410000000008</v>
      </c>
      <c r="D76" s="88">
        <f t="shared" si="64"/>
        <v>13.605185500000001</v>
      </c>
      <c r="E76" s="88">
        <f t="shared" si="64"/>
        <v>19.9330374</v>
      </c>
      <c r="F76" s="88">
        <f t="shared" si="64"/>
        <v>23.943259599999998</v>
      </c>
      <c r="G76" s="88">
        <f t="shared" si="64"/>
        <v>26.363703999999998</v>
      </c>
      <c r="H76" s="88">
        <f t="shared" si="64"/>
        <v>29.622222499999999</v>
      </c>
      <c r="I76" s="88">
        <f t="shared" si="64"/>
        <v>30.677333599999997</v>
      </c>
      <c r="J76" s="88">
        <f t="shared" si="64"/>
        <v>26.9671114</v>
      </c>
      <c r="K76" s="88">
        <f t="shared" si="64"/>
        <v>21.605185500000001</v>
      </c>
      <c r="L76" s="88">
        <f t="shared" si="64"/>
        <v>15.160296599999999</v>
      </c>
      <c r="M76" s="88">
        <f t="shared" si="64"/>
        <v>8.8807410000000004</v>
      </c>
      <c r="N76" s="79">
        <f t="shared" si="48"/>
        <v>19.361099058333334</v>
      </c>
    </row>
    <row r="77" spans="1:14" s="1" customFormat="1" ht="16.5" customHeight="1">
      <c r="A77" s="78">
        <v>16</v>
      </c>
      <c r="B77" s="88">
        <f t="shared" ref="B77:M77" si="65">B59+(B60/2)*0.866025</f>
        <v>6.4846775000000001</v>
      </c>
      <c r="C77" s="88">
        <f t="shared" si="65"/>
        <v>8.4310875000000003</v>
      </c>
      <c r="D77" s="88">
        <f t="shared" si="65"/>
        <v>13.18060625</v>
      </c>
      <c r="E77" s="88">
        <f t="shared" si="65"/>
        <v>19.4435225</v>
      </c>
      <c r="F77" s="88">
        <f t="shared" si="65"/>
        <v>23.483715</v>
      </c>
      <c r="G77" s="88">
        <f t="shared" si="65"/>
        <v>25.964100000000002</v>
      </c>
      <c r="H77" s="88">
        <f t="shared" si="65"/>
        <v>29.24759375</v>
      </c>
      <c r="I77" s="88">
        <f t="shared" si="65"/>
        <v>30.317689999999999</v>
      </c>
      <c r="J77" s="88">
        <f t="shared" si="65"/>
        <v>26.5774975</v>
      </c>
      <c r="K77" s="88">
        <f t="shared" si="65"/>
        <v>21.18060625</v>
      </c>
      <c r="L77" s="88">
        <f t="shared" si="65"/>
        <v>14.750702499999999</v>
      </c>
      <c r="M77" s="88">
        <f t="shared" si="65"/>
        <v>8.5310874999999999</v>
      </c>
      <c r="N77" s="79">
        <f t="shared" si="48"/>
        <v>18.96607385416667</v>
      </c>
    </row>
    <row r="78" spans="1:14" s="1" customFormat="1" ht="16.5" customHeight="1">
      <c r="A78" s="78">
        <v>17</v>
      </c>
      <c r="B78" s="88">
        <f t="shared" ref="B78:M78" si="66">B59+(B60/2)*0.707107</f>
        <v>5.9920317000000001</v>
      </c>
      <c r="C78" s="88">
        <f t="shared" si="66"/>
        <v>7.8748745000000007</v>
      </c>
      <c r="D78" s="88">
        <f t="shared" si="66"/>
        <v>12.505204750000001</v>
      </c>
      <c r="E78" s="88">
        <f t="shared" si="66"/>
        <v>18.664824299999999</v>
      </c>
      <c r="F78" s="88">
        <f t="shared" si="66"/>
        <v>22.752692199999998</v>
      </c>
      <c r="G78" s="88">
        <f t="shared" si="66"/>
        <v>25.328427999999999</v>
      </c>
      <c r="H78" s="88">
        <f t="shared" si="66"/>
        <v>28.65165125</v>
      </c>
      <c r="I78" s="88">
        <f t="shared" si="66"/>
        <v>29.745585200000001</v>
      </c>
      <c r="J78" s="88">
        <f t="shared" si="66"/>
        <v>25.957717299999999</v>
      </c>
      <c r="K78" s="88">
        <f t="shared" si="66"/>
        <v>20.505204750000001</v>
      </c>
      <c r="L78" s="88">
        <f t="shared" si="66"/>
        <v>14.099138699999999</v>
      </c>
      <c r="M78" s="88">
        <f t="shared" si="66"/>
        <v>7.9748745000000003</v>
      </c>
      <c r="N78" s="79">
        <f t="shared" si="48"/>
        <v>18.337685595833332</v>
      </c>
    </row>
    <row r="79" spans="1:14" s="1" customFormat="1" ht="16.5" customHeight="1">
      <c r="A79" s="78">
        <v>18</v>
      </c>
      <c r="B79" s="88">
        <f t="shared" ref="B79:M79" si="67">B59+(B60/2)*0.5</f>
        <v>5.35</v>
      </c>
      <c r="C79" s="88">
        <f t="shared" si="67"/>
        <v>7.15</v>
      </c>
      <c r="D79" s="88">
        <f t="shared" si="67"/>
        <v>11.625</v>
      </c>
      <c r="E79" s="88">
        <f t="shared" si="67"/>
        <v>17.649999999999999</v>
      </c>
      <c r="F79" s="88">
        <f t="shared" si="67"/>
        <v>21.8</v>
      </c>
      <c r="G79" s="88">
        <f t="shared" si="67"/>
        <v>24.5</v>
      </c>
      <c r="H79" s="88">
        <f t="shared" si="67"/>
        <v>27.875</v>
      </c>
      <c r="I79" s="88">
        <f t="shared" si="67"/>
        <v>29</v>
      </c>
      <c r="J79" s="88">
        <f t="shared" si="67"/>
        <v>25.15</v>
      </c>
      <c r="K79" s="88">
        <f t="shared" si="67"/>
        <v>19.625</v>
      </c>
      <c r="L79" s="88">
        <f t="shared" si="67"/>
        <v>13.25</v>
      </c>
      <c r="M79" s="88">
        <f t="shared" si="67"/>
        <v>7.25</v>
      </c>
      <c r="N79" s="79">
        <f t="shared" si="48"/>
        <v>17.518750000000001</v>
      </c>
    </row>
    <row r="80" spans="1:14" s="1" customFormat="1" ht="16.5" customHeight="1">
      <c r="A80" s="78">
        <v>19</v>
      </c>
      <c r="B80" s="88">
        <f t="shared" ref="B80:M80" si="68">B59+(B60/2)*0.258819</f>
        <v>4.6023388999999995</v>
      </c>
      <c r="C80" s="88">
        <f t="shared" si="68"/>
        <v>6.3058665000000005</v>
      </c>
      <c r="D80" s="88">
        <f t="shared" si="68"/>
        <v>10.59998075</v>
      </c>
      <c r="E80" s="88">
        <f t="shared" si="68"/>
        <v>16.4682131</v>
      </c>
      <c r="F80" s="88">
        <f t="shared" si="68"/>
        <v>20.690567399999999</v>
      </c>
      <c r="G80" s="88">
        <f t="shared" si="68"/>
        <v>23.535276</v>
      </c>
      <c r="H80" s="88">
        <f t="shared" si="68"/>
        <v>26.970571249999999</v>
      </c>
      <c r="I80" s="88">
        <f t="shared" si="68"/>
        <v>28.131748399999999</v>
      </c>
      <c r="J80" s="88">
        <f t="shared" si="68"/>
        <v>24.209394100000001</v>
      </c>
      <c r="K80" s="88">
        <f t="shared" si="68"/>
        <v>18.59998075</v>
      </c>
      <c r="L80" s="88">
        <f t="shared" si="68"/>
        <v>12.261157899999999</v>
      </c>
      <c r="M80" s="88">
        <f t="shared" si="68"/>
        <v>6.4058665000000001</v>
      </c>
      <c r="N80" s="79">
        <f t="shared" si="48"/>
        <v>16.565080129166663</v>
      </c>
    </row>
    <row r="81" spans="1:14" s="1" customFormat="1" ht="16.5" customHeight="1">
      <c r="A81" s="78">
        <v>20</v>
      </c>
      <c r="B81" s="88">
        <f t="shared" ref="B81:M81" si="69">B59+(B60/2)*0</f>
        <v>3.8</v>
      </c>
      <c r="C81" s="88">
        <f t="shared" si="69"/>
        <v>5.4</v>
      </c>
      <c r="D81" s="88">
        <f t="shared" si="69"/>
        <v>9.5</v>
      </c>
      <c r="E81" s="88">
        <f t="shared" si="69"/>
        <v>15.2</v>
      </c>
      <c r="F81" s="88">
        <f t="shared" si="69"/>
        <v>19.5</v>
      </c>
      <c r="G81" s="88">
        <f t="shared" si="69"/>
        <v>22.5</v>
      </c>
      <c r="H81" s="88">
        <f t="shared" si="69"/>
        <v>26</v>
      </c>
      <c r="I81" s="88">
        <f t="shared" si="69"/>
        <v>27.2</v>
      </c>
      <c r="J81" s="88">
        <f t="shared" si="69"/>
        <v>23.2</v>
      </c>
      <c r="K81" s="88">
        <f t="shared" si="69"/>
        <v>17.5</v>
      </c>
      <c r="L81" s="88">
        <f t="shared" si="69"/>
        <v>11.2</v>
      </c>
      <c r="M81" s="88">
        <f t="shared" si="69"/>
        <v>5.5</v>
      </c>
      <c r="N81" s="79">
        <f t="shared" si="48"/>
        <v>15.541666666666664</v>
      </c>
    </row>
    <row r="82" spans="1:14" s="1" customFormat="1" ht="16.5" customHeight="1">
      <c r="A82" s="78">
        <v>21</v>
      </c>
      <c r="B82" s="88">
        <f t="shared" ref="B82:M82" si="70">B59+(B60/2)*-0.258819</f>
        <v>2.9976610999999997</v>
      </c>
      <c r="C82" s="88">
        <f t="shared" si="70"/>
        <v>4.4941335000000002</v>
      </c>
      <c r="D82" s="88">
        <f t="shared" si="70"/>
        <v>8.4000192499999997</v>
      </c>
      <c r="E82" s="88">
        <f t="shared" si="70"/>
        <v>13.931786899999999</v>
      </c>
      <c r="F82" s="88">
        <f t="shared" si="70"/>
        <v>18.309432600000001</v>
      </c>
      <c r="G82" s="88">
        <f t="shared" si="70"/>
        <v>21.464724</v>
      </c>
      <c r="H82" s="88">
        <f t="shared" si="70"/>
        <v>25.029428750000001</v>
      </c>
      <c r="I82" s="88">
        <f t="shared" si="70"/>
        <v>26.268251599999999</v>
      </c>
      <c r="J82" s="88">
        <f t="shared" si="70"/>
        <v>22.190605899999998</v>
      </c>
      <c r="K82" s="88">
        <f t="shared" si="70"/>
        <v>16.40001925</v>
      </c>
      <c r="L82" s="88">
        <f t="shared" si="70"/>
        <v>10.1388421</v>
      </c>
      <c r="M82" s="88">
        <f t="shared" si="70"/>
        <v>4.5941334999999999</v>
      </c>
      <c r="N82" s="79">
        <f t="shared" si="48"/>
        <v>14.518253204166667</v>
      </c>
    </row>
    <row r="83" spans="1:14" s="1" customFormat="1" ht="16.5" customHeight="1">
      <c r="A83" s="78">
        <v>22</v>
      </c>
      <c r="B83" s="88">
        <f t="shared" ref="B83:M83" si="71">B59+(B60/2)*-0.5</f>
        <v>2.25</v>
      </c>
      <c r="C83" s="88">
        <f t="shared" si="71"/>
        <v>3.6500000000000004</v>
      </c>
      <c r="D83" s="88">
        <f t="shared" si="71"/>
        <v>7.375</v>
      </c>
      <c r="E83" s="88">
        <f t="shared" si="71"/>
        <v>12.75</v>
      </c>
      <c r="F83" s="88">
        <f t="shared" si="71"/>
        <v>17.2</v>
      </c>
      <c r="G83" s="88">
        <f t="shared" si="71"/>
        <v>20.5</v>
      </c>
      <c r="H83" s="88">
        <f t="shared" si="71"/>
        <v>24.125</v>
      </c>
      <c r="I83" s="88">
        <f t="shared" si="71"/>
        <v>25.4</v>
      </c>
      <c r="J83" s="88">
        <f t="shared" si="71"/>
        <v>21.25</v>
      </c>
      <c r="K83" s="88">
        <f t="shared" si="71"/>
        <v>15.375</v>
      </c>
      <c r="L83" s="88">
        <f t="shared" si="71"/>
        <v>9.1499999999999986</v>
      </c>
      <c r="M83" s="88">
        <f t="shared" si="71"/>
        <v>3.75</v>
      </c>
      <c r="N83" s="79">
        <f t="shared" si="48"/>
        <v>13.564583333333333</v>
      </c>
    </row>
    <row r="84" spans="1:14" s="1" customFormat="1" ht="21.75" customHeight="1">
      <c r="A84" s="17" t="s">
        <v>344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70"/>
    </row>
    <row r="85" spans="1:14" s="1" customFormat="1" ht="21.75" customHeight="1">
      <c r="A85" s="90" t="s">
        <v>338</v>
      </c>
      <c r="B85" s="91" t="s">
        <v>27</v>
      </c>
      <c r="C85" s="91" t="s">
        <v>28</v>
      </c>
      <c r="D85" s="91" t="s">
        <v>29</v>
      </c>
      <c r="E85" s="91" t="s">
        <v>30</v>
      </c>
      <c r="F85" s="91" t="s">
        <v>31</v>
      </c>
      <c r="G85" s="91" t="s">
        <v>32</v>
      </c>
      <c r="H85" s="91" t="s">
        <v>33</v>
      </c>
      <c r="I85" s="91" t="s">
        <v>34</v>
      </c>
      <c r="J85" s="91" t="s">
        <v>35</v>
      </c>
      <c r="K85" s="91" t="s">
        <v>36</v>
      </c>
      <c r="L85" s="91" t="s">
        <v>37</v>
      </c>
      <c r="M85" s="91" t="s">
        <v>38</v>
      </c>
      <c r="N85" s="90" t="s">
        <v>339</v>
      </c>
    </row>
    <row r="86" spans="1:14" s="1" customFormat="1" ht="19.5" customHeight="1">
      <c r="A86" s="92" t="s">
        <v>340</v>
      </c>
      <c r="B86" s="93">
        <v>6.2</v>
      </c>
      <c r="C86" s="93">
        <v>7</v>
      </c>
      <c r="D86" s="93">
        <v>10.5</v>
      </c>
      <c r="E86" s="93">
        <v>15.2</v>
      </c>
      <c r="F86" s="93">
        <v>19.5</v>
      </c>
      <c r="G86" s="93">
        <v>23</v>
      </c>
      <c r="H86" s="93">
        <v>27.2</v>
      </c>
      <c r="I86" s="93">
        <v>28</v>
      </c>
      <c r="J86" s="93">
        <v>24</v>
      </c>
      <c r="K86" s="93">
        <v>19</v>
      </c>
      <c r="L86" s="93">
        <v>13.5</v>
      </c>
      <c r="M86" s="93">
        <v>8.1999999999999993</v>
      </c>
      <c r="N86" s="94">
        <f t="shared" ref="N86:N111" si="72">AVERAGE(B86,C86,D86,E86,F86,G86,H86,I86,J86,K86,L86,M86)</f>
        <v>16.775000000000002</v>
      </c>
    </row>
    <row r="87" spans="1:14" s="1" customFormat="1" ht="18" customHeight="1">
      <c r="A87" s="92" t="s">
        <v>341</v>
      </c>
      <c r="B87" s="93">
        <v>5.8</v>
      </c>
      <c r="C87" s="93">
        <v>6.5</v>
      </c>
      <c r="D87" s="93">
        <v>7.2</v>
      </c>
      <c r="E87" s="93">
        <v>8.5</v>
      </c>
      <c r="F87" s="93">
        <v>8</v>
      </c>
      <c r="G87" s="93">
        <v>7.5</v>
      </c>
      <c r="H87" s="93">
        <v>7</v>
      </c>
      <c r="I87" s="93">
        <v>6.8</v>
      </c>
      <c r="J87" s="93">
        <v>7.2</v>
      </c>
      <c r="K87" s="93">
        <v>8</v>
      </c>
      <c r="L87" s="93">
        <v>7.5</v>
      </c>
      <c r="M87" s="93">
        <v>6.2</v>
      </c>
      <c r="N87" s="94">
        <f t="shared" si="72"/>
        <v>7.1833333333333336</v>
      </c>
    </row>
    <row r="88" spans="1:14" s="1" customFormat="1" ht="16.5" customHeight="1">
      <c r="A88" s="78">
        <v>0</v>
      </c>
      <c r="B88" s="93">
        <f t="shared" ref="B88:M88" si="73">B86+(B87/2)*-0.866025</f>
        <v>3.6885275000000002</v>
      </c>
      <c r="C88" s="93">
        <f t="shared" si="73"/>
        <v>4.1854187500000002</v>
      </c>
      <c r="D88" s="93">
        <f t="shared" si="73"/>
        <v>7.3823100000000004</v>
      </c>
      <c r="E88" s="93">
        <f t="shared" si="73"/>
        <v>11.519393749999999</v>
      </c>
      <c r="F88" s="93">
        <f t="shared" si="73"/>
        <v>16.035899999999998</v>
      </c>
      <c r="G88" s="93">
        <f t="shared" si="73"/>
        <v>19.75240625</v>
      </c>
      <c r="H88" s="93">
        <f t="shared" si="73"/>
        <v>24.168912499999998</v>
      </c>
      <c r="I88" s="93">
        <f t="shared" si="73"/>
        <v>25.055515</v>
      </c>
      <c r="J88" s="93">
        <f t="shared" si="73"/>
        <v>20.88231</v>
      </c>
      <c r="K88" s="93">
        <f t="shared" si="73"/>
        <v>15.5359</v>
      </c>
      <c r="L88" s="93">
        <f t="shared" si="73"/>
        <v>10.25240625</v>
      </c>
      <c r="M88" s="93">
        <f t="shared" si="73"/>
        <v>5.515322499999999</v>
      </c>
      <c r="N88" s="79">
        <f t="shared" si="72"/>
        <v>13.664526875</v>
      </c>
    </row>
    <row r="89" spans="1:14" s="1" customFormat="1" ht="16.5" customHeight="1">
      <c r="A89" s="78">
        <v>1</v>
      </c>
      <c r="B89" s="93">
        <f t="shared" ref="B89:M89" si="74">B86+(B87/2)*-0.965926</f>
        <v>3.3988146000000006</v>
      </c>
      <c r="C89" s="93">
        <f t="shared" si="74"/>
        <v>3.8607405000000004</v>
      </c>
      <c r="D89" s="93">
        <f t="shared" si="74"/>
        <v>7.0226664000000003</v>
      </c>
      <c r="E89" s="93">
        <f t="shared" si="74"/>
        <v>11.094814499999998</v>
      </c>
      <c r="F89" s="93">
        <f t="shared" si="74"/>
        <v>15.636296</v>
      </c>
      <c r="G89" s="93">
        <f t="shared" si="74"/>
        <v>19.377777500000001</v>
      </c>
      <c r="H89" s="93">
        <f t="shared" si="74"/>
        <v>23.819258999999999</v>
      </c>
      <c r="I89" s="93">
        <f t="shared" si="74"/>
        <v>24.715851600000001</v>
      </c>
      <c r="J89" s="93">
        <f t="shared" si="74"/>
        <v>20.522666399999999</v>
      </c>
      <c r="K89" s="93">
        <f t="shared" si="74"/>
        <v>15.136296</v>
      </c>
      <c r="L89" s="93">
        <f t="shared" si="74"/>
        <v>9.8777775000000005</v>
      </c>
      <c r="M89" s="93">
        <f t="shared" si="74"/>
        <v>5.2056293999999994</v>
      </c>
      <c r="N89" s="79">
        <f t="shared" si="72"/>
        <v>13.305715783333332</v>
      </c>
    </row>
    <row r="90" spans="1:14" s="1" customFormat="1" ht="16.5" customHeight="1">
      <c r="A90" s="78">
        <v>2</v>
      </c>
      <c r="B90" s="93">
        <f t="shared" ref="B90:M90" si="75">B86+(B87/2)*-1</f>
        <v>3.3000000000000003</v>
      </c>
      <c r="C90" s="93">
        <f t="shared" si="75"/>
        <v>3.75</v>
      </c>
      <c r="D90" s="93">
        <f t="shared" si="75"/>
        <v>6.9</v>
      </c>
      <c r="E90" s="93">
        <f t="shared" si="75"/>
        <v>10.95</v>
      </c>
      <c r="F90" s="93">
        <f t="shared" si="75"/>
        <v>15.5</v>
      </c>
      <c r="G90" s="93">
        <f t="shared" si="75"/>
        <v>19.25</v>
      </c>
      <c r="H90" s="93">
        <f t="shared" si="75"/>
        <v>23.7</v>
      </c>
      <c r="I90" s="93">
        <f t="shared" si="75"/>
        <v>24.6</v>
      </c>
      <c r="J90" s="93">
        <f t="shared" si="75"/>
        <v>20.399999999999999</v>
      </c>
      <c r="K90" s="93">
        <f t="shared" si="75"/>
        <v>15</v>
      </c>
      <c r="L90" s="93">
        <f t="shared" si="75"/>
        <v>9.75</v>
      </c>
      <c r="M90" s="93">
        <f t="shared" si="75"/>
        <v>5.0999999999999996</v>
      </c>
      <c r="N90" s="79">
        <f t="shared" si="72"/>
        <v>13.183333333333332</v>
      </c>
    </row>
    <row r="91" spans="1:14" s="1" customFormat="1" ht="16.5" customHeight="1">
      <c r="A91" s="78">
        <v>3</v>
      </c>
      <c r="B91" s="93">
        <f t="shared" ref="B91:M91" si="76">B86+(B87/2)*-0.965926</f>
        <v>3.3988146000000006</v>
      </c>
      <c r="C91" s="93">
        <f t="shared" si="76"/>
        <v>3.8607405000000004</v>
      </c>
      <c r="D91" s="93">
        <f t="shared" si="76"/>
        <v>7.0226664000000003</v>
      </c>
      <c r="E91" s="93">
        <f t="shared" si="76"/>
        <v>11.094814499999998</v>
      </c>
      <c r="F91" s="93">
        <f t="shared" si="76"/>
        <v>15.636296</v>
      </c>
      <c r="G91" s="93">
        <f t="shared" si="76"/>
        <v>19.377777500000001</v>
      </c>
      <c r="H91" s="93">
        <f t="shared" si="76"/>
        <v>23.819258999999999</v>
      </c>
      <c r="I91" s="93">
        <f t="shared" si="76"/>
        <v>24.715851600000001</v>
      </c>
      <c r="J91" s="93">
        <f t="shared" si="76"/>
        <v>20.522666399999999</v>
      </c>
      <c r="K91" s="93">
        <f t="shared" si="76"/>
        <v>15.136296</v>
      </c>
      <c r="L91" s="93">
        <f t="shared" si="76"/>
        <v>9.8777775000000005</v>
      </c>
      <c r="M91" s="93">
        <f t="shared" si="76"/>
        <v>5.2056293999999994</v>
      </c>
      <c r="N91" s="79">
        <f t="shared" si="72"/>
        <v>13.305715783333332</v>
      </c>
    </row>
    <row r="92" spans="1:14" s="1" customFormat="1" ht="16.5" customHeight="1">
      <c r="A92" s="78">
        <v>4</v>
      </c>
      <c r="B92" s="93">
        <f t="shared" ref="B92:M92" si="77">B86+(B87/2)*-0.866025</f>
        <v>3.6885275000000002</v>
      </c>
      <c r="C92" s="93">
        <f t="shared" si="77"/>
        <v>4.1854187500000002</v>
      </c>
      <c r="D92" s="93">
        <f t="shared" si="77"/>
        <v>7.3823100000000004</v>
      </c>
      <c r="E92" s="93">
        <f t="shared" si="77"/>
        <v>11.519393749999999</v>
      </c>
      <c r="F92" s="93">
        <f t="shared" si="77"/>
        <v>16.035899999999998</v>
      </c>
      <c r="G92" s="93">
        <f t="shared" si="77"/>
        <v>19.75240625</v>
      </c>
      <c r="H92" s="93">
        <f t="shared" si="77"/>
        <v>24.168912499999998</v>
      </c>
      <c r="I92" s="93">
        <f t="shared" si="77"/>
        <v>25.055515</v>
      </c>
      <c r="J92" s="93">
        <f t="shared" si="77"/>
        <v>20.88231</v>
      </c>
      <c r="K92" s="93">
        <f t="shared" si="77"/>
        <v>15.5359</v>
      </c>
      <c r="L92" s="93">
        <f t="shared" si="77"/>
        <v>10.25240625</v>
      </c>
      <c r="M92" s="93">
        <f t="shared" si="77"/>
        <v>5.515322499999999</v>
      </c>
      <c r="N92" s="79">
        <f t="shared" si="72"/>
        <v>13.664526875</v>
      </c>
    </row>
    <row r="93" spans="1:14" s="1" customFormat="1" ht="16.5" customHeight="1">
      <c r="A93" s="78">
        <v>5</v>
      </c>
      <c r="B93" s="93">
        <f t="shared" ref="B93:M93" si="78">B86+(B87/2)*-0.707107</f>
        <v>4.1493897000000004</v>
      </c>
      <c r="C93" s="93">
        <f t="shared" si="78"/>
        <v>4.7019022499999998</v>
      </c>
      <c r="D93" s="93">
        <f t="shared" si="78"/>
        <v>7.9544148000000003</v>
      </c>
      <c r="E93" s="93">
        <f t="shared" si="78"/>
        <v>12.194795249999999</v>
      </c>
      <c r="F93" s="93">
        <f t="shared" si="78"/>
        <v>16.671572000000001</v>
      </c>
      <c r="G93" s="93">
        <f t="shared" si="78"/>
        <v>20.34834875</v>
      </c>
      <c r="H93" s="93">
        <f t="shared" si="78"/>
        <v>24.725125499999997</v>
      </c>
      <c r="I93" s="93">
        <f t="shared" si="78"/>
        <v>25.595836200000001</v>
      </c>
      <c r="J93" s="93">
        <f t="shared" si="78"/>
        <v>21.454414799999999</v>
      </c>
      <c r="K93" s="93">
        <f t="shared" si="78"/>
        <v>16.171572000000001</v>
      </c>
      <c r="L93" s="93">
        <f t="shared" si="78"/>
        <v>10.84834875</v>
      </c>
      <c r="M93" s="93">
        <f t="shared" si="78"/>
        <v>6.007968299999999</v>
      </c>
      <c r="N93" s="79">
        <f t="shared" si="72"/>
        <v>14.235307358333332</v>
      </c>
    </row>
    <row r="94" spans="1:14" s="1" customFormat="1" ht="16.5" customHeight="1">
      <c r="A94" s="78">
        <v>6</v>
      </c>
      <c r="B94" s="93">
        <f t="shared" ref="B94:M94" si="79">B86+(B87/2)*-0.5</f>
        <v>4.75</v>
      </c>
      <c r="C94" s="93">
        <f t="shared" si="79"/>
        <v>5.375</v>
      </c>
      <c r="D94" s="93">
        <f t="shared" si="79"/>
        <v>8.6999999999999993</v>
      </c>
      <c r="E94" s="93">
        <f t="shared" si="79"/>
        <v>13.074999999999999</v>
      </c>
      <c r="F94" s="93">
        <f t="shared" si="79"/>
        <v>17.5</v>
      </c>
      <c r="G94" s="93">
        <f t="shared" si="79"/>
        <v>21.125</v>
      </c>
      <c r="H94" s="93">
        <f t="shared" si="79"/>
        <v>25.45</v>
      </c>
      <c r="I94" s="93">
        <f t="shared" si="79"/>
        <v>26.3</v>
      </c>
      <c r="J94" s="93">
        <f t="shared" si="79"/>
        <v>22.2</v>
      </c>
      <c r="K94" s="93">
        <f t="shared" si="79"/>
        <v>17</v>
      </c>
      <c r="L94" s="93">
        <f t="shared" si="79"/>
        <v>11.625</v>
      </c>
      <c r="M94" s="93">
        <f t="shared" si="79"/>
        <v>6.6499999999999995</v>
      </c>
      <c r="N94" s="79">
        <f t="shared" si="72"/>
        <v>14.979166666666666</v>
      </c>
    </row>
    <row r="95" spans="1:14" s="1" customFormat="1" ht="16.5" customHeight="1">
      <c r="A95" s="78">
        <v>7</v>
      </c>
      <c r="B95" s="93">
        <f t="shared" ref="B95:M95" si="80">B86+(B87/2)*-0.258819</f>
        <v>5.4494249000000003</v>
      </c>
      <c r="C95" s="93">
        <f t="shared" si="80"/>
        <v>6.1588382499999996</v>
      </c>
      <c r="D95" s="93">
        <f t="shared" si="80"/>
        <v>9.5682516</v>
      </c>
      <c r="E95" s="93">
        <f t="shared" si="80"/>
        <v>14.100019249999999</v>
      </c>
      <c r="F95" s="93">
        <f t="shared" si="80"/>
        <v>18.464724</v>
      </c>
      <c r="G95" s="93">
        <f t="shared" si="80"/>
        <v>22.029428750000001</v>
      </c>
      <c r="H95" s="93">
        <f t="shared" si="80"/>
        <v>26.294133500000001</v>
      </c>
      <c r="I95" s="93">
        <f t="shared" si="80"/>
        <v>27.1200154</v>
      </c>
      <c r="J95" s="93">
        <f t="shared" si="80"/>
        <v>23.0682516</v>
      </c>
      <c r="K95" s="93">
        <f t="shared" si="80"/>
        <v>17.964724</v>
      </c>
      <c r="L95" s="93">
        <f t="shared" si="80"/>
        <v>12.529428749999999</v>
      </c>
      <c r="M95" s="93">
        <f t="shared" si="80"/>
        <v>7.3976610999999988</v>
      </c>
      <c r="N95" s="79">
        <f t="shared" si="72"/>
        <v>15.845408425</v>
      </c>
    </row>
    <row r="96" spans="1:14" s="1" customFormat="1" ht="16.5" customHeight="1">
      <c r="A96" s="78">
        <v>8</v>
      </c>
      <c r="B96" s="93">
        <f t="shared" ref="B96:M96" si="81">B86+(B87/2)*0</f>
        <v>6.2</v>
      </c>
      <c r="C96" s="93">
        <f t="shared" si="81"/>
        <v>7</v>
      </c>
      <c r="D96" s="93">
        <f t="shared" si="81"/>
        <v>10.5</v>
      </c>
      <c r="E96" s="93">
        <f t="shared" si="81"/>
        <v>15.2</v>
      </c>
      <c r="F96" s="93">
        <f t="shared" si="81"/>
        <v>19.5</v>
      </c>
      <c r="G96" s="93">
        <f t="shared" si="81"/>
        <v>23</v>
      </c>
      <c r="H96" s="93">
        <f t="shared" si="81"/>
        <v>27.2</v>
      </c>
      <c r="I96" s="93">
        <f t="shared" si="81"/>
        <v>28</v>
      </c>
      <c r="J96" s="93">
        <f t="shared" si="81"/>
        <v>24</v>
      </c>
      <c r="K96" s="93">
        <f t="shared" si="81"/>
        <v>19</v>
      </c>
      <c r="L96" s="93">
        <f t="shared" si="81"/>
        <v>13.5</v>
      </c>
      <c r="M96" s="93">
        <f t="shared" si="81"/>
        <v>8.1999999999999993</v>
      </c>
      <c r="N96" s="79">
        <f t="shared" si="72"/>
        <v>16.775000000000002</v>
      </c>
    </row>
    <row r="97" spans="1:14" s="1" customFormat="1" ht="16.5" customHeight="1">
      <c r="A97" s="78">
        <v>9</v>
      </c>
      <c r="B97" s="93">
        <f t="shared" ref="B97:M97" si="82">B86+(B87/2)*0.258819</f>
        <v>6.9505751</v>
      </c>
      <c r="C97" s="93">
        <f t="shared" si="82"/>
        <v>7.8411617500000004</v>
      </c>
      <c r="D97" s="93">
        <f t="shared" si="82"/>
        <v>11.4317484</v>
      </c>
      <c r="E97" s="93">
        <f t="shared" si="82"/>
        <v>16.29998075</v>
      </c>
      <c r="F97" s="93">
        <f t="shared" si="82"/>
        <v>20.535276</v>
      </c>
      <c r="G97" s="93">
        <f t="shared" si="82"/>
        <v>23.970571249999999</v>
      </c>
      <c r="H97" s="93">
        <f t="shared" si="82"/>
        <v>28.105866499999998</v>
      </c>
      <c r="I97" s="93">
        <f t="shared" si="82"/>
        <v>28.8799846</v>
      </c>
      <c r="J97" s="93">
        <f t="shared" si="82"/>
        <v>24.9317484</v>
      </c>
      <c r="K97" s="93">
        <f t="shared" si="82"/>
        <v>20.035276</v>
      </c>
      <c r="L97" s="93">
        <f t="shared" si="82"/>
        <v>14.470571250000001</v>
      </c>
      <c r="M97" s="93">
        <f t="shared" si="82"/>
        <v>9.0023388999999998</v>
      </c>
      <c r="N97" s="79">
        <f t="shared" si="72"/>
        <v>17.704591575000002</v>
      </c>
    </row>
    <row r="98" spans="1:14" s="1" customFormat="1" ht="16.5" customHeight="1">
      <c r="A98" s="78">
        <v>10</v>
      </c>
      <c r="B98" s="93">
        <f t="shared" ref="B98:M98" si="83">B86+(B87/2)*0.5</f>
        <v>7.65</v>
      </c>
      <c r="C98" s="93">
        <f t="shared" si="83"/>
        <v>8.625</v>
      </c>
      <c r="D98" s="93">
        <f t="shared" si="83"/>
        <v>12.3</v>
      </c>
      <c r="E98" s="93">
        <f t="shared" si="83"/>
        <v>17.324999999999999</v>
      </c>
      <c r="F98" s="93">
        <f t="shared" si="83"/>
        <v>21.5</v>
      </c>
      <c r="G98" s="93">
        <f t="shared" si="83"/>
        <v>24.875</v>
      </c>
      <c r="H98" s="93">
        <f t="shared" si="83"/>
        <v>28.95</v>
      </c>
      <c r="I98" s="93">
        <f t="shared" si="83"/>
        <v>29.7</v>
      </c>
      <c r="J98" s="93">
        <f t="shared" si="83"/>
        <v>25.8</v>
      </c>
      <c r="K98" s="93">
        <f t="shared" si="83"/>
        <v>21</v>
      </c>
      <c r="L98" s="93">
        <f t="shared" si="83"/>
        <v>15.375</v>
      </c>
      <c r="M98" s="93">
        <f t="shared" si="83"/>
        <v>9.75</v>
      </c>
      <c r="N98" s="79">
        <f t="shared" si="72"/>
        <v>18.570833333333336</v>
      </c>
    </row>
    <row r="99" spans="1:14" s="1" customFormat="1" ht="16.5" customHeight="1">
      <c r="A99" s="78">
        <v>11</v>
      </c>
      <c r="B99" s="93">
        <f t="shared" ref="B99:M99" si="84">B86+(B87/2)*0.707107</f>
        <v>8.2506103</v>
      </c>
      <c r="C99" s="93">
        <f t="shared" si="84"/>
        <v>9.2980977500000002</v>
      </c>
      <c r="D99" s="93">
        <f t="shared" si="84"/>
        <v>13.0455852</v>
      </c>
      <c r="E99" s="93">
        <f t="shared" si="84"/>
        <v>18.20520475</v>
      </c>
      <c r="F99" s="93">
        <f t="shared" si="84"/>
        <v>22.328427999999999</v>
      </c>
      <c r="G99" s="93">
        <f t="shared" si="84"/>
        <v>25.65165125</v>
      </c>
      <c r="H99" s="93">
        <f t="shared" si="84"/>
        <v>29.674874500000001</v>
      </c>
      <c r="I99" s="93">
        <f t="shared" si="84"/>
        <v>30.404163799999999</v>
      </c>
      <c r="J99" s="93">
        <f t="shared" si="84"/>
        <v>26.545585200000001</v>
      </c>
      <c r="K99" s="93">
        <f t="shared" si="84"/>
        <v>21.828427999999999</v>
      </c>
      <c r="L99" s="93">
        <f t="shared" si="84"/>
        <v>16.15165125</v>
      </c>
      <c r="M99" s="93">
        <f t="shared" si="84"/>
        <v>10.3920317</v>
      </c>
      <c r="N99" s="79">
        <f t="shared" si="72"/>
        <v>19.314692641666664</v>
      </c>
    </row>
    <row r="100" spans="1:14" s="1" customFormat="1" ht="16.5" customHeight="1">
      <c r="A100" s="78">
        <v>12</v>
      </c>
      <c r="B100" s="93">
        <f t="shared" ref="B100:M100" si="85">B86+(B87/2)*0.866025</f>
        <v>8.7114724999999993</v>
      </c>
      <c r="C100" s="93">
        <f t="shared" si="85"/>
        <v>9.8145812499999998</v>
      </c>
      <c r="D100" s="93">
        <f t="shared" si="85"/>
        <v>13.61769</v>
      </c>
      <c r="E100" s="93">
        <f t="shared" si="85"/>
        <v>18.88060625</v>
      </c>
      <c r="F100" s="93">
        <f t="shared" si="85"/>
        <v>22.964100000000002</v>
      </c>
      <c r="G100" s="93">
        <f t="shared" si="85"/>
        <v>26.24759375</v>
      </c>
      <c r="H100" s="93">
        <f t="shared" si="85"/>
        <v>30.231087500000001</v>
      </c>
      <c r="I100" s="93">
        <f t="shared" si="85"/>
        <v>30.944485</v>
      </c>
      <c r="J100" s="93">
        <f t="shared" si="85"/>
        <v>27.11769</v>
      </c>
      <c r="K100" s="93">
        <f t="shared" si="85"/>
        <v>22.464100000000002</v>
      </c>
      <c r="L100" s="93">
        <f t="shared" si="85"/>
        <v>16.74759375</v>
      </c>
      <c r="M100" s="93">
        <f t="shared" si="85"/>
        <v>10.884677499999999</v>
      </c>
      <c r="N100" s="79">
        <f t="shared" si="72"/>
        <v>19.885473125000001</v>
      </c>
    </row>
    <row r="101" spans="1:14" s="1" customFormat="1" ht="16.5" customHeight="1">
      <c r="A101" s="78">
        <v>13</v>
      </c>
      <c r="B101" s="93">
        <f t="shared" ref="B101:M101" si="86">B86+(B87/2)*0.965926</f>
        <v>9.0011854000000007</v>
      </c>
      <c r="C101" s="93">
        <f t="shared" si="86"/>
        <v>10.1392595</v>
      </c>
      <c r="D101" s="93">
        <f t="shared" si="86"/>
        <v>13.9773336</v>
      </c>
      <c r="E101" s="93">
        <f t="shared" si="86"/>
        <v>19.3051855</v>
      </c>
      <c r="F101" s="93">
        <f t="shared" si="86"/>
        <v>23.363703999999998</v>
      </c>
      <c r="G101" s="93">
        <f t="shared" si="86"/>
        <v>26.622222499999999</v>
      </c>
      <c r="H101" s="93">
        <f t="shared" si="86"/>
        <v>30.580741</v>
      </c>
      <c r="I101" s="93">
        <f t="shared" si="86"/>
        <v>31.284148399999999</v>
      </c>
      <c r="J101" s="93">
        <f t="shared" si="86"/>
        <v>27.477333600000001</v>
      </c>
      <c r="K101" s="93">
        <f t="shared" si="86"/>
        <v>22.863703999999998</v>
      </c>
      <c r="L101" s="93">
        <f t="shared" si="86"/>
        <v>17.122222499999999</v>
      </c>
      <c r="M101" s="93">
        <f t="shared" si="86"/>
        <v>11.194370599999999</v>
      </c>
      <c r="N101" s="79">
        <f t="shared" si="72"/>
        <v>20.24428421666666</v>
      </c>
    </row>
    <row r="102" spans="1:14" s="1" customFormat="1" ht="16.5" customHeight="1">
      <c r="A102" s="78">
        <v>14</v>
      </c>
      <c r="B102" s="93">
        <f t="shared" ref="B102:M102" si="87">B86+(B87/2)*1</f>
        <v>9.1</v>
      </c>
      <c r="C102" s="93">
        <f t="shared" si="87"/>
        <v>10.25</v>
      </c>
      <c r="D102" s="93">
        <f t="shared" si="87"/>
        <v>14.1</v>
      </c>
      <c r="E102" s="93">
        <f t="shared" si="87"/>
        <v>19.45</v>
      </c>
      <c r="F102" s="93">
        <f t="shared" si="87"/>
        <v>23.5</v>
      </c>
      <c r="G102" s="93">
        <f t="shared" si="87"/>
        <v>26.75</v>
      </c>
      <c r="H102" s="93">
        <f t="shared" si="87"/>
        <v>30.7</v>
      </c>
      <c r="I102" s="93">
        <f t="shared" si="87"/>
        <v>31.4</v>
      </c>
      <c r="J102" s="93">
        <f t="shared" si="87"/>
        <v>27.6</v>
      </c>
      <c r="K102" s="93">
        <f t="shared" si="87"/>
        <v>23</v>
      </c>
      <c r="L102" s="93">
        <f t="shared" si="87"/>
        <v>17.25</v>
      </c>
      <c r="M102" s="93">
        <f t="shared" si="87"/>
        <v>11.299999999999999</v>
      </c>
      <c r="N102" s="79">
        <f t="shared" si="72"/>
        <v>20.366666666666667</v>
      </c>
    </row>
    <row r="103" spans="1:14" s="1" customFormat="1" ht="16.5" customHeight="1">
      <c r="A103" s="78">
        <v>15</v>
      </c>
      <c r="B103" s="93">
        <f t="shared" ref="B103:M103" si="88">B86+(B87/2)*0.965926</f>
        <v>9.0011854000000007</v>
      </c>
      <c r="C103" s="93">
        <f t="shared" si="88"/>
        <v>10.1392595</v>
      </c>
      <c r="D103" s="93">
        <f t="shared" si="88"/>
        <v>13.9773336</v>
      </c>
      <c r="E103" s="93">
        <f t="shared" si="88"/>
        <v>19.3051855</v>
      </c>
      <c r="F103" s="93">
        <f t="shared" si="88"/>
        <v>23.363703999999998</v>
      </c>
      <c r="G103" s="93">
        <f t="shared" si="88"/>
        <v>26.622222499999999</v>
      </c>
      <c r="H103" s="93">
        <f t="shared" si="88"/>
        <v>30.580741</v>
      </c>
      <c r="I103" s="93">
        <f t="shared" si="88"/>
        <v>31.284148399999999</v>
      </c>
      <c r="J103" s="93">
        <f t="shared" si="88"/>
        <v>27.477333600000001</v>
      </c>
      <c r="K103" s="93">
        <f t="shared" si="88"/>
        <v>22.863703999999998</v>
      </c>
      <c r="L103" s="93">
        <f t="shared" si="88"/>
        <v>17.122222499999999</v>
      </c>
      <c r="M103" s="93">
        <f t="shared" si="88"/>
        <v>11.194370599999999</v>
      </c>
      <c r="N103" s="79">
        <f t="shared" si="72"/>
        <v>20.24428421666666</v>
      </c>
    </row>
    <row r="104" spans="1:14" s="1" customFormat="1" ht="16.5" customHeight="1">
      <c r="A104" s="78">
        <v>16</v>
      </c>
      <c r="B104" s="93">
        <f t="shared" ref="B104:M104" si="89">B86+(B87/2)*0.866025</f>
        <v>8.7114724999999993</v>
      </c>
      <c r="C104" s="93">
        <f t="shared" si="89"/>
        <v>9.8145812499999998</v>
      </c>
      <c r="D104" s="93">
        <f t="shared" si="89"/>
        <v>13.61769</v>
      </c>
      <c r="E104" s="93">
        <f t="shared" si="89"/>
        <v>18.88060625</v>
      </c>
      <c r="F104" s="93">
        <f t="shared" si="89"/>
        <v>22.964100000000002</v>
      </c>
      <c r="G104" s="93">
        <f t="shared" si="89"/>
        <v>26.24759375</v>
      </c>
      <c r="H104" s="93">
        <f t="shared" si="89"/>
        <v>30.231087500000001</v>
      </c>
      <c r="I104" s="93">
        <f t="shared" si="89"/>
        <v>30.944485</v>
      </c>
      <c r="J104" s="93">
        <f t="shared" si="89"/>
        <v>27.11769</v>
      </c>
      <c r="K104" s="93">
        <f t="shared" si="89"/>
        <v>22.464100000000002</v>
      </c>
      <c r="L104" s="93">
        <f t="shared" si="89"/>
        <v>16.74759375</v>
      </c>
      <c r="M104" s="93">
        <f t="shared" si="89"/>
        <v>10.884677499999999</v>
      </c>
      <c r="N104" s="79">
        <f t="shared" si="72"/>
        <v>19.885473125000001</v>
      </c>
    </row>
    <row r="105" spans="1:14" s="1" customFormat="1" ht="16.5" customHeight="1">
      <c r="A105" s="78">
        <v>17</v>
      </c>
      <c r="B105" s="93">
        <f t="shared" ref="B105:M105" si="90">B86+(B87/2)*0.707107</f>
        <v>8.2506103</v>
      </c>
      <c r="C105" s="93">
        <f t="shared" si="90"/>
        <v>9.2980977500000002</v>
      </c>
      <c r="D105" s="93">
        <f t="shared" si="90"/>
        <v>13.0455852</v>
      </c>
      <c r="E105" s="93">
        <f t="shared" si="90"/>
        <v>18.20520475</v>
      </c>
      <c r="F105" s="93">
        <f t="shared" si="90"/>
        <v>22.328427999999999</v>
      </c>
      <c r="G105" s="93">
        <f t="shared" si="90"/>
        <v>25.65165125</v>
      </c>
      <c r="H105" s="93">
        <f t="shared" si="90"/>
        <v>29.674874500000001</v>
      </c>
      <c r="I105" s="93">
        <f t="shared" si="90"/>
        <v>30.404163799999999</v>
      </c>
      <c r="J105" s="93">
        <f t="shared" si="90"/>
        <v>26.545585200000001</v>
      </c>
      <c r="K105" s="93">
        <f t="shared" si="90"/>
        <v>21.828427999999999</v>
      </c>
      <c r="L105" s="93">
        <f t="shared" si="90"/>
        <v>16.15165125</v>
      </c>
      <c r="M105" s="93">
        <f t="shared" si="90"/>
        <v>10.3920317</v>
      </c>
      <c r="N105" s="79">
        <f t="shared" si="72"/>
        <v>19.314692641666664</v>
      </c>
    </row>
    <row r="106" spans="1:14" s="1" customFormat="1" ht="16.5" customHeight="1">
      <c r="A106" s="78">
        <v>18</v>
      </c>
      <c r="B106" s="93">
        <f t="shared" ref="B106:M106" si="91">B86+(B87/2)*0.5</f>
        <v>7.65</v>
      </c>
      <c r="C106" s="93">
        <f t="shared" si="91"/>
        <v>8.625</v>
      </c>
      <c r="D106" s="93">
        <f t="shared" si="91"/>
        <v>12.3</v>
      </c>
      <c r="E106" s="93">
        <f t="shared" si="91"/>
        <v>17.324999999999999</v>
      </c>
      <c r="F106" s="93">
        <f t="shared" si="91"/>
        <v>21.5</v>
      </c>
      <c r="G106" s="93">
        <f t="shared" si="91"/>
        <v>24.875</v>
      </c>
      <c r="H106" s="93">
        <f t="shared" si="91"/>
        <v>28.95</v>
      </c>
      <c r="I106" s="93">
        <f t="shared" si="91"/>
        <v>29.7</v>
      </c>
      <c r="J106" s="93">
        <f t="shared" si="91"/>
        <v>25.8</v>
      </c>
      <c r="K106" s="93">
        <f t="shared" si="91"/>
        <v>21</v>
      </c>
      <c r="L106" s="93">
        <f t="shared" si="91"/>
        <v>15.375</v>
      </c>
      <c r="M106" s="93">
        <f t="shared" si="91"/>
        <v>9.75</v>
      </c>
      <c r="N106" s="79">
        <f t="shared" si="72"/>
        <v>18.570833333333336</v>
      </c>
    </row>
    <row r="107" spans="1:14" s="1" customFormat="1" ht="16.5" customHeight="1">
      <c r="A107" s="78">
        <v>19</v>
      </c>
      <c r="B107" s="93">
        <f t="shared" ref="B107:M107" si="92">B86+(B87/2)*0.258819</f>
        <v>6.9505751</v>
      </c>
      <c r="C107" s="93">
        <f t="shared" si="92"/>
        <v>7.8411617500000004</v>
      </c>
      <c r="D107" s="93">
        <f t="shared" si="92"/>
        <v>11.4317484</v>
      </c>
      <c r="E107" s="93">
        <f t="shared" si="92"/>
        <v>16.29998075</v>
      </c>
      <c r="F107" s="93">
        <f t="shared" si="92"/>
        <v>20.535276</v>
      </c>
      <c r="G107" s="93">
        <f t="shared" si="92"/>
        <v>23.970571249999999</v>
      </c>
      <c r="H107" s="93">
        <f t="shared" si="92"/>
        <v>28.105866499999998</v>
      </c>
      <c r="I107" s="93">
        <f t="shared" si="92"/>
        <v>28.8799846</v>
      </c>
      <c r="J107" s="93">
        <f t="shared" si="92"/>
        <v>24.9317484</v>
      </c>
      <c r="K107" s="93">
        <f t="shared" si="92"/>
        <v>20.035276</v>
      </c>
      <c r="L107" s="93">
        <f t="shared" si="92"/>
        <v>14.470571250000001</v>
      </c>
      <c r="M107" s="93">
        <f t="shared" si="92"/>
        <v>9.0023388999999998</v>
      </c>
      <c r="N107" s="79">
        <f t="shared" si="72"/>
        <v>17.704591575000002</v>
      </c>
    </row>
    <row r="108" spans="1:14" s="1" customFormat="1" ht="16.5" customHeight="1">
      <c r="A108" s="78">
        <v>20</v>
      </c>
      <c r="B108" s="93">
        <f t="shared" ref="B108:M108" si="93">B86+(B87/2)*0</f>
        <v>6.2</v>
      </c>
      <c r="C108" s="93">
        <f t="shared" si="93"/>
        <v>7</v>
      </c>
      <c r="D108" s="93">
        <f t="shared" si="93"/>
        <v>10.5</v>
      </c>
      <c r="E108" s="93">
        <f t="shared" si="93"/>
        <v>15.2</v>
      </c>
      <c r="F108" s="93">
        <f t="shared" si="93"/>
        <v>19.5</v>
      </c>
      <c r="G108" s="93">
        <f t="shared" si="93"/>
        <v>23</v>
      </c>
      <c r="H108" s="93">
        <f t="shared" si="93"/>
        <v>27.2</v>
      </c>
      <c r="I108" s="93">
        <f t="shared" si="93"/>
        <v>28</v>
      </c>
      <c r="J108" s="93">
        <f t="shared" si="93"/>
        <v>24</v>
      </c>
      <c r="K108" s="93">
        <f t="shared" si="93"/>
        <v>19</v>
      </c>
      <c r="L108" s="93">
        <f t="shared" si="93"/>
        <v>13.5</v>
      </c>
      <c r="M108" s="93">
        <f t="shared" si="93"/>
        <v>8.1999999999999993</v>
      </c>
      <c r="N108" s="79">
        <f t="shared" si="72"/>
        <v>16.775000000000002</v>
      </c>
    </row>
    <row r="109" spans="1:14" s="1" customFormat="1" ht="16.5" customHeight="1">
      <c r="A109" s="78">
        <v>21</v>
      </c>
      <c r="B109" s="93">
        <f t="shared" ref="B109:M109" si="94">B86+(B87/2)*-0.258819</f>
        <v>5.4494249000000003</v>
      </c>
      <c r="C109" s="93">
        <f t="shared" si="94"/>
        <v>6.1588382499999996</v>
      </c>
      <c r="D109" s="93">
        <f t="shared" si="94"/>
        <v>9.5682516</v>
      </c>
      <c r="E109" s="93">
        <f t="shared" si="94"/>
        <v>14.100019249999999</v>
      </c>
      <c r="F109" s="93">
        <f t="shared" si="94"/>
        <v>18.464724</v>
      </c>
      <c r="G109" s="93">
        <f t="shared" si="94"/>
        <v>22.029428750000001</v>
      </c>
      <c r="H109" s="93">
        <f t="shared" si="94"/>
        <v>26.294133500000001</v>
      </c>
      <c r="I109" s="93">
        <f t="shared" si="94"/>
        <v>27.1200154</v>
      </c>
      <c r="J109" s="93">
        <f t="shared" si="94"/>
        <v>23.0682516</v>
      </c>
      <c r="K109" s="93">
        <f t="shared" si="94"/>
        <v>17.964724</v>
      </c>
      <c r="L109" s="93">
        <f t="shared" si="94"/>
        <v>12.529428749999999</v>
      </c>
      <c r="M109" s="93">
        <f t="shared" si="94"/>
        <v>7.3976610999999988</v>
      </c>
      <c r="N109" s="79">
        <f t="shared" si="72"/>
        <v>15.845408425</v>
      </c>
    </row>
    <row r="110" spans="1:14" s="1" customFormat="1" ht="16.5" customHeight="1">
      <c r="A110" s="78">
        <v>22</v>
      </c>
      <c r="B110" s="93">
        <f t="shared" ref="B110:M110" si="95">B86+(B87/2)*-0.5</f>
        <v>4.75</v>
      </c>
      <c r="C110" s="93">
        <f t="shared" si="95"/>
        <v>5.375</v>
      </c>
      <c r="D110" s="93">
        <f t="shared" si="95"/>
        <v>8.6999999999999993</v>
      </c>
      <c r="E110" s="93">
        <f t="shared" si="95"/>
        <v>13.074999999999999</v>
      </c>
      <c r="F110" s="93">
        <f t="shared" si="95"/>
        <v>17.5</v>
      </c>
      <c r="G110" s="93">
        <f t="shared" si="95"/>
        <v>21.125</v>
      </c>
      <c r="H110" s="93">
        <f t="shared" si="95"/>
        <v>25.45</v>
      </c>
      <c r="I110" s="93">
        <f t="shared" si="95"/>
        <v>26.3</v>
      </c>
      <c r="J110" s="93">
        <f t="shared" si="95"/>
        <v>22.2</v>
      </c>
      <c r="K110" s="93">
        <f t="shared" si="95"/>
        <v>17</v>
      </c>
      <c r="L110" s="93">
        <f t="shared" si="95"/>
        <v>11.625</v>
      </c>
      <c r="M110" s="93">
        <f t="shared" si="95"/>
        <v>6.6499999999999995</v>
      </c>
      <c r="N110" s="79">
        <f t="shared" si="72"/>
        <v>14.979166666666666</v>
      </c>
    </row>
    <row r="111" spans="1:14" s="1" customFormat="1" ht="16.5" customHeight="1">
      <c r="A111" s="78">
        <v>23</v>
      </c>
      <c r="B111" s="93">
        <f t="shared" ref="B111:M111" si="96">B86+(B87/2)*-0.707107</f>
        <v>4.1493897000000004</v>
      </c>
      <c r="C111" s="93">
        <f t="shared" si="96"/>
        <v>4.7019022499999998</v>
      </c>
      <c r="D111" s="93">
        <f t="shared" si="96"/>
        <v>7.9544148000000003</v>
      </c>
      <c r="E111" s="93">
        <f t="shared" si="96"/>
        <v>12.194795249999999</v>
      </c>
      <c r="F111" s="93">
        <f t="shared" si="96"/>
        <v>16.671572000000001</v>
      </c>
      <c r="G111" s="93">
        <f t="shared" si="96"/>
        <v>20.34834875</v>
      </c>
      <c r="H111" s="93">
        <f t="shared" si="96"/>
        <v>24.725125499999997</v>
      </c>
      <c r="I111" s="93">
        <f t="shared" si="96"/>
        <v>25.595836200000001</v>
      </c>
      <c r="J111" s="93">
        <f t="shared" si="96"/>
        <v>21.454414799999999</v>
      </c>
      <c r="K111" s="93">
        <f t="shared" si="96"/>
        <v>16.171572000000001</v>
      </c>
      <c r="L111" s="93">
        <f t="shared" si="96"/>
        <v>10.84834875</v>
      </c>
      <c r="M111" s="93">
        <f t="shared" si="96"/>
        <v>6.007968299999999</v>
      </c>
      <c r="N111" s="79">
        <f t="shared" si="72"/>
        <v>14.235307358333332</v>
      </c>
    </row>
  </sheetData>
  <mergeCells count="5">
    <mergeCell ref="A3:N3"/>
    <mergeCell ref="A1:Z1"/>
    <mergeCell ref="A30:N30"/>
    <mergeCell ref="A57:N57"/>
    <mergeCell ref="A84:N84"/>
  </mergeCells>
  <phoneticPr fontId="4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"/>
  <sheetViews>
    <sheetView workbookViewId="0"/>
  </sheetViews>
  <sheetFormatPr defaultColWidth="7.625" defaultRowHeight="15"/>
  <cols>
    <col min="1" max="1" width="7.875" style="72" customWidth="1"/>
    <col min="2" max="2" width="17.5" style="72" customWidth="1"/>
    <col min="3" max="4" width="6.125" style="72" customWidth="1"/>
    <col min="5" max="5" width="30.625" style="72" customWidth="1"/>
    <col min="6" max="14" width="6.125" style="72" customWidth="1"/>
    <col min="15" max="15" width="9.625" style="72" customWidth="1"/>
    <col min="16" max="16" width="8.75" style="72" customWidth="1"/>
    <col min="17" max="18" width="7" style="72" customWidth="1"/>
    <col min="19" max="19" width="7.625" style="72" customWidth="1"/>
    <col min="20" max="16384" width="7.625" style="72"/>
  </cols>
  <sheetData>
    <row r="1" spans="1:18" s="1" customFormat="1" ht="27.75" customHeight="1">
      <c r="A1" s="174" t="s">
        <v>345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</row>
    <row r="3" spans="1:18" s="1" customFormat="1" ht="21.75" customHeight="1">
      <c r="A3" s="16" t="s">
        <v>346</v>
      </c>
      <c r="B3" s="171"/>
      <c r="C3" s="171"/>
      <c r="D3" s="171"/>
    </row>
    <row r="4" spans="1:18" s="1" customFormat="1" ht="21.75" customHeight="1">
      <c r="A4" s="172" t="s">
        <v>347</v>
      </c>
      <c r="B4" s="16"/>
      <c r="C4" s="16"/>
      <c r="D4" s="95">
        <v>55</v>
      </c>
      <c r="E4" s="173" t="s">
        <v>348</v>
      </c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</row>
    <row r="5" spans="1:18" s="1" customFormat="1" ht="21.75" customHeight="1">
      <c r="A5" s="172" t="s">
        <v>349</v>
      </c>
      <c r="B5" s="16"/>
      <c r="C5" s="16"/>
      <c r="D5" s="96">
        <v>0.45</v>
      </c>
      <c r="E5" s="173" t="s">
        <v>350</v>
      </c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</row>
    <row r="6" spans="1:18" s="1" customFormat="1" ht="21.75" customHeight="1">
      <c r="A6" s="172" t="s">
        <v>351</v>
      </c>
      <c r="B6" s="16"/>
      <c r="C6" s="16"/>
      <c r="D6" s="95">
        <v>18</v>
      </c>
      <c r="E6" s="180" t="s">
        <v>352</v>
      </c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</row>
    <row r="7" spans="1:18" s="1" customFormat="1" ht="21.75" customHeight="1">
      <c r="A7" s="172" t="s">
        <v>353</v>
      </c>
      <c r="B7" s="16"/>
      <c r="C7" s="16"/>
      <c r="D7" s="97">
        <v>3</v>
      </c>
      <c r="E7" s="173" t="s">
        <v>354</v>
      </c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</row>
    <row r="9" spans="1:18" s="1" customFormat="1" ht="18" customHeight="1">
      <c r="A9" s="173" t="s">
        <v>355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</row>
    <row r="11" spans="1:18" s="1" customFormat="1" ht="24" customHeight="1">
      <c r="A11" s="98" t="s">
        <v>92</v>
      </c>
      <c r="B11" s="98" t="s">
        <v>356</v>
      </c>
      <c r="C11" s="99" t="s">
        <v>27</v>
      </c>
      <c r="D11" s="99" t="s">
        <v>28</v>
      </c>
      <c r="E11" s="99" t="s">
        <v>29</v>
      </c>
      <c r="F11" s="99" t="s">
        <v>30</v>
      </c>
      <c r="G11" s="99" t="s">
        <v>31</v>
      </c>
      <c r="H11" s="99" t="s">
        <v>32</v>
      </c>
      <c r="I11" s="99" t="s">
        <v>33</v>
      </c>
      <c r="J11" s="99" t="s">
        <v>34</v>
      </c>
      <c r="K11" s="99" t="s">
        <v>35</v>
      </c>
      <c r="L11" s="99" t="s">
        <v>36</v>
      </c>
      <c r="M11" s="99" t="s">
        <v>37</v>
      </c>
      <c r="N11" s="99" t="s">
        <v>38</v>
      </c>
      <c r="O11" s="98" t="s">
        <v>357</v>
      </c>
      <c r="P11" s="100" t="s">
        <v>358</v>
      </c>
      <c r="Q11" s="101" t="s">
        <v>359</v>
      </c>
      <c r="R11" s="101" t="s">
        <v>360</v>
      </c>
    </row>
    <row r="12" spans="1:18" s="1" customFormat="1" ht="19.5" customHeight="1">
      <c r="A12" s="102" t="s">
        <v>361</v>
      </c>
      <c r="B12" s="103" t="s">
        <v>362</v>
      </c>
      <c r="C12" s="76">
        <f>외기온도_시간분포!B5</f>
        <v>-9.1999999999999993</v>
      </c>
      <c r="D12" s="76">
        <f>외기온도_시간분포!C5</f>
        <v>-6.3</v>
      </c>
      <c r="E12" s="76">
        <f>외기온도_시간분포!D5</f>
        <v>0.3</v>
      </c>
      <c r="F12" s="76">
        <f>외기온도_시간분포!E5</f>
        <v>8.4</v>
      </c>
      <c r="G12" s="76">
        <f>외기온도_시간분포!F5</f>
        <v>15</v>
      </c>
      <c r="H12" s="76">
        <f>외기온도_시간분포!G5</f>
        <v>19.600000000000001</v>
      </c>
      <c r="I12" s="76">
        <f>외기온도_시간분포!H5</f>
        <v>24.1</v>
      </c>
      <c r="J12" s="76">
        <f>외기온도_시간분포!I5</f>
        <v>24.3</v>
      </c>
      <c r="K12" s="76">
        <f>외기온도_시간분포!J5</f>
        <v>17.8</v>
      </c>
      <c r="L12" s="76">
        <f>외기온도_시간분포!K5</f>
        <v>9.8000000000000007</v>
      </c>
      <c r="M12" s="76">
        <f>외기온도_시간분포!L5</f>
        <v>1.5</v>
      </c>
      <c r="N12" s="76">
        <f>외기온도_시간분포!M5</f>
        <v>-6.8</v>
      </c>
      <c r="O12" s="76">
        <f>AVERAGE(C12:N12)</f>
        <v>8.2083333333333339</v>
      </c>
      <c r="P12" s="178">
        <f>IFERROR(SUMPRODUCT(C13:N13,C14:N14)/SUM(C13:N13),0)</f>
        <v>2.6069253219774979</v>
      </c>
      <c r="Q12" s="177">
        <f>$D$7</f>
        <v>3</v>
      </c>
      <c r="R12" s="175" t="str">
        <f>IF(P12&gt;=$D$7,"✓ 달성","✗ 미달")</f>
        <v>✗ 미달</v>
      </c>
    </row>
    <row r="13" spans="1:18" s="1" customFormat="1" ht="19.5" customHeight="1">
      <c r="A13" s="104"/>
      <c r="B13" s="105" t="s">
        <v>363</v>
      </c>
      <c r="C13" s="106">
        <f>MAX(0,$D$6-C12)*31</f>
        <v>843.19999999999993</v>
      </c>
      <c r="D13" s="106">
        <f>MAX(0,$D$6-D12)*28</f>
        <v>680.4</v>
      </c>
      <c r="E13" s="106">
        <f>MAX(0,$D$6-E12)*31</f>
        <v>548.69999999999993</v>
      </c>
      <c r="F13" s="106">
        <f>MAX(0,$D$6-F12)*30</f>
        <v>288</v>
      </c>
      <c r="G13" s="106">
        <f>MAX(0,$D$6-G12)*31</f>
        <v>93</v>
      </c>
      <c r="H13" s="106">
        <f>MAX(0,$D$6-H12)*30</f>
        <v>0</v>
      </c>
      <c r="I13" s="106">
        <f>MAX(0,$D$6-I12)*31</f>
        <v>0</v>
      </c>
      <c r="J13" s="106">
        <f>MAX(0,$D$6-J12)*31</f>
        <v>0</v>
      </c>
      <c r="K13" s="106">
        <f>MAX(0,$D$6-K12)*30</f>
        <v>5.9999999999999787</v>
      </c>
      <c r="L13" s="106">
        <f>MAX(0,$D$6-L12)*31</f>
        <v>254.2</v>
      </c>
      <c r="M13" s="106">
        <f>MAX(0,$D$6-M12)*30</f>
        <v>495</v>
      </c>
      <c r="N13" s="106">
        <f>MAX(0,$D$6-N12)*31</f>
        <v>768.80000000000007</v>
      </c>
      <c r="O13" s="107">
        <f>SUM(C13:N13)</f>
        <v>3977.2999999999997</v>
      </c>
      <c r="P13" s="179"/>
      <c r="Q13" s="176"/>
      <c r="R13" s="176"/>
    </row>
    <row r="14" spans="1:18" s="1" customFormat="1" ht="21.75" customHeight="1">
      <c r="A14" s="104"/>
      <c r="B14" s="105" t="s">
        <v>364</v>
      </c>
      <c r="C14" s="108">
        <f t="shared" ref="C14:N14" si="0">$D$5*($D$4+273)/MAX(1,$D$4-C12)</f>
        <v>2.2990654205607473</v>
      </c>
      <c r="D14" s="108">
        <f t="shared" si="0"/>
        <v>2.4078303425774878</v>
      </c>
      <c r="E14" s="108">
        <f t="shared" si="0"/>
        <v>2.6983546617915901</v>
      </c>
      <c r="F14" s="108">
        <f t="shared" si="0"/>
        <v>3.1673819742489266</v>
      </c>
      <c r="G14" s="108">
        <f t="shared" si="0"/>
        <v>3.69</v>
      </c>
      <c r="H14" s="108">
        <f t="shared" si="0"/>
        <v>4.1694915254237293</v>
      </c>
      <c r="I14" s="108">
        <f t="shared" si="0"/>
        <v>4.7766990291262132</v>
      </c>
      <c r="J14" s="108">
        <f t="shared" si="0"/>
        <v>4.8078175895765476</v>
      </c>
      <c r="K14" s="108">
        <f t="shared" si="0"/>
        <v>3.9677419354838706</v>
      </c>
      <c r="L14" s="108">
        <f t="shared" si="0"/>
        <v>3.2654867256637163</v>
      </c>
      <c r="M14" s="108">
        <f t="shared" si="0"/>
        <v>2.758878504672897</v>
      </c>
      <c r="N14" s="108">
        <f t="shared" si="0"/>
        <v>2.3883495145631066</v>
      </c>
      <c r="O14" s="109">
        <f>AVERAGE(C14:N14)</f>
        <v>3.3664247686407358</v>
      </c>
      <c r="P14" s="179"/>
      <c r="Q14" s="176"/>
      <c r="R14" s="176"/>
    </row>
    <row r="15" spans="1:18" s="1" customFormat="1" ht="6" customHeight="1"/>
    <row r="16" spans="1:18" s="1" customFormat="1" ht="19.5" customHeight="1">
      <c r="A16" s="110" t="s">
        <v>365</v>
      </c>
      <c r="B16" s="111" t="s">
        <v>362</v>
      </c>
      <c r="C16" s="83">
        <f>외기온도_시간분포!B32</f>
        <v>-1.8</v>
      </c>
      <c r="D16" s="83">
        <f>외기온도_시간분포!C32</f>
        <v>0.8</v>
      </c>
      <c r="E16" s="83">
        <f>외기온도_시간분포!D32</f>
        <v>6.5</v>
      </c>
      <c r="F16" s="83">
        <f>외기온도_시간분포!E32</f>
        <v>13.2</v>
      </c>
      <c r="G16" s="83">
        <f>외기온도_시간분포!F32</f>
        <v>18.5</v>
      </c>
      <c r="H16" s="83">
        <f>외기온도_시간분포!G32</f>
        <v>23</v>
      </c>
      <c r="I16" s="83">
        <f>외기온도_시간분포!H32</f>
        <v>26.4</v>
      </c>
      <c r="J16" s="83">
        <f>외기온도_시간분포!I32</f>
        <v>27.1</v>
      </c>
      <c r="K16" s="83">
        <f>외기온도_시간분포!J32</f>
        <v>22</v>
      </c>
      <c r="L16" s="83">
        <f>외기온도_시간분포!K32</f>
        <v>15.2</v>
      </c>
      <c r="M16" s="83">
        <f>외기온도_시간분포!L32</f>
        <v>7.5</v>
      </c>
      <c r="N16" s="83">
        <f>외기온도_시간분포!M32</f>
        <v>0.5</v>
      </c>
      <c r="O16" s="83">
        <f>AVERAGE(C16:N16)</f>
        <v>13.241666666666665</v>
      </c>
      <c r="P16" s="181">
        <f>IFERROR(SUMPRODUCT(C17:N17,C18:N18)/SUM(C17:N17),0)</f>
        <v>2.8619391502470668</v>
      </c>
      <c r="Q16" s="177">
        <f>$D$7</f>
        <v>3</v>
      </c>
      <c r="R16" s="175" t="str">
        <f>IF(P16&gt;=$D$7,"✓ 달성","✗ 미달")</f>
        <v>✗ 미달</v>
      </c>
    </row>
    <row r="17" spans="1:18" s="1" customFormat="1" ht="19.5" customHeight="1">
      <c r="A17" s="112"/>
      <c r="B17" s="113" t="s">
        <v>363</v>
      </c>
      <c r="C17" s="114">
        <f>MAX(0,$D$6-C16)*31</f>
        <v>613.80000000000007</v>
      </c>
      <c r="D17" s="114">
        <f>MAX(0,$D$6-D16)*28</f>
        <v>481.59999999999997</v>
      </c>
      <c r="E17" s="114">
        <f>MAX(0,$D$6-E16)*31</f>
        <v>356.5</v>
      </c>
      <c r="F17" s="114">
        <f>MAX(0,$D$6-F16)*30</f>
        <v>144.00000000000003</v>
      </c>
      <c r="G17" s="114">
        <f>MAX(0,$D$6-G16)*31</f>
        <v>0</v>
      </c>
      <c r="H17" s="114">
        <f>MAX(0,$D$6-H16)*30</f>
        <v>0</v>
      </c>
      <c r="I17" s="114">
        <f>MAX(0,$D$6-I16)*31</f>
        <v>0</v>
      </c>
      <c r="J17" s="114">
        <f>MAX(0,$D$6-J16)*31</f>
        <v>0</v>
      </c>
      <c r="K17" s="114">
        <f>MAX(0,$D$6-K16)*30</f>
        <v>0</v>
      </c>
      <c r="L17" s="114">
        <f>MAX(0,$D$6-L16)*31</f>
        <v>86.800000000000026</v>
      </c>
      <c r="M17" s="114">
        <f>MAX(0,$D$6-M16)*30</f>
        <v>315</v>
      </c>
      <c r="N17" s="114">
        <f>MAX(0,$D$6-N16)*31</f>
        <v>542.5</v>
      </c>
      <c r="O17" s="115">
        <f>SUM(C17:N17)</f>
        <v>2540.1999999999998</v>
      </c>
      <c r="P17" s="179"/>
      <c r="Q17" s="176"/>
      <c r="R17" s="176"/>
    </row>
    <row r="18" spans="1:18" s="1" customFormat="1" ht="21.75" customHeight="1">
      <c r="A18" s="112"/>
      <c r="B18" s="113" t="s">
        <v>364</v>
      </c>
      <c r="C18" s="116">
        <f t="shared" ref="C18:N18" si="1">$D$5*($D$4+273)/MAX(1,$D$4-C16)</f>
        <v>2.5985915492957745</v>
      </c>
      <c r="D18" s="116">
        <f t="shared" si="1"/>
        <v>2.7232472324723247</v>
      </c>
      <c r="E18" s="116">
        <f t="shared" si="1"/>
        <v>3.0432989690721648</v>
      </c>
      <c r="F18" s="116">
        <f t="shared" si="1"/>
        <v>3.5311004784688995</v>
      </c>
      <c r="G18" s="116">
        <f t="shared" si="1"/>
        <v>4.043835616438356</v>
      </c>
      <c r="H18" s="116">
        <f t="shared" si="1"/>
        <v>4.6124999999999998</v>
      </c>
      <c r="I18" s="116">
        <f t="shared" si="1"/>
        <v>5.1608391608391599</v>
      </c>
      <c r="J18" s="116">
        <f t="shared" si="1"/>
        <v>5.290322580645161</v>
      </c>
      <c r="K18" s="116">
        <f t="shared" si="1"/>
        <v>4.4727272727272727</v>
      </c>
      <c r="L18" s="116">
        <f t="shared" si="1"/>
        <v>3.7085427135678395</v>
      </c>
      <c r="M18" s="116">
        <f t="shared" si="1"/>
        <v>3.1073684210526316</v>
      </c>
      <c r="N18" s="116">
        <f t="shared" si="1"/>
        <v>2.7082568807339449</v>
      </c>
      <c r="O18" s="117">
        <f>AVERAGE(C18:N18)</f>
        <v>3.7500525729427943</v>
      </c>
      <c r="P18" s="179"/>
      <c r="Q18" s="176"/>
      <c r="R18" s="176"/>
    </row>
    <row r="19" spans="1:18" s="1" customFormat="1" ht="6" customHeight="1"/>
    <row r="20" spans="1:18" s="1" customFormat="1" ht="19.5" customHeight="1">
      <c r="A20" s="118" t="s">
        <v>366</v>
      </c>
      <c r="B20" s="119" t="s">
        <v>362</v>
      </c>
      <c r="C20" s="88">
        <f>외기온도_시간분포!B59</f>
        <v>3.8</v>
      </c>
      <c r="D20" s="88">
        <f>외기온도_시간분포!C59</f>
        <v>5.4</v>
      </c>
      <c r="E20" s="88">
        <f>외기온도_시간분포!D59</f>
        <v>9.5</v>
      </c>
      <c r="F20" s="88">
        <f>외기온도_시간분포!E59</f>
        <v>15.2</v>
      </c>
      <c r="G20" s="88">
        <f>외기온도_시간분포!F59</f>
        <v>19.5</v>
      </c>
      <c r="H20" s="88">
        <f>외기온도_시간분포!G59</f>
        <v>22.5</v>
      </c>
      <c r="I20" s="88">
        <f>외기온도_시간분포!H59</f>
        <v>26</v>
      </c>
      <c r="J20" s="88">
        <f>외기온도_시간분포!I59</f>
        <v>27.2</v>
      </c>
      <c r="K20" s="88">
        <f>외기온도_시간분포!J59</f>
        <v>23.2</v>
      </c>
      <c r="L20" s="88">
        <f>외기온도_시간분포!K59</f>
        <v>17.5</v>
      </c>
      <c r="M20" s="88">
        <f>외기온도_시간분포!L59</f>
        <v>11.2</v>
      </c>
      <c r="N20" s="88">
        <f>외기온도_시간분포!M59</f>
        <v>5.5</v>
      </c>
      <c r="O20" s="88">
        <f>AVERAGE(C20:N20)</f>
        <v>15.541666666666664</v>
      </c>
      <c r="P20" s="178">
        <f>IFERROR(SUMPRODUCT(C21:N21,C22:N22)/SUM(C21:N21),0)</f>
        <v>3.0838873730473324</v>
      </c>
      <c r="Q20" s="177">
        <f>$D$7</f>
        <v>3</v>
      </c>
      <c r="R20" s="175" t="str">
        <f>IF(P20&gt;=$D$7,"✓ 달성","✗ 미달")</f>
        <v>✓ 달성</v>
      </c>
    </row>
    <row r="21" spans="1:18" s="1" customFormat="1" ht="19.5" customHeight="1">
      <c r="A21" s="120"/>
      <c r="B21" s="121" t="s">
        <v>363</v>
      </c>
      <c r="C21" s="122">
        <f>MAX(0,$D$6-C20)*31</f>
        <v>440.2</v>
      </c>
      <c r="D21" s="122">
        <f>MAX(0,$D$6-D20)*28</f>
        <v>352.8</v>
      </c>
      <c r="E21" s="122">
        <f>MAX(0,$D$6-E20)*31</f>
        <v>263.5</v>
      </c>
      <c r="F21" s="122">
        <f>MAX(0,$D$6-F20)*30</f>
        <v>84.000000000000028</v>
      </c>
      <c r="G21" s="122">
        <f>MAX(0,$D$6-G20)*31</f>
        <v>0</v>
      </c>
      <c r="H21" s="122">
        <f>MAX(0,$D$6-H20)*30</f>
        <v>0</v>
      </c>
      <c r="I21" s="122">
        <f>MAX(0,$D$6-I20)*31</f>
        <v>0</v>
      </c>
      <c r="J21" s="122">
        <f>MAX(0,$D$6-J20)*31</f>
        <v>0</v>
      </c>
      <c r="K21" s="122">
        <f>MAX(0,$D$6-K20)*30</f>
        <v>0</v>
      </c>
      <c r="L21" s="122">
        <f>MAX(0,$D$6-L20)*31</f>
        <v>15.5</v>
      </c>
      <c r="M21" s="122">
        <f>MAX(0,$D$6-M20)*30</f>
        <v>204.00000000000003</v>
      </c>
      <c r="N21" s="122">
        <f>MAX(0,$D$6-N20)*31</f>
        <v>387.5</v>
      </c>
      <c r="O21" s="123">
        <f>SUM(C21:N21)</f>
        <v>1747.5</v>
      </c>
      <c r="P21" s="179"/>
      <c r="Q21" s="176"/>
      <c r="R21" s="176"/>
    </row>
    <row r="22" spans="1:18" s="1" customFormat="1" ht="21.75" customHeight="1">
      <c r="A22" s="120"/>
      <c r="B22" s="121" t="s">
        <v>364</v>
      </c>
      <c r="C22" s="124">
        <f t="shared" ref="C22:N22" si="2">$D$5*($D$4+273)/MAX(1,$D$4-C20)</f>
        <v>2.8828124999999996</v>
      </c>
      <c r="D22" s="124">
        <f t="shared" si="2"/>
        <v>2.975806451612903</v>
      </c>
      <c r="E22" s="124">
        <f t="shared" si="2"/>
        <v>3.243956043956044</v>
      </c>
      <c r="F22" s="124">
        <f t="shared" si="2"/>
        <v>3.7085427135678395</v>
      </c>
      <c r="G22" s="124">
        <f t="shared" si="2"/>
        <v>4.1577464788732392</v>
      </c>
      <c r="H22" s="124">
        <f t="shared" si="2"/>
        <v>4.5415384615384617</v>
      </c>
      <c r="I22" s="124">
        <f t="shared" si="2"/>
        <v>5.0896551724137931</v>
      </c>
      <c r="J22" s="124">
        <f t="shared" si="2"/>
        <v>5.3093525179856114</v>
      </c>
      <c r="K22" s="124">
        <f t="shared" si="2"/>
        <v>4.6415094339622636</v>
      </c>
      <c r="L22" s="124">
        <f t="shared" si="2"/>
        <v>3.9359999999999999</v>
      </c>
      <c r="M22" s="124">
        <f t="shared" si="2"/>
        <v>3.3698630136986303</v>
      </c>
      <c r="N22" s="124">
        <f t="shared" si="2"/>
        <v>2.9818181818181819</v>
      </c>
      <c r="O22" s="125">
        <f>AVERAGE(C22:N22)</f>
        <v>3.9032167474522468</v>
      </c>
      <c r="P22" s="179"/>
      <c r="Q22" s="176"/>
      <c r="R22" s="176"/>
    </row>
    <row r="23" spans="1:18" s="1" customFormat="1" ht="6" customHeight="1"/>
    <row r="24" spans="1:18" s="1" customFormat="1" ht="19.5" customHeight="1">
      <c r="A24" s="126" t="s">
        <v>367</v>
      </c>
      <c r="B24" s="127" t="s">
        <v>362</v>
      </c>
      <c r="C24" s="93">
        <f>외기온도_시간분포!B86</f>
        <v>6.2</v>
      </c>
      <c r="D24" s="93">
        <f>외기온도_시간분포!C86</f>
        <v>7</v>
      </c>
      <c r="E24" s="93">
        <f>외기온도_시간분포!D86</f>
        <v>10.5</v>
      </c>
      <c r="F24" s="93">
        <f>외기온도_시간분포!E86</f>
        <v>15.2</v>
      </c>
      <c r="G24" s="93">
        <f>외기온도_시간분포!F86</f>
        <v>19.5</v>
      </c>
      <c r="H24" s="93">
        <f>외기온도_시간분포!G86</f>
        <v>23</v>
      </c>
      <c r="I24" s="93">
        <f>외기온도_시간분포!H86</f>
        <v>27.2</v>
      </c>
      <c r="J24" s="93">
        <f>외기온도_시간분포!I86</f>
        <v>28</v>
      </c>
      <c r="K24" s="93">
        <f>외기온도_시간분포!J86</f>
        <v>24</v>
      </c>
      <c r="L24" s="93">
        <f>외기온도_시간분포!K86</f>
        <v>19</v>
      </c>
      <c r="M24" s="93">
        <f>외기온도_시간분포!L86</f>
        <v>13.5</v>
      </c>
      <c r="N24" s="93">
        <f>외기온도_시간분포!M86</f>
        <v>8.1999999999999993</v>
      </c>
      <c r="O24" s="93">
        <f>AVERAGE(C24:N24)</f>
        <v>16.775000000000002</v>
      </c>
      <c r="P24" s="178">
        <f>IFERROR(SUMPRODUCT(C25:N25,C26:N26)/SUM(C25:N25),0)</f>
        <v>3.2009406263273874</v>
      </c>
      <c r="Q24" s="177">
        <f>$D$7</f>
        <v>3</v>
      </c>
      <c r="R24" s="175" t="str">
        <f>IF(P24&gt;=$D$7,"✓ 달성","✗ 미달")</f>
        <v>✓ 달성</v>
      </c>
    </row>
    <row r="25" spans="1:18" s="1" customFormat="1" ht="19.5" customHeight="1">
      <c r="A25" s="128"/>
      <c r="B25" s="129" t="s">
        <v>363</v>
      </c>
      <c r="C25" s="130">
        <f>MAX(0,$D$6-C24)*31</f>
        <v>365.8</v>
      </c>
      <c r="D25" s="130">
        <f>MAX(0,$D$6-D24)*28</f>
        <v>308</v>
      </c>
      <c r="E25" s="130">
        <f>MAX(0,$D$6-E24)*31</f>
        <v>232.5</v>
      </c>
      <c r="F25" s="130">
        <f>MAX(0,$D$6-F24)*30</f>
        <v>84.000000000000028</v>
      </c>
      <c r="G25" s="130">
        <f>MAX(0,$D$6-G24)*31</f>
        <v>0</v>
      </c>
      <c r="H25" s="130">
        <f>MAX(0,$D$6-H24)*30</f>
        <v>0</v>
      </c>
      <c r="I25" s="130">
        <f>MAX(0,$D$6-I24)*31</f>
        <v>0</v>
      </c>
      <c r="J25" s="130">
        <f>MAX(0,$D$6-J24)*31</f>
        <v>0</v>
      </c>
      <c r="K25" s="130">
        <f>MAX(0,$D$6-K24)*30</f>
        <v>0</v>
      </c>
      <c r="L25" s="130">
        <f>MAX(0,$D$6-L24)*31</f>
        <v>0</v>
      </c>
      <c r="M25" s="130">
        <f>MAX(0,$D$6-M24)*30</f>
        <v>135</v>
      </c>
      <c r="N25" s="130">
        <f>MAX(0,$D$6-N24)*31</f>
        <v>303.8</v>
      </c>
      <c r="O25" s="131">
        <f>SUM(C25:N25)</f>
        <v>1429.1</v>
      </c>
      <c r="P25" s="179"/>
      <c r="Q25" s="176"/>
      <c r="R25" s="176"/>
    </row>
    <row r="26" spans="1:18" s="1" customFormat="1" ht="21.75" customHeight="1">
      <c r="A26" s="128"/>
      <c r="B26" s="129" t="s">
        <v>364</v>
      </c>
      <c r="C26" s="132">
        <f t="shared" ref="C26:N26" si="3">$D$5*($D$4+273)/MAX(1,$D$4-C24)</f>
        <v>3.0245901639344264</v>
      </c>
      <c r="D26" s="132">
        <f t="shared" si="3"/>
        <v>3.0749999999999997</v>
      </c>
      <c r="E26" s="132">
        <f t="shared" si="3"/>
        <v>3.3168539325842694</v>
      </c>
      <c r="F26" s="132">
        <f t="shared" si="3"/>
        <v>3.7085427135678395</v>
      </c>
      <c r="G26" s="132">
        <f t="shared" si="3"/>
        <v>4.1577464788732392</v>
      </c>
      <c r="H26" s="132">
        <f t="shared" si="3"/>
        <v>4.6124999999999998</v>
      </c>
      <c r="I26" s="132">
        <f t="shared" si="3"/>
        <v>5.3093525179856114</v>
      </c>
      <c r="J26" s="132">
        <f t="shared" si="3"/>
        <v>5.4666666666666668</v>
      </c>
      <c r="K26" s="132">
        <f t="shared" si="3"/>
        <v>4.7612903225806447</v>
      </c>
      <c r="L26" s="132">
        <f t="shared" si="3"/>
        <v>4.0999999999999996</v>
      </c>
      <c r="M26" s="132">
        <f t="shared" si="3"/>
        <v>3.5566265060240965</v>
      </c>
      <c r="N26" s="132">
        <f t="shared" si="3"/>
        <v>3.1538461538461537</v>
      </c>
      <c r="O26" s="133">
        <f>AVERAGE(C26:N26)</f>
        <v>4.0202512880052454</v>
      </c>
      <c r="P26" s="179"/>
      <c r="Q26" s="176"/>
      <c r="R26" s="176"/>
    </row>
    <row r="27" spans="1:18" s="1" customFormat="1" ht="6" customHeight="1"/>
  </sheetData>
  <mergeCells count="23">
    <mergeCell ref="P24:P26"/>
    <mergeCell ref="P20:P22"/>
    <mergeCell ref="A4:C4"/>
    <mergeCell ref="Q12:Q14"/>
    <mergeCell ref="E6:R6"/>
    <mergeCell ref="A9:R9"/>
    <mergeCell ref="R16:R18"/>
    <mergeCell ref="Q24:Q26"/>
    <mergeCell ref="R24:R26"/>
    <mergeCell ref="R12:R14"/>
    <mergeCell ref="Q20:Q22"/>
    <mergeCell ref="P16:P18"/>
    <mergeCell ref="E5:R5"/>
    <mergeCell ref="P12:P14"/>
    <mergeCell ref="A5:C5"/>
    <mergeCell ref="E4:R4"/>
    <mergeCell ref="A3:D3"/>
    <mergeCell ref="A6:C6"/>
    <mergeCell ref="E7:R7"/>
    <mergeCell ref="A1:R1"/>
    <mergeCell ref="R20:R22"/>
    <mergeCell ref="A7:C7"/>
    <mergeCell ref="Q16:Q18"/>
  </mergeCells>
  <phoneticPr fontId="4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BE264"/>
  <sheetViews>
    <sheetView topLeftCell="H19" workbookViewId="0">
      <selection activeCell="S31" sqref="S31"/>
    </sheetView>
  </sheetViews>
  <sheetFormatPr defaultColWidth="8.5" defaultRowHeight="16.5"/>
  <cols>
    <col min="2" max="2" width="16.25" style="1" customWidth="1"/>
    <col min="3" max="3" width="43.75" style="1" customWidth="1"/>
    <col min="4" max="4" width="15.75" style="1" customWidth="1"/>
    <col min="7" max="7" width="18.375" style="1" customWidth="1"/>
    <col min="8" max="8" width="10.125" style="1" customWidth="1"/>
    <col min="9" max="9" width="36.875" style="1" customWidth="1"/>
    <col min="10" max="10" width="12.375" style="1" customWidth="1"/>
    <col min="11" max="11" width="13.625" style="1" customWidth="1"/>
    <col min="12" max="13" width="16.75" style="1" customWidth="1"/>
    <col min="14" max="14" width="11.375" style="1" customWidth="1"/>
    <col min="15" max="15" width="11" style="1" customWidth="1"/>
    <col min="16" max="16" width="11.75" style="1" customWidth="1"/>
    <col min="17" max="17" width="14.125" style="1" customWidth="1"/>
    <col min="18" max="18" width="19.875" style="1" customWidth="1"/>
    <col min="19" max="19" width="17.5" style="1" customWidth="1"/>
    <col min="20" max="20" width="18.625" style="1" customWidth="1"/>
    <col min="21" max="21" width="17.875" style="1" customWidth="1"/>
    <col min="22" max="22" width="14.5" style="1" customWidth="1"/>
    <col min="37" max="37" width="9.25" style="1" customWidth="1"/>
  </cols>
  <sheetData>
    <row r="3" spans="2:57" s="1" customFormat="1" ht="16.5" customHeight="1">
      <c r="AK3" s="6" t="s">
        <v>368</v>
      </c>
    </row>
    <row r="4" spans="2:57" s="1" customFormat="1" ht="16.5" customHeight="1">
      <c r="C4" s="6" t="s">
        <v>369</v>
      </c>
      <c r="S4" s="2" t="s">
        <v>370</v>
      </c>
      <c r="T4" s="6" t="s">
        <v>371</v>
      </c>
      <c r="U4" s="6" t="s">
        <v>372</v>
      </c>
      <c r="AK4" s="6" t="s">
        <v>373</v>
      </c>
      <c r="AM4" s="2" t="s">
        <v>27</v>
      </c>
      <c r="AN4" s="2" t="s">
        <v>28</v>
      </c>
      <c r="AO4" s="2" t="s">
        <v>29</v>
      </c>
      <c r="AP4" s="2" t="s">
        <v>30</v>
      </c>
      <c r="AQ4" s="2" t="s">
        <v>31</v>
      </c>
      <c r="AR4" s="2" t="s">
        <v>32</v>
      </c>
      <c r="AS4" s="2" t="s">
        <v>33</v>
      </c>
      <c r="AT4" s="2" t="s">
        <v>34</v>
      </c>
      <c r="AU4" s="2" t="s">
        <v>35</v>
      </c>
      <c r="AV4" s="2" t="s">
        <v>36</v>
      </c>
      <c r="AW4" s="2" t="s">
        <v>37</v>
      </c>
      <c r="AX4" s="2" t="s">
        <v>38</v>
      </c>
      <c r="AZ4" s="6" t="s">
        <v>374</v>
      </c>
    </row>
    <row r="5" spans="2:57" s="1" customFormat="1" ht="16.5" customHeight="1">
      <c r="B5" s="6" t="s">
        <v>375</v>
      </c>
      <c r="D5" s="6" t="s">
        <v>376</v>
      </c>
      <c r="H5" s="59" t="s">
        <v>377</v>
      </c>
      <c r="I5" s="60" t="s">
        <v>75</v>
      </c>
      <c r="J5" s="60" t="s">
        <v>378</v>
      </c>
      <c r="K5" s="60" t="s">
        <v>379</v>
      </c>
      <c r="L5" s="60" t="s">
        <v>380</v>
      </c>
      <c r="M5" s="60" t="s">
        <v>381</v>
      </c>
      <c r="N5" s="60" t="s">
        <v>382</v>
      </c>
      <c r="O5" s="60" t="s">
        <v>383</v>
      </c>
      <c r="P5" s="60" t="s">
        <v>384</v>
      </c>
      <c r="Q5" s="60" t="s">
        <v>385</v>
      </c>
      <c r="R5" s="60" t="s">
        <v>386</v>
      </c>
      <c r="S5" s="134">
        <f>SUM(R6:R17)</f>
        <v>3483280</v>
      </c>
      <c r="T5" s="134">
        <f>Sheet2!O18</f>
        <v>1620551.6253430294</v>
      </c>
      <c r="U5" s="135">
        <f>(T5-S5)/T5</f>
        <v>-1.1494409345106045</v>
      </c>
      <c r="AK5" s="6" t="s">
        <v>42</v>
      </c>
      <c r="AM5" s="2">
        <v>53.059103999999998</v>
      </c>
      <c r="AN5" s="2">
        <v>79.802604000000002</v>
      </c>
      <c r="AO5" s="2">
        <v>92.616561000000004</v>
      </c>
      <c r="AP5" s="2">
        <v>104.98734</v>
      </c>
      <c r="AQ5" s="2">
        <v>98.064594</v>
      </c>
      <c r="AR5" s="2">
        <v>96.964290000000005</v>
      </c>
      <c r="AS5" s="2">
        <v>95.222142000000005</v>
      </c>
      <c r="AT5" s="2">
        <v>72.719397000000001</v>
      </c>
      <c r="AU5" s="2">
        <v>56.619810000000001</v>
      </c>
      <c r="AV5" s="2">
        <v>67.745106000000007</v>
      </c>
      <c r="AW5" s="2">
        <v>65.559780000000003</v>
      </c>
      <c r="AX5" s="2">
        <v>49.979781000000003</v>
      </c>
      <c r="BA5" s="6" t="s">
        <v>387</v>
      </c>
      <c r="BB5" s="6" t="s">
        <v>388</v>
      </c>
      <c r="BC5" s="6" t="s">
        <v>389</v>
      </c>
      <c r="BD5" s="6" t="s">
        <v>390</v>
      </c>
      <c r="BE5" s="6" t="s">
        <v>391</v>
      </c>
    </row>
    <row r="6" spans="2:57" s="1" customFormat="1" ht="16.5" customHeight="1">
      <c r="B6" s="2" t="s">
        <v>392</v>
      </c>
      <c r="C6" s="136">
        <v>910</v>
      </c>
      <c r="D6" s="6" t="s">
        <v>393</v>
      </c>
      <c r="E6" s="2">
        <v>120</v>
      </c>
      <c r="H6" s="137"/>
      <c r="I6" s="2">
        <v>1</v>
      </c>
      <c r="J6" s="2">
        <f>IF((Sheet2!C54+C23)&lt;=200, 910, IF((Sheet2!C54+C23)&lt;=400, 1600, 7300))</f>
        <v>7300</v>
      </c>
      <c r="K6" s="138">
        <f>INT(IF((Sheet2!C54+C23)&lt;=200, (Sheet2!C54+C23)*120, IF((Sheet2!C54+C23)&lt;=400, 24000+((Sheet2!C54+C23)-200)*214.6, 66920+((Sheet2!C54+C23)-400)*307.3)))+INT(MAX((Sheet2!C54+C23)-1000,0)*(736.2-307.3))</f>
        <v>1493421</v>
      </c>
      <c r="L6" s="138">
        <f>INT((Sheet2!C54+C23)*9)</f>
        <v>24184</v>
      </c>
      <c r="M6" s="138">
        <f>INT((Sheet2!C54+C23)*5)</f>
        <v>13436</v>
      </c>
      <c r="N6" s="138">
        <f t="shared" ref="N6:N17" si="0">SUM(J6:M6)</f>
        <v>1538341</v>
      </c>
      <c r="O6" s="138">
        <f t="shared" ref="O6:O17" si="1">ROUND(N6*0.1, 0)</f>
        <v>153834</v>
      </c>
      <c r="P6" s="138">
        <f t="shared" ref="P6:P17" si="2">FLOOR(N6*0.027, 10)</f>
        <v>41530</v>
      </c>
      <c r="Q6" s="138">
        <f t="shared" ref="Q6:Q17" si="3">FLOOR(N6+O6+P6, 10)</f>
        <v>1733700</v>
      </c>
      <c r="R6" s="138">
        <f t="shared" ref="R6:R17" si="4">MAX(Q6-BB6,0)</f>
        <v>1003750</v>
      </c>
      <c r="S6" s="139"/>
      <c r="T6" s="139"/>
      <c r="U6" s="140"/>
      <c r="AK6" s="6" t="s">
        <v>100</v>
      </c>
      <c r="AM6" s="2">
        <v>53.059103999999998</v>
      </c>
      <c r="AN6" s="2">
        <v>79.802604000000002</v>
      </c>
      <c r="AO6" s="2">
        <v>92.616561000000004</v>
      </c>
      <c r="AP6" s="2">
        <v>104.98734</v>
      </c>
      <c r="AQ6" s="2">
        <v>98.064594</v>
      </c>
      <c r="AR6" s="2">
        <v>96.964290000000005</v>
      </c>
      <c r="AS6" s="2">
        <v>95.222142000000005</v>
      </c>
      <c r="AT6" s="2">
        <v>72.719397000000001</v>
      </c>
      <c r="AU6" s="2">
        <v>56.619810000000001</v>
      </c>
      <c r="AV6" s="2">
        <v>67.745106000000007</v>
      </c>
      <c r="AW6" s="2">
        <v>65.559780000000003</v>
      </c>
      <c r="AX6" s="2">
        <v>49.979781000000003</v>
      </c>
      <c r="BA6" s="2">
        <v>1</v>
      </c>
      <c r="BB6" s="2">
        <f>FLOOR(((IF((0+C23)&lt;=200, 910, IF((0+C23)&lt;=400, 1600, 7300)))+(INT(IF((0+C23)&lt;=200, (0+C23)*120, IF((0+C23)&lt;=400, 24000+((0+C23)-200)*214.6, 66920+((0+C23)-400)*307.3)))+INT(MAX((0+C23)-1000,0)*(736.2-307.3)))+(INT((0+C23)*9))+(INT((0+C23)*5)))+ROUND(((IF((0+C23)&lt;=200, 910, IF((0+C23)&lt;=400, 1600, 7300)))+(INT(IF((0+C23)&lt;=200, (0+C23)*120, IF((0+C23)&lt;=400, 24000+((0+C23)-200)*214.6, 66920+((0+C23)-400)*307.3)))+INT(MAX((0+C23)-1000,0)*(736.2-307.3)))+(INT((0+C23)*9))+(INT((0+C23)*5)))*0.1,0)+FLOOR(((IF((0+C23)&lt;=200, 910, IF((0+C23)&lt;=400, 1600, 7300)))+(INT(IF((0+C23)&lt;=200, (0+C23)*120, IF((0+C23)&lt;=400, 24000+((0+C23)-200)*214.6, 66920+((0+C23)-400)*307.3)))+INT(MAX((0+C23)-1000,0)*(736.2-307.3)))+(INT((0+C23)*9))+(INT((0+C23)*5)))*0.027,10),10)</f>
        <v>729950</v>
      </c>
      <c r="BC6" s="2">
        <f>FLOOR(((IF(MAX(0+C23-C37,0)&lt;=200, 910, IF(MAX(0+C23-C37,0)&lt;=400, 1600, 7300)))+(INT(IF(MAX(0+C23-C37,0)&lt;=200, MAX(0+C23-C37,0)*120, IF(MAX(0+C23-C37,0)&lt;=400, 24000+(MAX(0+C23-C37,0)-200)*214.6, 66920+(MAX(0+C23-C37,0)-400)*307.3)))+INT(MAX(MAX(0+C23-C37,0)-1000,0)*(736.2-307.3)))+(INT(MAX(0+C23-C37,0)*9))+(INT(MAX(0+C23-C37,0)*5)))+ROUND(((IF(MAX(0+C23-C37,0)&lt;=200, 910, IF(MAX(0+C23-C37,0)&lt;=400, 1600, 7300)))+(INT(IF(MAX(0+C23-C37,0)&lt;=200, MAX(0+C23-C37,0)*120, IF(MAX(0+C23-C37,0)&lt;=400, 24000+(MAX(0+C23-C37,0)-200)*214.6, 66920+(MAX(0+C23-C37,0)-400)*307.3)))+INT(MAX(MAX(0+C23-C37,0)-1000,0)*(736.2-307.3)))+(INT(MAX(0+C23-C37,0)*9))+(INT(MAX(0+C23-C37,0)*5)))*0.1,0)+FLOOR(((IF(MAX(0+C23-C37,0)&lt;=200, 910, IF(MAX(0+C23-C37,0)&lt;=400, 1600, 7300)))+(INT(IF(MAX(0+C23-C37,0)&lt;=200, MAX(0+C23-C37,0)*120, IF(MAX(0+C23-C37,0)&lt;=400, 24000+(MAX(0+C23-C37,0)-200)*214.6, 66920+(MAX(0+C23-C37,0)-400)*307.3)))+INT(MAX(MAX(0+C23-C37,0)-1000,0)*(736.2-307.3)))+(INT(MAX(0+C23-C37,0)*9))+(INT(MAX(0+C23-C37,0)*5)))*0.027,10),10)</f>
        <v>729950</v>
      </c>
      <c r="BD6" s="2">
        <f>FLOOR((($C$170*3)+(ROUNDDOWN(0*43.37%*138.7 + 0*28.76%*184.7 + 0*27.87%*220.5 + C23*30%*138.7 + C23*30%*184.7 + C23*40%*220.5, 0)+INT(MAX((0+C23)-1000,0)*(736.2-IF((0+C23)=0,0,(ROUNDDOWN(0*43.37%*138.7 + 0*28.76%*184.7 + 0*27.87%*220.5 + C23*30%*138.7 + C23*30%*184.7 + C23*40%*220.5, 0))/(0+C23)))))+(INT((0+C23)*9))+(INT((0+C23)*5)))+ROUND((($C$170*3)+(ROUNDDOWN(0*43.37%*138.7 + 0*28.76%*184.7 + 0*27.87%*220.5 + C23*30%*138.7 + C23*30%*184.7 + C23*40%*220.5, 0)+INT(MAX((0+C23)-1000,0)*(736.2-IF((0+C23)=0,0,(ROUNDDOWN(0*43.37%*138.7 + 0*28.76%*184.7 + 0*27.87%*220.5 + C23*30%*138.7 + C23*30%*184.7 + C23*40%*220.5, 0))/(0+C23)))))+(INT((0+C23)*9))+(INT((0+C23)*5)))*0.1,0)+FLOOR((($C$170*3)+(ROUNDDOWN(0*43.37%*138.7 + 0*28.76%*184.7 + 0*27.87%*220.5 + C23*30%*138.7 + C23*30%*184.7 + C23*40%*220.5, 0)+INT(MAX((0+C23)-1000,0)*(736.2-IF((0+C23)=0,0,(ROUNDDOWN(0*43.37%*138.7 + 0*28.76%*184.7 + 0*27.87%*220.5 + C23*30%*138.7 + C23*30%*184.7 + C23*40%*220.5, 0))/(0+C23)))))+(INT((0+C23)*9))+(INT((0+C23)*5)))*0.027,10),10)</f>
        <v>661820</v>
      </c>
      <c r="BE6" s="2">
        <f>FLOOR((($C$170*3)+(ROUNDDOWN(MAX(0*43.37% + C23*30% - C37*0.0062%,0)*138.7 + MAX(0*28.76% + C23*30% - C37*95.4981%,0)*184.7 + MAX(0*27.87% + C23*40% - C37*4.4957%,0)*220.5,0)+INT(MAX(MAX(0+C23-C37,0)-1000,0)*(736.2-IF(MAX(0+C23-C37,0)=0,0,(ROUNDDOWN(MAX(0*43.37% + C23*30% - C37*0.0062%,0)*138.7 + MAX(0*28.76% + C23*30% - C37*95.4981%,0)*184.7 + MAX(0*27.87% + C23*40% - C37*4.4957%,0)*220.5,0))/MAX(0+C23-C37,0)))))+(INT(MAX(0+C23-C37,0)*9))+(INT(MAX(0+C23-C37,0)*5)))+ROUND((($C$170*3)+(ROUNDDOWN(MAX(0*43.37% + C23*30% - C37*0.0062%,0)*138.7 + MAX(0*28.76% + C23*30% - C37*95.4981%,0)*184.7 + MAX(0*27.87% + C23*40% - C37*4.4957%,0)*220.5,0)+INT(MAX(MAX(0+C23-C37,0)-1000,0)*(736.2-IF(MAX(0+C23-C37,0)=0,0,(ROUNDDOWN(MAX(0*43.37% + C23*30% - C37*0.0062%,0)*138.7 + MAX(0*28.76% + C23*30% - C37*95.4981%,0)*184.7 + MAX(0*27.87% + C23*40% - C37*4.4957%,0)*220.5,0))/MAX(0+C23-C37,0)))))+(INT(MAX(0+C23-C37,0)*9))+(INT(MAX(0+C23-C37,0)*5)))*0.1,0)+FLOOR((($C$170*3)+(ROUNDDOWN(MAX(0*43.37% + C23*30% - C37*0.0062%,0)*138.7 + MAX(0*28.76% + C23*30% - C37*95.4981%,0)*184.7 + MAX(0*27.87% + C23*40% - C37*4.4957%,0)*220.5,0)+INT(MAX(MAX(0+C23-C37,0)-1000,0)*(736.2-IF(MAX(0+C23-C37,0)=0,0,(ROUNDDOWN(MAX(0*43.37% + C23*30% - C37*0.0062%,0)*138.7 + MAX(0*28.76% + C23*30% - C37*95.4981%,0)*184.7 + MAX(0*27.87% + C23*40% - C37*4.4957%,0)*220.5,0))/MAX(0+C23-C37,0)))))+(INT(MAX(0+C23-C37,0)*9))+(INT(MAX(0+C23-C37,0)*5)))*0.027,10),10)</f>
        <v>661820</v>
      </c>
    </row>
    <row r="7" spans="2:57" s="1" customFormat="1" ht="16.5" customHeight="1">
      <c r="B7" s="2" t="s">
        <v>394</v>
      </c>
      <c r="C7" s="136">
        <v>1600</v>
      </c>
      <c r="D7" s="6" t="s">
        <v>395</v>
      </c>
      <c r="E7" s="2">
        <v>214.6</v>
      </c>
      <c r="H7" s="137"/>
      <c r="I7" s="2">
        <v>2</v>
      </c>
      <c r="J7" s="2">
        <f>IF((Sheet2!D54+C24)&lt;=200, 910, IF((Sheet2!D54+C24)&lt;=400, 1600, 7300))</f>
        <v>7300</v>
      </c>
      <c r="K7" s="138">
        <f>INT(IF((Sheet2!D54+C24)&lt;=200, (Sheet2!D54+C24)*120, IF((Sheet2!D54+C24)&lt;=400, 24000+((Sheet2!D54+C24)-200)*214.6, 66920+((Sheet2!D54+C24)-400)*307.3)))+INT(MAX((Sheet2!D54+C24)-1000,0)*(736.2-307.3))</f>
        <v>1393831</v>
      </c>
      <c r="L7" s="138">
        <f>INT((Sheet2!D54+C24)*9)</f>
        <v>22967</v>
      </c>
      <c r="M7" s="138">
        <f>INT((Sheet2!D54+C24)*5)</f>
        <v>12759</v>
      </c>
      <c r="N7" s="138">
        <f t="shared" si="0"/>
        <v>1436857</v>
      </c>
      <c r="O7" s="138">
        <f t="shared" si="1"/>
        <v>143686</v>
      </c>
      <c r="P7" s="138">
        <f t="shared" si="2"/>
        <v>38790</v>
      </c>
      <c r="Q7" s="138">
        <f t="shared" si="3"/>
        <v>1619330</v>
      </c>
      <c r="R7" s="138">
        <f t="shared" si="4"/>
        <v>880440</v>
      </c>
      <c r="S7" s="139"/>
      <c r="T7" s="139"/>
      <c r="U7" s="140"/>
      <c r="AK7" s="6" t="s">
        <v>108</v>
      </c>
      <c r="AM7" s="2">
        <v>53.295974999999999</v>
      </c>
      <c r="AN7" s="2">
        <v>80.016552000000004</v>
      </c>
      <c r="AO7" s="2">
        <v>89.537238000000002</v>
      </c>
      <c r="AP7" s="2">
        <v>109.34271</v>
      </c>
      <c r="AQ7" s="2">
        <v>100.670175</v>
      </c>
      <c r="AR7" s="2">
        <v>99.027360000000002</v>
      </c>
      <c r="AS7" s="2">
        <v>102.56514300000001</v>
      </c>
      <c r="AT7" s="2">
        <v>69.166331999999997</v>
      </c>
      <c r="AU7" s="2">
        <v>55.0152</v>
      </c>
      <c r="AV7" s="2">
        <v>69.876945000000006</v>
      </c>
      <c r="AW7" s="2">
        <v>67.62285</v>
      </c>
      <c r="AX7" s="2">
        <v>50.216652000000003</v>
      </c>
      <c r="BA7" s="2">
        <v>2</v>
      </c>
      <c r="BB7" s="2">
        <f>FLOOR(((IF((0+C24)&lt;=200, 910, IF((0+C24)&lt;=400, 1600, 7300)))+(INT(IF((0+C24)&lt;=200, (0+C24)*120, IF((0+C24)&lt;=400, 24000+((0+C24)-200)*214.6, 66920+((0+C24)-400)*307.3)))+INT(MAX((0+C24)-1000,0)*(736.2-307.3)))+(INT((0+C24)*9))+(INT((0+C24)*5)))+ROUND(((IF((0+C24)&lt;=200, 910, IF((0+C24)&lt;=400, 1600, 7300)))+(INT(IF((0+C24)&lt;=200, (0+C24)*120, IF((0+C24)&lt;=400, 24000+((0+C24)-200)*214.6, 66920+((0+C24)-400)*307.3)))+INT(MAX((0+C24)-1000,0)*(736.2-307.3)))+(INT((0+C24)*9))+(INT((0+C24)*5)))*0.1,0)+FLOOR(((IF((0+C24)&lt;=200, 910, IF((0+C24)&lt;=400, 1600, 7300)))+(INT(IF((0+C24)&lt;=200, (0+C24)*120, IF((0+C24)&lt;=400, 24000+((0+C24)-200)*214.6, 66920+((0+C24)-400)*307.3)))+INT(MAX((0+C24)-1000,0)*(736.2-307.3)))+(INT((0+C24)*9))+(INT((0+C24)*5)))*0.027,10),10)</f>
        <v>738890</v>
      </c>
      <c r="BC7" s="2">
        <f>FLOOR(((IF(MAX(0+C24-C38,0)&lt;=200, 910, IF(MAX(0+C24-C38,0)&lt;=400, 1600, 7300)))+(INT(IF(MAX(0+C24-C38,0)&lt;=200, MAX(0+C24-C38,0)*120, IF(MAX(0+C24-C38,0)&lt;=400, 24000+(MAX(0+C24-C38,0)-200)*214.6, 66920+(MAX(0+C24-C38,0)-400)*307.3)))+INT(MAX(MAX(0+C24-C38,0)-1000,0)*(736.2-307.3)))+(INT(MAX(0+C24-C38,0)*9))+(INT(MAX(0+C24-C38,0)*5)))+ROUND(((IF(MAX(0+C24-C38,0)&lt;=200, 910, IF(MAX(0+C24-C38,0)&lt;=400, 1600, 7300)))+(INT(IF(MAX(0+C24-C38,0)&lt;=200, MAX(0+C24-C38,0)*120, IF(MAX(0+C24-C38,0)&lt;=400, 24000+(MAX(0+C24-C38,0)-200)*214.6, 66920+(MAX(0+C24-C38,0)-400)*307.3)))+INT(MAX(MAX(0+C24-C38,0)-1000,0)*(736.2-307.3)))+(INT(MAX(0+C24-C38,0)*9))+(INT(MAX(0+C24-C38,0)*5)))*0.1,0)+FLOOR(((IF(MAX(0+C24-C38,0)&lt;=200, 910, IF(MAX(0+C24-C38,0)&lt;=400, 1600, 7300)))+(INT(IF(MAX(0+C24-C38,0)&lt;=200, MAX(0+C24-C38,0)*120, IF(MAX(0+C24-C38,0)&lt;=400, 24000+(MAX(0+C24-C38,0)-200)*214.6, 66920+(MAX(0+C24-C38,0)-400)*307.3)))+INT(MAX(MAX(0+C24-C38,0)-1000,0)*(736.2-307.3)))+(INT(MAX(0+C24-C38,0)*9))+(INT(MAX(0+C24-C38,0)*5)))*0.027,10),10)</f>
        <v>738890</v>
      </c>
      <c r="BD7" s="2">
        <f>FLOOR((($C$170*3)+(ROUNDDOWN(0*44.03%*138.7 + 0*28.8%*184.7 + 0*27.16%*220.5 + C24*30%*138.7 + C24*30%*184.7 + C24*40%*220.5, 0)+INT(MAX((0+C24)-1000,0)*(736.2-IF((0+C24)=0,0,(ROUNDDOWN(0*44.03%*138.7 + 0*28.8%*184.7 + 0*27.16%*220.5 + C24*30%*138.7 + C24*30%*184.7 + C24*40%*220.5, 0))/(0+C24)))))+(INT((0+C24)*9))+(INT((0+C24)*5)))+ROUND((($C$170*3)+(ROUNDDOWN(0*44.03%*138.7 + 0*28.8%*184.7 + 0*27.16%*220.5 + C24*30%*138.7 + C24*30%*184.7 + C24*40%*220.5, 0)+INT(MAX((0+C24)-1000,0)*(736.2-IF((0+C24)=0,0,(ROUNDDOWN(0*44.03%*138.7 + 0*28.8%*184.7 + 0*27.16%*220.5 + C24*30%*138.7 + C24*30%*184.7 + C24*40%*220.5, 0))/(0+C24)))))+(INT((0+C24)*9))+(INT((0+C24)*5)))*0.1,0)+FLOOR((($C$170*3)+(ROUNDDOWN(0*44.03%*138.7 + 0*28.8%*184.7 + 0*27.16%*220.5 + C24*30%*138.7 + C24*30%*184.7 + C24*40%*220.5, 0)+INT(MAX((0+C24)-1000,0)*(736.2-IF((0+C24)=0,0,(ROUNDDOWN(0*44.03%*138.7 + 0*28.8%*184.7 + 0*27.16%*220.5 + C24*30%*138.7 + C24*30%*184.7 + C24*40%*220.5, 0))/(0+C24)))))+(INT((0+C24)*9))+(INT((0+C24)*5)))*0.027,10),10)</f>
        <v>670760</v>
      </c>
      <c r="BE7" s="2">
        <f>FLOOR((($C$170*3)+(ROUNDDOWN(MAX(0*44.03% + C24*30% - C38*0.1791%,0)*138.7 + MAX(0*28.8% + C24*30% - C38*92.1596%,0)*184.7 + MAX(0*27.16% + C24*40% - C38*7.6613%,0)*220.5,0)+INT(MAX(MAX(0+C24-C38,0)-1000,0)*(736.2-IF(MAX(0+C24-C38,0)=0,0,(ROUNDDOWN(MAX(0*44.03% + C24*30% - C38*0.1791%,0)*138.7 + MAX(0*28.8% + C24*30% - C38*92.1596%,0)*184.7 + MAX(0*27.16% + C24*40% - C38*7.6613%,0)*220.5,0))/MAX(0+C24-C38,0)))))+(INT(MAX(0+C24-C38,0)*9))+(INT(MAX(0+C24-C38,0)*5)))+ROUND((($C$170*3)+(ROUNDDOWN(MAX(0*44.03% + C24*30% - C38*0.1791%,0)*138.7 + MAX(0*28.8% + C24*30% - C38*92.1596%,0)*184.7 + MAX(0*27.16% + C24*40% - C38*7.6613%,0)*220.5,0)+INT(MAX(MAX(0+C24-C38,0)-1000,0)*(736.2-IF(MAX(0+C24-C38,0)=0,0,(ROUNDDOWN(MAX(0*44.03% + C24*30% - C38*0.1791%,0)*138.7 + MAX(0*28.8% + C24*30% - C38*92.1596%,0)*184.7 + MAX(0*27.16% + C24*40% - C38*7.6613%,0)*220.5,0))/MAX(0+C24-C38,0)))))+(INT(MAX(0+C24-C38,0)*9))+(INT(MAX(0+C24-C38,0)*5)))*0.1,0)+FLOOR((($C$170*3)+(ROUNDDOWN(MAX(0*44.03% + C24*30% - C38*0.1791%,0)*138.7 + MAX(0*28.8% + C24*30% - C38*92.1596%,0)*184.7 + MAX(0*27.16% + C24*40% - C38*7.6613%,0)*220.5,0)+INT(MAX(MAX(0+C24-C38,0)-1000,0)*(736.2-IF(MAX(0+C24-C38,0)=0,0,(ROUNDDOWN(MAX(0*44.03% + C24*30% - C38*0.1791%,0)*138.7 + MAX(0*28.8% + C24*30% - C38*92.1596%,0)*184.7 + MAX(0*27.16% + C24*40% - C38*7.6613%,0)*220.5,0))/MAX(0+C24-C38,0)))))+(INT(MAX(0+C24-C38,0)*9))+(INT(MAX(0+C24-C38,0)*5)))*0.027,10),10)</f>
        <v>670760</v>
      </c>
    </row>
    <row r="8" spans="2:57" s="1" customFormat="1" ht="16.5" customHeight="1">
      <c r="B8" s="2" t="s">
        <v>396</v>
      </c>
      <c r="C8" s="136">
        <v>7300</v>
      </c>
      <c r="D8" s="2" t="s">
        <v>397</v>
      </c>
      <c r="E8" s="2">
        <v>307.3</v>
      </c>
      <c r="G8" s="2">
        <f>(120*200)+(214.6*200)</f>
        <v>66920</v>
      </c>
      <c r="H8" s="137"/>
      <c r="I8" s="2">
        <v>3</v>
      </c>
      <c r="J8" s="2">
        <f>IF((Sheet2!E54+C25)&lt;=200, 910, IF((Sheet2!E54+C25)&lt;=400, 1600, 7300))</f>
        <v>7300</v>
      </c>
      <c r="K8" s="138">
        <f>INT(IF((Sheet2!E54+C25)&lt;=200, (Sheet2!E54+C25)*120, IF((Sheet2!E54+C25)&lt;=400, 24000+((Sheet2!E54+C25)-200)*214.6, 66920+((Sheet2!E54+C25)-400)*307.3)))</f>
        <v>593764</v>
      </c>
      <c r="L8" s="138">
        <f>INT((Sheet2!E54+C25)*9)</f>
        <v>19029</v>
      </c>
      <c r="M8" s="138">
        <f>INT((Sheet2!E54+C25)*5)</f>
        <v>10572</v>
      </c>
      <c r="N8" s="138">
        <f t="shared" si="0"/>
        <v>630665</v>
      </c>
      <c r="O8" s="138">
        <f t="shared" si="1"/>
        <v>63067</v>
      </c>
      <c r="P8" s="138">
        <f t="shared" si="2"/>
        <v>17020</v>
      </c>
      <c r="Q8" s="138">
        <f t="shared" si="3"/>
        <v>710750</v>
      </c>
      <c r="R8" s="138">
        <f t="shared" si="4"/>
        <v>290130</v>
      </c>
      <c r="S8" s="139"/>
      <c r="T8" s="139"/>
      <c r="U8" s="140"/>
      <c r="AK8" s="6" t="s">
        <v>104</v>
      </c>
      <c r="AM8" s="2">
        <v>55.427813999999998</v>
      </c>
      <c r="AN8" s="2">
        <v>81.300240000000002</v>
      </c>
      <c r="AO8" s="2">
        <v>97.353981000000005</v>
      </c>
      <c r="AP8" s="2">
        <v>110.71809</v>
      </c>
      <c r="AQ8" s="2">
        <v>99.012078000000002</v>
      </c>
      <c r="AR8" s="2">
        <v>99.485820000000004</v>
      </c>
      <c r="AS8" s="2">
        <v>106.355079</v>
      </c>
      <c r="AT8" s="2">
        <v>72.008784000000006</v>
      </c>
      <c r="AU8" s="2">
        <v>62.350560000000002</v>
      </c>
      <c r="AV8" s="2">
        <v>72.956267999999994</v>
      </c>
      <c r="AW8" s="2">
        <v>70.60284</v>
      </c>
      <c r="AX8" s="2">
        <v>55.901555999999999</v>
      </c>
      <c r="BA8" s="2">
        <v>3</v>
      </c>
      <c r="BB8" s="2">
        <f>FLOOR(((IF((0+C25)&lt;=200, 910, IF((0+C25)&lt;=400, 1600, 7300)))+(INT(IF((0+C25)&lt;=200, (0+C25)*120, IF((0+C25)&lt;=400, 24000+((0+C25)-200)*214.6, 66920+((0+C25)-400)*307.3))))+(INT((0+C25)*9))+(INT((0+C25)*5)))+ROUND(((IF((0+C25)&lt;=200, 910, IF((0+C25)&lt;=400, 1600, 7300)))+(INT(IF((0+C25)&lt;=200, (0+C25)*120, IF((0+C25)&lt;=400, 24000+((0+C25)-200)*214.6, 66920+((0+C25)-400)*307.3))))+(INT((0+C25)*9))+(INT((0+C25)*5)))*0.1,0)+FLOOR(((IF((0+C25)&lt;=200, 910, IF((0+C25)&lt;=400, 1600, 7300)))+(INT(IF((0+C25)&lt;=200, (0+C25)*120, IF((0+C25)&lt;=400, 24000+((0+C25)-200)*214.6, 66920+((0+C25)-400)*307.3))))+(INT((0+C25)*9))+(INT((0+C25)*5)))*0.027,10),10)</f>
        <v>420620</v>
      </c>
      <c r="BC8" s="2">
        <f>FLOOR(((IF(MAX(0+C25-C39,0)&lt;=200, 910, IF(MAX(0+C25-C39,0)&lt;=400, 1600, 7300)))+(INT(IF(MAX(0+C25-C39,0)&lt;=200, MAX(0+C25-C39,0)*120, IF(MAX(0+C25-C39,0)&lt;=400, 24000+(MAX(0+C25-C39,0)-200)*214.6, 66920+(MAX(0+C25-C39,0)-400)*307.3))))+(INT(MAX(0+C25-C39,0)*9))+(INT(MAX(0+C25-C39,0)*5)))+ROUND(((IF(MAX(0+C25-C39,0)&lt;=200, 910, IF(MAX(0+C25-C39,0)&lt;=400, 1600, 7300)))+(INT(IF(MAX(0+C25-C39,0)&lt;=200, MAX(0+C25-C39,0)*120, IF(MAX(0+C25-C39,0)&lt;=400, 24000+(MAX(0+C25-C39,0)-200)*214.6, 66920+(MAX(0+C25-C39,0)-400)*307.3))))+(INT(MAX(0+C25-C39,0)*9))+(INT(MAX(0+C25-C39,0)*5)))*0.1,0)+FLOOR(((IF(MAX(0+C25-C39,0)&lt;=200, 910, IF(MAX(0+C25-C39,0)&lt;=400, 1600, 7300)))+(INT(IF(MAX(0+C25-C39,0)&lt;=200, MAX(0+C25-C39,0)*120, IF(MAX(0+C25-C39,0)&lt;=400, 24000+(MAX(0+C25-C39,0)-200)*214.6, 66920+(MAX(0+C25-C39,0)-400)*307.3))))+(INT(MAX(0+C25-C39,0)*9))+(INT(MAX(0+C25-C39,0)*5)))*0.027,10),10)</f>
        <v>420620</v>
      </c>
      <c r="BD8" s="2">
        <f>FLOOR((($C$170*3)+(ROUNDDOWN(0*44.16%*125.8 + 0*28.26%*153.8 + 0*27.58%*172.4 + C25*30%*125.8 + C25*30%*153.8 + C25*40%*172.4, 0))+(INT((0+C25)*9))+(INT((0+C25)*5)))+ROUND((($C$170*3)+(ROUNDDOWN(0*44.16%*125.8 + 0*28.26%*153.8 + 0*27.58%*172.4 + C25*30%*125.8 + C25*30%*153.8 + C25*40%*172.4, 0))+(INT((0+C25)*9))+(INT((0+C25)*5)))*0.1,0)+FLOOR((($C$170*3)+(ROUNDDOWN(0*44.16%*125.8 + 0*28.26%*153.8 + 0*27.58%*172.4 + C25*30%*125.8 + C25*30%*153.8 + C25*40%*172.4, 0))+(INT((0+C25)*9))+(INT((0+C25)*5)))*0.027,10),10)</f>
        <v>261480</v>
      </c>
      <c r="BE8" s="2">
        <f>FLOOR((($C$170*3)+(ROUNDDOWN(MAX(0*44.16% + C25*30% - C39*1.149%,0)*125.8 + MAX(0*28.26% + C25*30% - C39*89.637%,0)*153.8 + MAX(0*27.58% + C25*40% - C39*9.2139%,0)*172.4,0))+(INT(MAX(0+C25-C39,0)*9))+(INT(MAX(0+C25-C39,0)*5)))+ROUND((($C$170*3)+(ROUNDDOWN(MAX(0*44.16% + C25*30% - C39*1.149%,0)*125.8 + MAX(0*28.26% + C25*30% - C39*89.637%,0)*153.8 + MAX(0*27.58% + C25*40% - C39*9.2139%,0)*172.4,0))+(INT(MAX(0+C25-C39,0)*9))+(INT(MAX(0+C25-C39,0)*5)))*0.1,0)+FLOOR((($C$170*3)+(ROUNDDOWN(MAX(0*44.16% + C25*30% - C39*1.149%,0)*125.8 + MAX(0*28.26% + C25*30% - C39*89.637%,0)*153.8 + MAX(0*27.58% + C25*40% - C39*9.2139%,0)*172.4,0))+(INT(MAX(0+C25-C39,0)*9))+(INT(MAX(0+C25-C39,0)*5)))*0.027,10),10)</f>
        <v>261480</v>
      </c>
    </row>
    <row r="9" spans="2:57" s="1" customFormat="1" ht="16.5" customHeight="1">
      <c r="H9" s="137"/>
      <c r="I9" s="2">
        <v>4</v>
      </c>
      <c r="J9" s="2">
        <f>IF((Sheet2!F54+C26)&lt;=200, 910, IF((Sheet2!F54+C26)&lt;=400, 1600, 7300))</f>
        <v>7300</v>
      </c>
      <c r="K9" s="138">
        <f>INT(IF((Sheet2!F54+C26)&lt;=200, (Sheet2!F54+C26)*120, IF((Sheet2!F54+C26)&lt;=400, 24000+((Sheet2!F54+C26)-200)*214.6, 66920+((Sheet2!F54+C26)-400)*307.3)))</f>
        <v>448773</v>
      </c>
      <c r="L9" s="138">
        <f>INT((Sheet2!F54+C26)*9)</f>
        <v>14783</v>
      </c>
      <c r="M9" s="138">
        <f>INT((Sheet2!F54+C26)*5)</f>
        <v>8213</v>
      </c>
      <c r="N9" s="138">
        <f t="shared" si="0"/>
        <v>479069</v>
      </c>
      <c r="O9" s="138">
        <f t="shared" si="1"/>
        <v>47907</v>
      </c>
      <c r="P9" s="138">
        <f t="shared" si="2"/>
        <v>12930</v>
      </c>
      <c r="Q9" s="138">
        <f t="shared" si="3"/>
        <v>539900</v>
      </c>
      <c r="R9" s="138">
        <f t="shared" si="4"/>
        <v>117450</v>
      </c>
      <c r="S9" s="139"/>
      <c r="T9" s="139"/>
      <c r="U9" s="140"/>
      <c r="AK9" s="6" t="s">
        <v>98</v>
      </c>
      <c r="AM9" s="2">
        <v>64.902653999999998</v>
      </c>
      <c r="AN9" s="2">
        <v>88.146575999999996</v>
      </c>
      <c r="AO9" s="2">
        <v>90.721592999999999</v>
      </c>
      <c r="AP9" s="2">
        <v>111.86424</v>
      </c>
      <c r="AQ9" s="2">
        <v>102.802014</v>
      </c>
      <c r="AR9" s="2">
        <v>102.69504000000001</v>
      </c>
      <c r="AS9" s="2">
        <v>110.618757</v>
      </c>
      <c r="AT9" s="2">
        <v>70.350686999999994</v>
      </c>
      <c r="AU9" s="2">
        <v>51.576749999999997</v>
      </c>
      <c r="AV9" s="2">
        <v>75.798720000000003</v>
      </c>
      <c r="AW9" s="2">
        <v>73.3536</v>
      </c>
      <c r="AX9" s="2">
        <v>60.638976</v>
      </c>
      <c r="BA9" s="2">
        <v>4</v>
      </c>
      <c r="BB9" s="2">
        <f>FLOOR(((IF((0+C26)&lt;=200, 910, IF((0+C26)&lt;=400, 1600, 7300)))+(INT(IF((0+C26)&lt;=200, (0+C26)*120, IF((0+C26)&lt;=400, 24000+((0+C26)-200)*214.6, 66920+((0+C26)-400)*307.3))))+(INT((0+C26)*9))+(INT((0+C26)*5)))+ROUND(((IF((0+C26)&lt;=200, 910, IF((0+C26)&lt;=400, 1600, 7300)))+(INT(IF((0+C26)&lt;=200, (0+C26)*120, IF((0+C26)&lt;=400, 24000+((0+C26)-200)*214.6, 66920+((0+C26)-400)*307.3))))+(INT((0+C26)*9))+(INT((0+C26)*5)))*0.1,0)+FLOOR(((IF((0+C26)&lt;=200, 910, IF((0+C26)&lt;=400, 1600, 7300)))+(INT(IF((0+C26)&lt;=200, (0+C26)*120, IF((0+C26)&lt;=400, 24000+((0+C26)-200)*214.6, 66920+((0+C26)-400)*307.3))))+(INT((0+C26)*9))+(INT((0+C26)*5)))*0.027,10),10)</f>
        <v>422450</v>
      </c>
      <c r="BC9" s="2">
        <f>FLOOR(((IF(MAX(0+C26-C40,0)&lt;=200, 910, IF(MAX(0+C26-C40,0)&lt;=400, 1600, 7300)))+(INT(IF(MAX(0+C26-C40,0)&lt;=200, MAX(0+C26-C40,0)*120, IF(MAX(0+C26-C40,0)&lt;=400, 24000+(MAX(0+C26-C40,0)-200)*214.6, 66920+(MAX(0+C26-C40,0)-400)*307.3))))+(INT(MAX(0+C26-C40,0)*9))+(INT(MAX(0+C26-C40,0)*5)))+ROUND(((IF(MAX(0+C26-C40,0)&lt;=200, 910, IF(MAX(0+C26-C40,0)&lt;=400, 1600, 7300)))+(INT(IF(MAX(0+C26-C40,0)&lt;=200, MAX(0+C26-C40,0)*120, IF(MAX(0+C26-C40,0)&lt;=400, 24000+(MAX(0+C26-C40,0)-200)*214.6, 66920+(MAX(0+C26-C40,0)-400)*307.3))))+(INT(MAX(0+C26-C40,0)*9))+(INT(MAX(0+C26-C40,0)*5)))*0.1,0)+FLOOR(((IF(MAX(0+C26-C40,0)&lt;=200, 910, IF(MAX(0+C26-C40,0)&lt;=400, 1600, 7300)))+(INT(IF(MAX(0+C26-C40,0)&lt;=200, MAX(0+C26-C40,0)*120, IF(MAX(0+C26-C40,0)&lt;=400, 24000+(MAX(0+C26-C40,0)-200)*214.6, 66920+(MAX(0+C26-C40,0)-400)*307.3))))+(INT(MAX(0+C26-C40,0)*9))+(INT(MAX(0+C26-C40,0)*5)))*0.027,10),10)</f>
        <v>422450</v>
      </c>
      <c r="BD9" s="2">
        <f>FLOOR((($C$170*3)+(ROUNDDOWN(0*42.51%*125.8 + 0*27.79%*153.8 + 0*29.7%*172.4 + C26*30%*125.8 + C26*30%*153.8 + C26*40%*172.4, 0))+(INT((0+C26)*9))+(INT((0+C26)*5)))+ROUND((($C$170*3)+(ROUNDDOWN(0*42.51%*125.8 + 0*27.79%*153.8 + 0*29.7%*172.4 + C26*30%*125.8 + C26*30%*153.8 + C26*40%*172.4, 0))+(INT((0+C26)*9))+(INT((0+C26)*5)))*0.1,0)+FLOOR((($C$170*3)+(ROUNDDOWN(0*42.51%*125.8 + 0*27.79%*153.8 + 0*29.7%*172.4 + C26*30%*125.8 + C26*30%*153.8 + C26*40%*172.4, 0))+(INT((0+C26)*9))+(INT((0+C26)*5)))*0.027,10),10)</f>
        <v>262420</v>
      </c>
      <c r="BE9" s="2">
        <f>FLOOR((($C$170*3)+(ROUNDDOWN(MAX(0*42.51% + C26*30% - C40*2.6448%,0)*125.8 + MAX(0*27.79% + C26*30% - C40*86.8176%,0)*153.8 + MAX(0*29.7% + C26*40% - C40*10.5375%,0)*172.4,0))+(INT(MAX(0+C26-C40,0)*9))+(INT(MAX(0+C26-C40,0)*5)))+ROUND((($C$170*3)+(ROUNDDOWN(MAX(0*42.51% + C26*30% - C40*2.6448%,0)*125.8 + MAX(0*27.79% + C26*30% - C40*86.8176%,0)*153.8 + MAX(0*29.7% + C26*40% - C40*10.5375%,0)*172.4,0))+(INT(MAX(0+C26-C40,0)*9))+(INT(MAX(0+C26-C40,0)*5)))*0.1,0)+FLOOR((($C$170*3)+(ROUNDDOWN(MAX(0*42.51% + C26*30% - C40*2.6448%,0)*125.8 + MAX(0*27.79% + C26*30% - C40*86.8176%,0)*153.8 + MAX(0*29.7% + C26*40% - C40*10.5375%,0)*172.4,0))+(INT(MAX(0+C26-C40,0)*9))+(INT(MAX(0+C26-C40,0)*5)))*0.027,10),10)</f>
        <v>262420</v>
      </c>
    </row>
    <row r="10" spans="2:57" s="1" customFormat="1" ht="16.5" customHeight="1">
      <c r="B10" s="2" t="s">
        <v>398</v>
      </c>
      <c r="H10" s="137"/>
      <c r="I10" s="2">
        <v>5</v>
      </c>
      <c r="J10" s="2">
        <f>IF((Sheet2!G54+C27)&lt;=200, 910, IF((Sheet2!G54+C27)&lt;=400, 1600, 7300))</f>
        <v>7300</v>
      </c>
      <c r="K10" s="138">
        <f>INT(IF((Sheet2!G54+C27)&lt;=200, (Sheet2!G54+C27)*120, IF((Sheet2!G54+C27)&lt;=400, 24000+((Sheet2!G54+C27)-200)*214.6, 66920+((Sheet2!G54+C27)-400)*307.3)))</f>
        <v>381632</v>
      </c>
      <c r="L10" s="138">
        <f>INT((Sheet2!G54+C27)*9)</f>
        <v>12817</v>
      </c>
      <c r="M10" s="138">
        <f>INT((Sheet2!G54+C27)*5)</f>
        <v>7120</v>
      </c>
      <c r="N10" s="138">
        <f t="shared" si="0"/>
        <v>408869</v>
      </c>
      <c r="O10" s="138">
        <f t="shared" si="1"/>
        <v>40887</v>
      </c>
      <c r="P10" s="138">
        <f t="shared" si="2"/>
        <v>11030</v>
      </c>
      <c r="Q10" s="138">
        <f t="shared" si="3"/>
        <v>460780</v>
      </c>
      <c r="R10" s="138">
        <f t="shared" si="4"/>
        <v>67640</v>
      </c>
      <c r="S10" s="139"/>
      <c r="T10" s="139"/>
      <c r="U10" s="140"/>
      <c r="AK10" s="6" t="s">
        <v>96</v>
      </c>
      <c r="AM10" s="2">
        <v>68.455719000000002</v>
      </c>
      <c r="AN10" s="2">
        <v>84.081564</v>
      </c>
      <c r="AO10" s="2">
        <v>90.484722000000005</v>
      </c>
      <c r="AP10" s="2">
        <v>105.21657</v>
      </c>
      <c r="AQ10" s="2">
        <v>96.643367999999995</v>
      </c>
      <c r="AR10" s="2">
        <v>97.651979999999995</v>
      </c>
      <c r="AS10" s="2">
        <v>107.30256300000001</v>
      </c>
      <c r="AT10" s="2">
        <v>70.113816</v>
      </c>
      <c r="AU10" s="2">
        <v>59.14134</v>
      </c>
      <c r="AV10" s="2">
        <v>74.140623000000005</v>
      </c>
      <c r="AW10" s="2">
        <v>71.748990000000006</v>
      </c>
      <c r="AX10" s="2">
        <v>61.112718000000001</v>
      </c>
      <c r="BA10" s="2">
        <v>5</v>
      </c>
      <c r="BB10" s="2">
        <f>FLOOR(((IF((0+C27)&lt;=200, 910, IF((0+C27)&lt;=400, 1600, 7300)))+(INT(IF((0+C27)&lt;=200, (0+C27)*120, IF((0+C27)&lt;=400, 24000+((0+C27)-200)*214.6, 66920+((0+C27)-400)*307.3))))+(INT((0+C27)*9))+(INT((0+C27)*5)))+ROUND(((IF((0+C27)&lt;=200, 910, IF((0+C27)&lt;=400, 1600, 7300)))+(INT(IF((0+C27)&lt;=200, (0+C27)*120, IF((0+C27)&lt;=400, 24000+((0+C27)-200)*214.6, 66920+((0+C27)-400)*307.3))))+(INT((0+C27)*9))+(INT((0+C27)*5)))*0.1,0)+FLOOR(((IF((0+C27)&lt;=200, 910, IF((0+C27)&lt;=400, 1600, 7300)))+(INT(IF((0+C27)&lt;=200, (0+C27)*120, IF((0+C27)&lt;=400, 24000+((0+C27)-200)*214.6, 66920+((0+C27)-400)*307.3))))+(INT((0+C27)*9))+(INT((0+C27)*5)))*0.027,10),10)</f>
        <v>393140</v>
      </c>
      <c r="BC10" s="2">
        <f>FLOOR(((IF(MAX(0+C27-C41,0)&lt;=200, 910, IF(MAX(0+C27-C41,0)&lt;=400, 1600, 7300)))+(INT(IF(MAX(0+C27-C41,0)&lt;=200, MAX(0+C27-C41,0)*120, IF(MAX(0+C27-C41,0)&lt;=400, 24000+(MAX(0+C27-C41,0)-200)*214.6, 66920+(MAX(0+C27-C41,0)-400)*307.3))))+(INT(MAX(0+C27-C41,0)*9))+(INT(MAX(0+C27-C41,0)*5)))+ROUND(((IF(MAX(0+C27-C41,0)&lt;=200, 910, IF(MAX(0+C27-C41,0)&lt;=400, 1600, 7300)))+(INT(IF(MAX(0+C27-C41,0)&lt;=200, MAX(0+C27-C41,0)*120, IF(MAX(0+C27-C41,0)&lt;=400, 24000+(MAX(0+C27-C41,0)-200)*214.6, 66920+(MAX(0+C27-C41,0)-400)*307.3))))+(INT(MAX(0+C27-C41,0)*9))+(INT(MAX(0+C27-C41,0)*5)))*0.1,0)+FLOOR(((IF(MAX(0+C27-C41,0)&lt;=200, 910, IF(MAX(0+C27-C41,0)&lt;=400, 1600, 7300)))+(INT(IF(MAX(0+C27-C41,0)&lt;=200, MAX(0+C27-C41,0)*120, IF(MAX(0+C27-C41,0)&lt;=400, 24000+(MAX(0+C27-C41,0)-200)*214.6, 66920+(MAX(0+C27-C41,0)-400)*307.3))))+(INT(MAX(0+C27-C41,0)*9))+(INT(MAX(0+C27-C41,0)*5)))*0.027,10),10)</f>
        <v>393140</v>
      </c>
      <c r="BD10" s="2">
        <f>FLOOR((($C$170*3)+(ROUNDDOWN(0*38.44%*125.8 + 0*30.44%*153.8 + 0*31.12%*172.4 + C27*30%*125.8 + C27*30%*153.8 + C27*40%*172.4, 0))+(INT((0+C27)*9))+(INT((0+C27)*5)))+ROUND((($C$170*3)+(ROUNDDOWN(0*38.44%*125.8 + 0*30.44%*153.8 + 0*31.12%*172.4 + C27*30%*125.8 + C27*30%*153.8 + C27*40%*172.4, 0))+(INT((0+C27)*9))+(INT((0+C27)*5)))*0.1,0)+FLOOR((($C$170*3)+(ROUNDDOWN(0*38.44%*125.8 + 0*30.44%*153.8 + 0*31.12%*172.4 + C27*30%*125.8 + C27*30%*153.8 + C27*40%*172.4, 0))+(INT((0+C27)*9))+(INT((0+C27)*5)))*0.027,10),10)</f>
        <v>247210</v>
      </c>
      <c r="BE10" s="2">
        <f>FLOOR((($C$170*3)+(ROUNDDOWN(MAX(0*38.44% + C27*30% - C41*4.1831%,0)*125.8 + MAX(0*30.44% + C27*30% - C41*84.4735%,0)*153.8 + MAX(0*31.12% + C27*40% - C41*11.3434%,0)*172.4,0))+(INT(MAX(0+C27-C41,0)*9))+(INT(MAX(0+C27-C41,0)*5)))+ROUND((($C$170*3)+(ROUNDDOWN(MAX(0*38.44% + C27*30% - C41*4.1831%,0)*125.8 + MAX(0*30.44% + C27*30% - C41*84.4735%,0)*153.8 + MAX(0*31.12% + C27*40% - C41*11.3434%,0)*172.4,0))+(INT(MAX(0+C27-C41,0)*9))+(INT(MAX(0+C27-C41,0)*5)))*0.1,0)+FLOOR((($C$170*3)+(ROUNDDOWN(MAX(0*38.44% + C27*30% - C41*4.1831%,0)*125.8 + MAX(0*30.44% + C27*30% - C41*84.4735%,0)*153.8 + MAX(0*31.12% + C27*40% - C41*11.3434%,0)*172.4,0))+(INT(MAX(0+C27-C41,0)*9))+(INT(MAX(0+C27-C41,0)*5)))*0.027,10),10)</f>
        <v>247210</v>
      </c>
    </row>
    <row r="11" spans="2:57" s="1" customFormat="1" ht="16.5" customHeight="1">
      <c r="B11" s="2" t="s">
        <v>399</v>
      </c>
      <c r="H11" s="137"/>
      <c r="I11" s="2">
        <v>6</v>
      </c>
      <c r="J11" s="2">
        <f>IF((Sheet2!H54+C28)&lt;=200, 910, IF((Sheet2!H54+C28)&lt;=400, 1600, 7300))</f>
        <v>7300</v>
      </c>
      <c r="K11" s="138">
        <f>INT(IF((Sheet2!H54+C28)&lt;=200, (Sheet2!H54+C28)*120, IF((Sheet2!H54+C28)&lt;=400, 24000+((Sheet2!H54+C28)-200)*214.6, 66920+((Sheet2!H54+C28)-400)*307.3)))</f>
        <v>388753</v>
      </c>
      <c r="L11" s="138">
        <f>INT((Sheet2!H54+C28)*9)</f>
        <v>13025</v>
      </c>
      <c r="M11" s="138">
        <f>INT((Sheet2!H54+C28)*5)</f>
        <v>7236</v>
      </c>
      <c r="N11" s="138">
        <f t="shared" si="0"/>
        <v>416314</v>
      </c>
      <c r="O11" s="138">
        <f t="shared" si="1"/>
        <v>41631</v>
      </c>
      <c r="P11" s="138">
        <f t="shared" si="2"/>
        <v>11240</v>
      </c>
      <c r="Q11" s="138">
        <f t="shared" si="3"/>
        <v>469180</v>
      </c>
      <c r="R11" s="138">
        <f t="shared" si="4"/>
        <v>46250</v>
      </c>
      <c r="S11" s="139"/>
      <c r="T11" s="139"/>
      <c r="U11" s="140"/>
      <c r="AK11" s="6" t="s">
        <v>106</v>
      </c>
      <c r="AM11" s="2">
        <v>68.455719000000002</v>
      </c>
      <c r="AN11" s="2">
        <v>84.081564</v>
      </c>
      <c r="AO11" s="2">
        <v>90.484722000000005</v>
      </c>
      <c r="AP11" s="2">
        <v>105.21657</v>
      </c>
      <c r="AQ11" s="2">
        <v>96.643367999999995</v>
      </c>
      <c r="AR11" s="2">
        <v>97.651979999999995</v>
      </c>
      <c r="AS11" s="2">
        <v>107.30256300000001</v>
      </c>
      <c r="AT11" s="2">
        <v>70.113816</v>
      </c>
      <c r="AU11" s="2">
        <v>59.14134</v>
      </c>
      <c r="AV11" s="2">
        <v>74.140623000000005</v>
      </c>
      <c r="AW11" s="2">
        <v>71.748990000000006</v>
      </c>
      <c r="AX11" s="2">
        <v>61.112718000000001</v>
      </c>
      <c r="BA11" s="2">
        <v>6</v>
      </c>
      <c r="BB11" s="2">
        <f>FLOOR(((IF((0+C28)&lt;=200, 910, IF((0+C28)&lt;=400, 1600, 7300)))+(INT(IF((0+C28)&lt;=200, (0+C28)*120, IF((0+C28)&lt;=400, 24000+((0+C28)-200)*214.6, 66920+((0+C28)-400)*307.3))))+(INT((0+C28)*9))+(INT((0+C28)*5)))+ROUND(((IF((0+C28)&lt;=200, 910, IF((0+C28)&lt;=400, 1600, 7300)))+(INT(IF((0+C28)&lt;=200, (0+C28)*120, IF((0+C28)&lt;=400, 24000+((0+C28)-200)*214.6, 66920+((0+C28)-400)*307.3))))+(INT((0+C28)*9))+(INT((0+C28)*5)))*0.1,0)+FLOOR(((IF((0+C28)&lt;=200, 910, IF((0+C28)&lt;=400, 1600, 7300)))+(INT(IF((0+C28)&lt;=200, (0+C28)*120, IF((0+C28)&lt;=400, 24000+((0+C28)-200)*214.6, 66920+((0+C28)-400)*307.3))))+(INT((0+C28)*9))+(INT((0+C28)*5)))*0.027,10),10)</f>
        <v>422930</v>
      </c>
      <c r="BC11" s="2">
        <f>FLOOR(((IF(MAX(0+C28-C42,0)&lt;=200, 910, IF(MAX(0+C28-C42,0)&lt;=400, 1600, 7300)))+(INT(IF(MAX(0+C28-C42,0)&lt;=200, MAX(0+C28-C42,0)*120, IF(MAX(0+C28-C42,0)&lt;=400, 24000+(MAX(0+C28-C42,0)-200)*214.6, 66920+(MAX(0+C28-C42,0)-400)*307.3))))+(INT(MAX(0+C28-C42,0)*9))+(INT(MAX(0+C28-C42,0)*5)))+ROUND(((IF(MAX(0+C28-C42,0)&lt;=200, 910, IF(MAX(0+C28-C42,0)&lt;=400, 1600, 7300)))+(INT(IF(MAX(0+C28-C42,0)&lt;=200, MAX(0+C28-C42,0)*120, IF(MAX(0+C28-C42,0)&lt;=400, 24000+(MAX(0+C28-C42,0)-200)*214.6, 66920+(MAX(0+C28-C42,0)-400)*307.3))))+(INT(MAX(0+C28-C42,0)*9))+(INT(MAX(0+C28-C42,0)*5)))*0.1,0)+FLOOR(((IF(MAX(0+C28-C42,0)&lt;=200, 910, IF(MAX(0+C28-C42,0)&lt;=400, 1600, 7300)))+(INT(IF(MAX(0+C28-C42,0)&lt;=200, MAX(0+C28-C42,0)*120, IF(MAX(0+C28-C42,0)&lt;=400, 24000+(MAX(0+C28-C42,0)-200)*214.6, 66920+(MAX(0+C28-C42,0)-400)*307.3))))+(INT(MAX(0+C28-C42,0)*9))+(INT(MAX(0+C28-C42,0)*5)))*0.027,10),10)</f>
        <v>422930</v>
      </c>
      <c r="BD11" s="2">
        <f>FLOOR((($C$170*3)+(ROUNDDOWN(0*31.92%*138.7 + 0*38.86%*184.7 + 0*29.22%*220.5 + C28*30%*138.7 + C28*30%*184.7 + C28*40%*220.5, 0)+INT(MAX((0+C28)-1000,0)*(736.2-IF((0+C28)=0,0,(ROUNDDOWN(0*31.92%*138.7 + 0*38.86%*184.7 + 0*29.22%*220.5 + C28*30%*138.7 + C28*30%*184.7 + C28*40%*220.5, 0))/(0+C28)))))+(INT((0+C28)*9))+(INT((0+C28)*5)))+ROUND((($C$170*3)+(ROUNDDOWN(0*31.92%*138.7 + 0*38.86%*184.7 + 0*29.22%*220.5 + C28*30%*138.7 + C28*30%*184.7 + C28*40%*220.5, 0)+INT(MAX((0+C28)-1000,0)*(736.2-IF((0+C28)=0,0,(ROUNDDOWN(0*31.92%*138.7 + 0*38.86%*184.7 + 0*29.22%*220.5 + C28*30%*138.7 + C28*30%*184.7 + C28*40%*220.5, 0))/(0+C28)))))+(INT((0+C28)*9))+(INT((0+C28)*5)))*0.1,0)+FLOOR((($C$170*3)+(ROUNDDOWN(0*31.92%*138.7 + 0*38.86%*184.7 + 0*29.22%*220.5 + C28*30%*138.7 + C28*30%*184.7 + C28*40%*220.5, 0)+INT(MAX((0+C28)-1000,0)*(736.2-IF((0+C28)=0,0,(ROUNDDOWN(0*31.92%*138.7 + 0*38.86%*184.7 + 0*29.22%*220.5 + C28*30%*138.7 + C28*30%*184.7 + C28*40%*220.5, 0))/(0+C28)))))+(INT((0+C28)*9))+(INT((0+C28)*5)))*0.027,10),10)</f>
        <v>509280</v>
      </c>
      <c r="BE11" s="2">
        <f>FLOOR((($C$170*3)+(ROUNDDOWN(MAX(0*31.92% + C28*30% - C42*4.7395%,0)*138.7 + MAX(0*38.86% + C28*30% - C42*81.6742%,0)*184.7 + MAX(0*29.22% + C28*40% - C42*13.5862%,0)*220.5,0)+INT(MAX(MAX(0+C28-C42,0)-1000,0)*(736.2-IF(MAX(0+C28-C42,0)=0,0,(ROUNDDOWN(MAX(0*31.92% + C28*30% - C42*4.7395%,0)*138.7 + MAX(0*38.86% + C28*30% - C42*81.6742%,0)*184.7 + MAX(0*29.22% + C28*40% - C42*13.5862%,0)*220.5,0))/MAX(0+C28-C42,0)))))+(INT(MAX(0+C28-C42,0)*9))+(INT(MAX(0+C28-C42,0)*5)))+ROUND((($C$170*3)+(ROUNDDOWN(MAX(0*31.92% + C28*30% - C42*4.7395%,0)*138.7 + MAX(0*38.86% + C28*30% - C42*81.6742%,0)*184.7 + MAX(0*29.22% + C28*40% - C42*13.5862%,0)*220.5,0)+INT(MAX(MAX(0+C28-C42,0)-1000,0)*(736.2-IF(MAX(0+C28-C42,0)=0,0,(ROUNDDOWN(MAX(0*31.92% + C28*30% - C42*4.7395%,0)*138.7 + MAX(0*38.86% + C28*30% - C42*81.6742%,0)*184.7 + MAX(0*29.22% + C28*40% - C42*13.5862%,0)*220.5,0))/MAX(0+C28-C42,0)))))+(INT(MAX(0+C28-C42,0)*9))+(INT(MAX(0+C28-C42,0)*5)))*0.1,0)+FLOOR((($C$170*3)+(ROUNDDOWN(MAX(0*31.92% + C28*30% - C42*4.7395%,0)*138.7 + MAX(0*38.86% + C28*30% - C42*81.6742%,0)*184.7 + MAX(0*29.22% + C28*40% - C42*13.5862%,0)*220.5,0)+INT(MAX(MAX(0+C28-C42,0)-1000,0)*(736.2-IF(MAX(0+C28-C42,0)=0,0,(ROUNDDOWN(MAX(0*31.92% + C28*30% - C42*4.7395%,0)*138.7 + MAX(0*38.86% + C28*30% - C42*81.6742%,0)*184.7 + MAX(0*29.22% + C28*40% - C42*13.5862%,0)*220.5,0))/MAX(0+C28-C42,0)))))+(INT(MAX(0+C28-C42,0)*9))+(INT(MAX(0+C28-C42,0)*5)))*0.027,10),10)</f>
        <v>509280</v>
      </c>
    </row>
    <row r="12" spans="2:57" s="1" customFormat="1" ht="16.5" customHeight="1">
      <c r="H12" s="137"/>
      <c r="I12" s="2">
        <v>7</v>
      </c>
      <c r="J12" s="2">
        <f>IF((Sheet2!I54+C29)&lt;=300, 910, IF((Sheet2!I54+C29)&lt;=450, 1600, 7300))</f>
        <v>7300</v>
      </c>
      <c r="K12" s="2">
        <f>INT(IF((Sheet2!I54+C29)&lt;=300, (Sheet2!I54+C29)*120, IF((Sheet2!I54+C29)&lt;=450, 36000+((Sheet2!I54+C29)-300)*214.6, 68190+((Sheet2!I54+C29)-450)*307.3)))+INT(MAX((Sheet2!I54+C29)-1000,0)*(736.2-307.3))</f>
        <v>811795</v>
      </c>
      <c r="L12" s="138">
        <f>INT((Sheet2!I54+C29)*9)</f>
        <v>16024</v>
      </c>
      <c r="M12" s="138">
        <f>INT((Sheet2!I54+C29)*5)</f>
        <v>8902</v>
      </c>
      <c r="N12" s="138">
        <f t="shared" si="0"/>
        <v>844021</v>
      </c>
      <c r="O12" s="138">
        <f t="shared" si="1"/>
        <v>84402</v>
      </c>
      <c r="P12" s="138">
        <f t="shared" si="2"/>
        <v>22780</v>
      </c>
      <c r="Q12" s="138">
        <f t="shared" si="3"/>
        <v>951200</v>
      </c>
      <c r="R12" s="138">
        <f t="shared" si="4"/>
        <v>69750</v>
      </c>
      <c r="S12" s="139"/>
      <c r="T12" s="139"/>
      <c r="U12" s="140"/>
      <c r="AK12" s="6" t="s">
        <v>102</v>
      </c>
      <c r="AM12" s="2">
        <v>66.323880000000003</v>
      </c>
      <c r="AN12" s="2">
        <v>73.598112</v>
      </c>
      <c r="AO12" s="2">
        <v>90.958464000000006</v>
      </c>
      <c r="AP12" s="2">
        <v>107.96733</v>
      </c>
      <c r="AQ12" s="2">
        <v>94.748400000000004</v>
      </c>
      <c r="AR12" s="2">
        <v>97.651979999999995</v>
      </c>
      <c r="AS12" s="2">
        <v>109.43440200000001</v>
      </c>
      <c r="AT12" s="2">
        <v>73.666881000000004</v>
      </c>
      <c r="AU12" s="2">
        <v>68.769000000000005</v>
      </c>
      <c r="AV12" s="2">
        <v>75.088106999999994</v>
      </c>
      <c r="AW12" s="2">
        <v>72.665909999999997</v>
      </c>
      <c r="AX12" s="2">
        <v>62.770814999999999</v>
      </c>
      <c r="BA12" s="2">
        <v>7</v>
      </c>
      <c r="BB12" s="2">
        <f>FLOOR(((IF((0+C29)&lt;=300, 910, IF((0+C29)&lt;=450, 1600, 7300)))+(INT(IF((0+C29)&lt;=300, (0+C29)*120, IF((0+C29)&lt;=450, 36000+((0+C29)-300)*214.6, 68190+((0+C29)-450)*307.3)))+INT(MAX((0+C29)-1000,0)*(736.2-307.3)))+(INT((0+C29)*9))+(INT((0+C29)*5)))+ROUND(((IF((0+C29)&lt;=300, 910, IF((0+C29)&lt;=450, 1600, 7300)))+(INT(IF((0+C29)&lt;=300, (0+C29)*120, IF((0+C29)&lt;=450, 36000+((0+C29)-300)*214.6, 68190+((0+C29)-450)*307.3)))+INT(MAX((0+C29)-1000,0)*(736.2-307.3)))+(INT((0+C29)*9))+(INT((0+C29)*5)))*0.1,0)+FLOOR(((IF((0+C29)&lt;=300, 910, IF((0+C29)&lt;=450, 1600, 7300)))+(INT(IF((0+C29)&lt;=300, (0+C29)*120, IF((0+C29)&lt;=450, 36000+((0+C29)-300)*214.6, 68190+((0+C29)-450)*307.3)))+INT(MAX((0+C29)-1000,0)*(736.2-307.3)))+(INT((0+C29)*9))+(INT((0+C29)*5)))*0.027,10),10)</f>
        <v>881450</v>
      </c>
      <c r="BC12" s="2">
        <f>FLOOR(((IF(MAX(0+C29-C43,0)&lt;=300, 910, IF(MAX(0+C29-C43,0)&lt;=450, 1600, 7300)))+(INT(IF(MAX(0+C29-C43,0)&lt;=300, MAX(0+C29-C43,0)*120, IF(MAX(0+C29-C43,0)&lt;=450, 36000+(MAX(0+C29-C43,0)-300)*214.6, 68190+(MAX(0+C29-C43,0)-450)*307.3)))+INT(MAX(MAX(0+C29-C43,0)-1000,0)*(736.2-307.3)))+(INT(MAX(0+C29-C43,0)*9))+(INT(MAX(0+C29-C43,0)*5)))+ROUND(((IF(MAX(0+C29-C43,0)&lt;=300, 910, IF(MAX(0+C29-C43,0)&lt;=450, 1600, 7300)))+(INT(IF(MAX(0+C29-C43,0)&lt;=300, MAX(0+C29-C43,0)*120, IF(MAX(0+C29-C43,0)&lt;=450, 36000+(MAX(0+C29-C43,0)-300)*214.6, 68190+(MAX(0+C29-C43,0)-450)*307.3)))+INT(MAX(MAX(0+C29-C43,0)-1000,0)*(736.2-307.3)))+(INT(MAX(0+C29-C43,0)*9))+(INT(MAX(0+C29-C43,0)*5)))*0.1,0)+FLOOR(((IF(MAX(0+C29-C43,0)&lt;=300, 910, IF(MAX(0+C29-C43,0)&lt;=450, 1600, 7300)))+(INT(IF(MAX(0+C29-C43,0)&lt;=300, MAX(0+C29-C43,0)*120, IF(MAX(0+C29-C43,0)&lt;=450, 36000+(MAX(0+C29-C43,0)-300)*214.6, 68190+(MAX(0+C29-C43,0)-450)*307.3)))+INT(MAX(MAX(0+C29-C43,0)-1000,0)*(736.2-307.3)))+(INT(MAX(0+C29-C43,0)*9))+(INT(MAX(0+C29-C43,0)*5)))*0.027,10),10)</f>
        <v>881450</v>
      </c>
      <c r="BD12" s="2">
        <f>FLOOR((($C$170*3)+(ROUNDDOWN(0*26.8%*138.7 + 0*43.76%*184.7 + 0*29.44%*220.5 + C29*30%*138.7 + C29*30%*184.7 + C29*40%*220.5, 0)+INT(MAX((0+C29)-1000,0)*(736.2-IF((0+C29)=0,0,(ROUNDDOWN(0*26.8%*138.7 + 0*43.76%*184.7 + 0*29.44%*220.5 + C29*30%*138.7 + C29*30%*184.7 + C29*40%*220.5, 0))/(0+C29)))))+(INT((0+C29)*9))+(INT((0+C29)*5)))+ROUND((($C$170*3)+(ROUNDDOWN(0*26.8%*138.7 + 0*43.76%*184.7 + 0*29.44%*220.5 + C29*30%*138.7 + C29*30%*184.7 + C29*40%*220.5, 0)+INT(MAX((0+C29)-1000,0)*(736.2-IF((0+C29)=0,0,(ROUNDDOWN(0*26.8%*138.7 + 0*43.76%*184.7 + 0*29.44%*220.5 + C29*30%*138.7 + C29*30%*184.7 + C29*40%*220.5, 0))/(0+C29)))))+(INT((0+C29)*9))+(INT((0+C29)*5)))*0.1,0)+FLOOR((($C$170*3)+(ROUNDDOWN(0*26.8%*138.7 + 0*43.76%*184.7 + 0*29.44%*220.5 + C29*30%*138.7 + C29*30%*184.7 + C29*40%*220.5, 0)+INT(MAX((0+C29)-1000,0)*(736.2-IF((0+C29)=0,0,(ROUNDDOWN(0*26.8%*138.7 + 0*43.76%*184.7 + 0*29.44%*220.5 + C29*30%*138.7 + C29*30%*184.7 + C29*40%*220.5, 0))/(0+C29)))))+(INT((0+C29)*9))+(INT((0+C29)*5)))*0.027,10),10)</f>
        <v>829210</v>
      </c>
      <c r="BE12" s="2">
        <f>FLOOR((($C$170*3)+(ROUNDDOWN(MAX(0*26.8% + C29*30% - C43*3.6986%,0)*138.7 + MAX(0*43.76% + C29*30% - C43*81.8888%,0)*184.7 + MAX(0*29.44% + C29*40% - C43*14.4126%,0)*220.5,0)+INT(MAX(MAX(0+C29-C43,0)-1000,0)*(736.2-IF(MAX(0+C29-C43,0)=0,0,(ROUNDDOWN(MAX(0*26.8% + C29*30% - C43*3.6986%,0)*138.7 + MAX(0*43.76% + C29*30% - C43*81.8888%,0)*184.7 + MAX(0*29.44% + C29*40% - C43*14.4126%,0)*220.5,0))/MAX(0+C29-C43,0)))))+(INT(MAX(0+C29-C43,0)*9))+(INT(MAX(0+C29-C43,0)*5)))+ROUND((($C$170*3)+(ROUNDDOWN(MAX(0*26.8% + C29*30% - C43*3.6986%,0)*138.7 + MAX(0*43.76% + C29*30% - C43*81.8888%,0)*184.7 + MAX(0*29.44% + C29*40% - C43*14.4126%,0)*220.5,0)+INT(MAX(MAX(0+C29-C43,0)-1000,0)*(736.2-IF(MAX(0+C29-C43,0)=0,0,(ROUNDDOWN(MAX(0*26.8% + C29*30% - C43*3.6986%,0)*138.7 + MAX(0*43.76% + C29*30% - C43*81.8888%,0)*184.7 + MAX(0*29.44% + C29*40% - C43*14.4126%,0)*220.5,0))/MAX(0+C29-C43,0)))))+(INT(MAX(0+C29-C43,0)*9))+(INT(MAX(0+C29-C43,0)*5)))*0.1,0)+FLOOR((($C$170*3)+(ROUNDDOWN(MAX(0*26.8% + C29*30% - C43*3.6986%,0)*138.7 + MAX(0*43.76% + C29*30% - C43*81.8888%,0)*184.7 + MAX(0*29.44% + C29*40% - C43*14.4126%,0)*220.5,0)+INT(MAX(MAX(0+C29-C43,0)-1000,0)*(736.2-IF(MAX(0+C29-C43,0)=0,0,(ROUNDDOWN(MAX(0*26.8% + C29*30% - C43*3.6986%,0)*138.7 + MAX(0*43.76% + C29*30% - C43*81.8888%,0)*184.7 + MAX(0*29.44% + C29*40% - C43*14.4126%,0)*220.5,0))/MAX(0+C29-C43,0)))))+(INT(MAX(0+C29-C43,0)*9))+(INT(MAX(0+C29-C43,0)*5)))*0.027,10),10)</f>
        <v>829210</v>
      </c>
    </row>
    <row r="13" spans="2:57" s="1" customFormat="1" ht="16.5" customHeight="1">
      <c r="C13" s="6" t="s">
        <v>400</v>
      </c>
      <c r="H13" s="137"/>
      <c r="I13" s="2">
        <v>8</v>
      </c>
      <c r="J13" s="2">
        <f>IF((Sheet2!J54+C30)&lt;=300, 910, IF((Sheet2!J54+C30)&lt;=450, 1600, 7300))</f>
        <v>7300</v>
      </c>
      <c r="K13" s="2">
        <f>INT(IF((Sheet2!J54+C30)&lt;=300, (Sheet2!J54+C30)*120, IF((Sheet2!J54+C30)&lt;=450, 36000+((Sheet2!J54+C30)-300)*214.6, 68190+((Sheet2!J54+C30)-450)*307.3)))+INT(MAX((Sheet2!J54+C30)-1000,0)*(736.2-307.3))</f>
        <v>1131996</v>
      </c>
      <c r="L13" s="138">
        <f>INT((Sheet2!J54+C30)*9)</f>
        <v>19938</v>
      </c>
      <c r="M13" s="138">
        <f>INT((Sheet2!J54+C30)*5)</f>
        <v>11077</v>
      </c>
      <c r="N13" s="138">
        <f t="shared" si="0"/>
        <v>1170311</v>
      </c>
      <c r="O13" s="138">
        <f t="shared" si="1"/>
        <v>117031</v>
      </c>
      <c r="P13" s="138">
        <f t="shared" si="2"/>
        <v>31590</v>
      </c>
      <c r="Q13" s="138">
        <f t="shared" si="3"/>
        <v>1318930</v>
      </c>
      <c r="R13" s="138">
        <f t="shared" si="4"/>
        <v>69320</v>
      </c>
      <c r="S13" s="139"/>
      <c r="T13" s="139"/>
      <c r="U13" s="140"/>
      <c r="AK13" s="6" t="s">
        <v>110</v>
      </c>
      <c r="AM13" s="2">
        <v>58.954560000000001</v>
      </c>
      <c r="AN13" s="2">
        <v>88.669560000000004</v>
      </c>
      <c r="AO13" s="2">
        <v>102.90729</v>
      </c>
      <c r="AP13" s="2">
        <v>116.65260000000001</v>
      </c>
      <c r="AQ13" s="2">
        <v>108.96066</v>
      </c>
      <c r="AR13" s="2">
        <v>107.7381</v>
      </c>
      <c r="AS13" s="2">
        <v>105.80238</v>
      </c>
      <c r="AT13" s="2">
        <v>80.799329999999998</v>
      </c>
      <c r="AU13" s="2">
        <v>62.910899999999998</v>
      </c>
      <c r="AV13" s="2">
        <v>75.27234</v>
      </c>
      <c r="AW13" s="2">
        <v>72.844200000000001</v>
      </c>
      <c r="AX13" s="2">
        <v>55.533090000000001</v>
      </c>
      <c r="BA13" s="2">
        <v>8</v>
      </c>
      <c r="BB13" s="2">
        <f>FLOOR(((IF((0+C30)&lt;=300, 910, IF((0+C30)&lt;=450, 1600, 7300)))+(INT(IF((0+C30)&lt;=300, (0+C30)*120, IF((0+C30)&lt;=450, 36000+((0+C30)-300)*214.6, 68190+((0+C30)-450)*307.3)))+INT(MAX((0+C30)-1000,0)*(736.2-307.3)))+(INT((0+C30)*9))+(INT((0+C30)*5)))+ROUND(((IF((0+C30)&lt;=300, 910, IF((0+C30)&lt;=450, 1600, 7300)))+(INT(IF((0+C30)&lt;=300, (0+C30)*120, IF((0+C30)&lt;=450, 36000+((0+C30)-300)*214.6, 68190+((0+C30)-450)*307.3)))+INT(MAX((0+C30)-1000,0)*(736.2-307.3)))+(INT((0+C30)*9))+(INT((0+C30)*5)))*0.1,0)+FLOOR(((IF((0+C30)&lt;=300, 910, IF((0+C30)&lt;=450, 1600, 7300)))+(INT(IF((0+C30)&lt;=300, (0+C30)*120, IF((0+C30)&lt;=450, 36000+((0+C30)-300)*214.6, 68190+((0+C30)-450)*307.3)))+INT(MAX((0+C30)-1000,0)*(736.2-307.3)))+(INT((0+C30)*9))+(INT((0+C30)*5)))*0.027,10),10)</f>
        <v>1249610</v>
      </c>
      <c r="BC13" s="2">
        <f>FLOOR(((IF(MAX(0+C30-C44,0)&lt;=300, 910, IF(MAX(0+C30-C44,0)&lt;=450, 1600, 7300)))+(INT(IF(MAX(0+C30-C44,0)&lt;=300, MAX(0+C30-C44,0)*120, IF(MAX(0+C30-C44,0)&lt;=450, 36000+(MAX(0+C30-C44,0)-300)*214.6, 68190+(MAX(0+C30-C44,0)-450)*307.3)))+INT(MAX(MAX(0+C30-C44,0)-1000,0)*(736.2-307.3)))+(INT(MAX(0+C30-C44,0)*9))+(INT(MAX(0+C30-C44,0)*5)))+ROUND(((IF(MAX(0+C30-C44,0)&lt;=300, 910, IF(MAX(0+C30-C44,0)&lt;=450, 1600, 7300)))+(INT(IF(MAX(0+C30-C44,0)&lt;=300, MAX(0+C30-C44,0)*120, IF(MAX(0+C30-C44,0)&lt;=450, 36000+(MAX(0+C30-C44,0)-300)*214.6, 68190+(MAX(0+C30-C44,0)-450)*307.3)))+INT(MAX(MAX(0+C30-C44,0)-1000,0)*(736.2-307.3)))+(INT(MAX(0+C30-C44,0)*9))+(INT(MAX(0+C30-C44,0)*5)))*0.1,0)+FLOOR(((IF(MAX(0+C30-C44,0)&lt;=300, 910, IF(MAX(0+C30-C44,0)&lt;=450, 1600, 7300)))+(INT(IF(MAX(0+C30-C44,0)&lt;=300, MAX(0+C30-C44,0)*120, IF(MAX(0+C30-C44,0)&lt;=450, 36000+(MAX(0+C30-C44,0)-300)*214.6, 68190+(MAX(0+C30-C44,0)-450)*307.3)))+INT(MAX(MAX(0+C30-C44,0)-1000,0)*(736.2-307.3)))+(INT(MAX(0+C30-C44,0)*9))+(INT(MAX(0+C30-C44,0)*5)))*0.027,10),10)</f>
        <v>1249610</v>
      </c>
      <c r="BD13" s="2">
        <f>FLOOR((($C$170*3)+(ROUNDDOWN(0*26.88%*138.7 + 0*45.15%*184.7 + 0*27.97%*220.5 + C30*30%*138.7 + C30*30%*184.7 + C30*40%*220.5, 0)+INT(MAX((0+C30)-1000,0)*(736.2-IF((0+C30)=0,0,(ROUNDDOWN(0*26.88%*138.7 + 0*45.15%*184.7 + 0*27.97%*220.5 + C30*30%*138.7 + C30*30%*184.7 + C30*40%*220.5, 0))/(0+C30)))))+(INT((0+C30)*9))+(INT((0+C30)*5)))+ROUND((($C$170*3)+(ROUNDDOWN(0*26.88%*138.7 + 0*45.15%*184.7 + 0*27.97%*220.5 + C30*30%*138.7 + C30*30%*184.7 + C30*40%*220.5, 0)+INT(MAX((0+C30)-1000,0)*(736.2-IF((0+C30)=0,0,(ROUNDDOWN(0*26.88%*138.7 + 0*45.15%*184.7 + 0*27.97%*220.5 + C30*30%*138.7 + C30*30%*184.7 + C30*40%*220.5, 0))/(0+C30)))))+(INT((0+C30)*9))+(INT((0+C30)*5)))*0.1,0)+FLOOR((($C$170*3)+(ROUNDDOWN(0*26.88%*138.7 + 0*45.15%*184.7 + 0*27.97%*220.5 + C30*30%*138.7 + C30*30%*184.7 + C30*40%*220.5, 0)+INT(MAX((0+C30)-1000,0)*(736.2-IF((0+C30)=0,0,(ROUNDDOWN(0*26.88%*138.7 + 0*45.15%*184.7 + 0*27.97%*220.5 + C30*30%*138.7 + C30*30%*184.7 + C30*40%*220.5, 0))/(0+C30)))))+(INT((0+C30)*9))+(INT((0+C30)*5)))*0.027,10),10)</f>
        <v>1197370</v>
      </c>
      <c r="BE13" s="2">
        <f>FLOOR((($C$170*3)+(ROUNDDOWN(MAX(0*26.88% + C30*30% - C44*3.2913%,0)*138.7 + MAX(0*45.15% + C30*30% - C44*85.89%,0)*184.7 + MAX(0*27.97% + C30*40% - C44*10.8187%,0)*220.5,0)+INT(MAX(MAX(0+C30-C44,0)-1000,0)*(736.2-IF(MAX(0+C30-C44,0)=0,0,(ROUNDDOWN(MAX(0*26.88% + C30*30% - C44*3.2913%,0)*138.7 + MAX(0*45.15% + C30*30% - C44*85.89%,0)*184.7 + MAX(0*27.97% + C30*40% - C44*10.8187%,0)*220.5,0))/MAX(0+C30-C44,0)))))+(INT(MAX(0+C30-C44,0)*9))+(INT(MAX(0+C30-C44,0)*5)))+ROUND((($C$170*3)+(ROUNDDOWN(MAX(0*26.88% + C30*30% - C44*3.2913%,0)*138.7 + MAX(0*45.15% + C30*30% - C44*85.89%,0)*184.7 + MAX(0*27.97% + C30*40% - C44*10.8187%,0)*220.5,0)+INT(MAX(MAX(0+C30-C44,0)-1000,0)*(736.2-IF(MAX(0+C30-C44,0)=0,0,(ROUNDDOWN(MAX(0*26.88% + C30*30% - C44*3.2913%,0)*138.7 + MAX(0*45.15% + C30*30% - C44*85.89%,0)*184.7 + MAX(0*27.97% + C30*40% - C44*10.8187%,0)*220.5,0))/MAX(0+C30-C44,0)))))+(INT(MAX(0+C30-C44,0)*9))+(INT(MAX(0+C30-C44,0)*5)))*0.1,0)+FLOOR((($C$170*3)+(ROUNDDOWN(MAX(0*26.88% + C30*30% - C44*3.2913%,0)*138.7 + MAX(0*45.15% + C30*30% - C44*85.89%,0)*184.7 + MAX(0*27.97% + C30*40% - C44*10.8187%,0)*220.5,0)+INT(MAX(MAX(0+C30-C44,0)-1000,0)*(736.2-IF(MAX(0+C30-C44,0)=0,0,(ROUNDDOWN(MAX(0*26.88% + C30*30% - C44*3.2913%,0)*138.7 + MAX(0*45.15% + C30*30% - C44*85.89%,0)*184.7 + MAX(0*27.97% + C30*40% - C44*10.8187%,0)*220.5,0))/MAX(0+C30-C44,0)))))+(INT(MAX(0+C30-C44,0)*9))+(INT(MAX(0+C30-C44,0)*5)))*0.027,10),10)</f>
        <v>1197370</v>
      </c>
    </row>
    <row r="14" spans="2:57" s="1" customFormat="1" ht="16.5" customHeight="1">
      <c r="B14" s="6" t="s">
        <v>375</v>
      </c>
      <c r="D14" s="6" t="s">
        <v>376</v>
      </c>
      <c r="H14" s="137"/>
      <c r="I14" s="2">
        <v>9</v>
      </c>
      <c r="J14" s="2">
        <f>IF((Sheet2!K54+C31)&lt;=200, 910, IF((Sheet2!K54+C31)&lt;=400, 1600, 7300))</f>
        <v>7300</v>
      </c>
      <c r="K14" s="138">
        <f>INT(IF((Sheet2!K54+C31)&lt;=200, (Sheet2!K54+C31)*120, IF((Sheet2!K54+C31)&lt;=400, 24000+((Sheet2!K54+C31)-200)*214.6, 66920+((Sheet2!K54+C31)-400)*307.3)))</f>
        <v>594424</v>
      </c>
      <c r="L14" s="138">
        <f>INT((Sheet2!K54+C31)*9)</f>
        <v>19049</v>
      </c>
      <c r="M14" s="138">
        <f>INT((Sheet2!K54+C31)*5)</f>
        <v>10582</v>
      </c>
      <c r="N14" s="138">
        <f t="shared" si="0"/>
        <v>631355</v>
      </c>
      <c r="O14" s="138">
        <f t="shared" si="1"/>
        <v>63136</v>
      </c>
      <c r="P14" s="138">
        <f t="shared" si="2"/>
        <v>17040</v>
      </c>
      <c r="Q14" s="138">
        <f t="shared" si="3"/>
        <v>711530</v>
      </c>
      <c r="R14" s="138">
        <f t="shared" si="4"/>
        <v>55290</v>
      </c>
      <c r="S14" s="139"/>
      <c r="T14" s="139"/>
      <c r="U14" s="140"/>
      <c r="AK14" s="6" t="s">
        <v>112</v>
      </c>
      <c r="AM14" s="2">
        <v>56.585850000000001</v>
      </c>
      <c r="AN14" s="2">
        <v>96.038880000000006</v>
      </c>
      <c r="AO14" s="2">
        <v>94.222020000000001</v>
      </c>
      <c r="AP14" s="2">
        <v>118.1808</v>
      </c>
      <c r="AQ14" s="2">
        <v>108.17109000000001</v>
      </c>
      <c r="AR14" s="2">
        <v>108.5022</v>
      </c>
      <c r="AS14" s="2">
        <v>104.22324</v>
      </c>
      <c r="AT14" s="2">
        <v>79.220190000000002</v>
      </c>
      <c r="AU14" s="2">
        <v>57.816899999999997</v>
      </c>
      <c r="AV14" s="2">
        <v>78.167429999999996</v>
      </c>
      <c r="AW14" s="2">
        <v>75.645899999999997</v>
      </c>
      <c r="AX14" s="2">
        <v>54.480330000000002</v>
      </c>
      <c r="BA14" s="2">
        <v>9</v>
      </c>
      <c r="BB14" s="2">
        <f>FLOOR(((IF((0+C31)&lt;=200, 910, IF((0+C31)&lt;=400, 1600, 7300)))+(INT(IF((0+C31)&lt;=200, (0+C31)*120, IF((0+C31)&lt;=400, 24000+((0+C31)-200)*214.6, 66920+((0+C31)-400)*307.3))))+(INT((0+C31)*9))+(INT((0+C31)*5)))+ROUND(((IF((0+C31)&lt;=200, 910, IF((0+C31)&lt;=400, 1600, 7300)))+(INT(IF((0+C31)&lt;=200, (0+C31)*120, IF((0+C31)&lt;=400, 24000+((0+C31)-200)*214.6, 66920+((0+C31)-400)*307.3))))+(INT((0+C31)*9))+(INT((0+C31)*5)))*0.1,0)+FLOOR(((IF((0+C31)&lt;=200, 910, IF((0+C31)&lt;=400, 1600, 7300)))+(INT(IF((0+C31)&lt;=200, (0+C31)*120, IF((0+C31)&lt;=400, 24000+((0+C31)-200)*214.6, 66920+((0+C31)-400)*307.3))))+(INT((0+C31)*9))+(INT((0+C31)*5)))*0.027,10),10)</f>
        <v>656240</v>
      </c>
      <c r="BC14" s="2">
        <f>FLOOR(((IF(MAX(0+C31-C45,0)&lt;=200, 910, IF(MAX(0+C31-C45,0)&lt;=400, 1600, 7300)))+(INT(IF(MAX(0+C31-C45,0)&lt;=200, MAX(0+C31-C45,0)*120, IF(MAX(0+C31-C45,0)&lt;=400, 24000+(MAX(0+C31-C45,0)-200)*214.6, 66920+(MAX(0+C31-C45,0)-400)*307.3))))+(INT(MAX(0+C31-C45,0)*9))+(INT(MAX(0+C31-C45,0)*5)))+ROUND(((IF(MAX(0+C31-C45,0)&lt;=200, 910, IF(MAX(0+C31-C45,0)&lt;=400, 1600, 7300)))+(INT(IF(MAX(0+C31-C45,0)&lt;=200, MAX(0+C31-C45,0)*120, IF(MAX(0+C31-C45,0)&lt;=400, 24000+(MAX(0+C31-C45,0)-200)*214.6, 66920+(MAX(0+C31-C45,0)-400)*307.3))))+(INT(MAX(0+C31-C45,0)*9))+(INT(MAX(0+C31-C45,0)*5)))*0.1,0)+FLOOR(((IF(MAX(0+C31-C45,0)&lt;=200, 910, IF(MAX(0+C31-C45,0)&lt;=400, 1600, 7300)))+(INT(IF(MAX(0+C31-C45,0)&lt;=200, MAX(0+C31-C45,0)*120, IF(MAX(0+C31-C45,0)&lt;=400, 24000+(MAX(0+C31-C45,0)-200)*214.6, 66920+(MAX(0+C31-C45,0)-400)*307.3))))+(INT(MAX(0+C31-C45,0)*9))+(INT(MAX(0+C31-C45,0)*5)))*0.027,10),10)</f>
        <v>656240</v>
      </c>
      <c r="BD14" s="2">
        <f>FLOOR((($C$170*3)+(ROUNDDOWN(0*30.32%*125.8 + 0*40.48%*153.8 + 0*29.2%*172.4 + C31*30%*125.8 + C31*30%*153.8 + C31*40%*172.4, 0))+(INT((0+C31)*9))+(INT((0+C31)*5)))+ROUND((($C$170*3)+(ROUNDDOWN(0*30.32%*125.8 + 0*40.48%*153.8 + 0*29.2%*172.4 + C31*30%*125.8 + C31*30%*153.8 + C31*40%*172.4, 0))+(INT((0+C31)*9))+(INT((0+C31)*5)))*0.1,0)+FLOOR((($C$170*3)+(ROUNDDOWN(0*30.32%*125.8 + 0*40.48%*153.8 + 0*29.2%*172.4 + C31*30%*125.8 + C31*30%*153.8 + C31*40%*172.4, 0))+(INT((0+C31)*9))+(INT((0+C31)*5)))*0.027,10),10)</f>
        <v>383830</v>
      </c>
      <c r="BE14" s="2">
        <f>FLOOR((($C$170*3)+(ROUNDDOWN(MAX(0*30.32% + C31*30% - C45*2.4481%,0)*125.8 + MAX(0*40.48% + C31*30% - C45*89.5608%,0)*153.8 + MAX(0*29.2% + C31*40% - C45*7.9911%,0)*172.4,0))+(INT(MAX(0+C31-C45,0)*9))+(INT(MAX(0+C31-C45,0)*5)))+ROUND((($C$170*3)+(ROUNDDOWN(MAX(0*30.32% + C31*30% - C45*2.4481%,0)*125.8 + MAX(0*40.48% + C31*30% - C45*89.5608%,0)*153.8 + MAX(0*29.2% + C31*40% - C45*7.9911%,0)*172.4,0))+(INT(MAX(0+C31-C45,0)*9))+(INT(MAX(0+C31-C45,0)*5)))*0.1,0)+FLOOR((($C$170*3)+(ROUNDDOWN(MAX(0*30.32% + C31*30% - C45*2.4481%,0)*125.8 + MAX(0*40.48% + C31*30% - C45*89.5608%,0)*153.8 + MAX(0*29.2% + C31*40% - C45*7.9911%,0)*172.4,0))+(INT(MAX(0+C31-C45,0)*9))+(INT(MAX(0+C31-C45,0)*5)))*0.027,10),10)</f>
        <v>383830</v>
      </c>
    </row>
    <row r="15" spans="2:57" s="1" customFormat="1" ht="16.5" customHeight="1">
      <c r="B15" s="2" t="s">
        <v>401</v>
      </c>
      <c r="C15" s="2">
        <v>910</v>
      </c>
      <c r="D15" s="6" t="s">
        <v>402</v>
      </c>
      <c r="E15" s="2">
        <v>120</v>
      </c>
      <c r="H15" s="137"/>
      <c r="I15" s="2">
        <v>10</v>
      </c>
      <c r="J15" s="2">
        <f>IF((Sheet2!L54+C32)&lt;=200, 910, IF((Sheet2!L54+C32)&lt;=400, 1600, 7300))</f>
        <v>7300</v>
      </c>
      <c r="K15" s="138">
        <f>INT(IF((Sheet2!L54+C32)&lt;=200, (Sheet2!L54+C32)*120, IF((Sheet2!L54+C32)&lt;=400, 24000+((Sheet2!L54+C32)-200)*214.6, 66920+((Sheet2!L54+C32)-400)*307.3)))</f>
        <v>447606</v>
      </c>
      <c r="L15" s="138">
        <f>INT((Sheet2!L54+C32)*9)</f>
        <v>14749</v>
      </c>
      <c r="M15" s="138">
        <f>INT((Sheet2!L54+C32)*5)</f>
        <v>8194</v>
      </c>
      <c r="N15" s="138">
        <f t="shared" si="0"/>
        <v>477849</v>
      </c>
      <c r="O15" s="138">
        <f t="shared" si="1"/>
        <v>47785</v>
      </c>
      <c r="P15" s="138">
        <f t="shared" si="2"/>
        <v>12900</v>
      </c>
      <c r="Q15" s="138">
        <f t="shared" si="3"/>
        <v>538530</v>
      </c>
      <c r="R15" s="138">
        <f t="shared" si="4"/>
        <v>89910</v>
      </c>
      <c r="S15" s="139"/>
      <c r="T15" s="139"/>
      <c r="U15" s="140"/>
      <c r="AK15" s="6" t="s">
        <v>114</v>
      </c>
      <c r="AM15" s="2">
        <v>59.217750000000002</v>
      </c>
      <c r="AN15" s="2">
        <v>88.90728</v>
      </c>
      <c r="AO15" s="2">
        <v>99.485820000000004</v>
      </c>
      <c r="AP15" s="2">
        <v>121.4919</v>
      </c>
      <c r="AQ15" s="2">
        <v>111.85575</v>
      </c>
      <c r="AR15" s="2">
        <v>110.0304</v>
      </c>
      <c r="AS15" s="2">
        <v>113.96127</v>
      </c>
      <c r="AT15" s="2">
        <v>76.851479999999995</v>
      </c>
      <c r="AU15" s="2">
        <v>61.128</v>
      </c>
      <c r="AV15" s="2">
        <v>77.641050000000007</v>
      </c>
      <c r="AW15" s="2">
        <v>75.136499999999998</v>
      </c>
      <c r="AX15" s="2">
        <v>55.796280000000003</v>
      </c>
      <c r="BA15" s="2">
        <v>10</v>
      </c>
      <c r="BB15" s="2">
        <f>FLOOR(((IF((0+C32)&lt;=200, 910, IF((0+C32)&lt;=400, 1600, 7300)))+(INT(IF((0+C32)&lt;=200, (0+C32)*120, IF((0+C32)&lt;=400, 24000+((0+C32)-200)*214.6, 66920+((0+C32)-400)*307.3))))+(INT((0+C32)*9))+(INT((0+C32)*5)))+ROUND(((IF((0+C32)&lt;=200, 910, IF((0+C32)&lt;=400, 1600, 7300)))+(INT(IF((0+C32)&lt;=200, (0+C32)*120, IF((0+C32)&lt;=400, 24000+((0+C32)-200)*214.6, 66920+((0+C32)-400)*307.3))))+(INT((0+C32)*9))+(INT((0+C32)*5)))*0.1,0)+FLOOR(((IF((0+C32)&lt;=200, 910, IF((0+C32)&lt;=400, 1600, 7300)))+(INT(IF((0+C32)&lt;=200, (0+C32)*120, IF((0+C32)&lt;=400, 24000+((0+C32)-200)*214.6, 66920+((0+C32)-400)*307.3))))+(INT((0+C32)*9))+(INT((0+C32)*5)))*0.027,10),10)</f>
        <v>448620</v>
      </c>
      <c r="BC15" s="2">
        <f>FLOOR(((IF(MAX(0+C32-C46,0)&lt;=200, 910, IF(MAX(0+C32-C46,0)&lt;=400, 1600, 7300)))+(INT(IF(MAX(0+C32-C46,0)&lt;=200, MAX(0+C32-C46,0)*120, IF(MAX(0+C32-C46,0)&lt;=400, 24000+(MAX(0+C32-C46,0)-200)*214.6, 66920+(MAX(0+C32-C46,0)-400)*307.3))))+(INT(MAX(0+C32-C46,0)*9))+(INT(MAX(0+C32-C46,0)*5)))+ROUND(((IF(MAX(0+C32-C46,0)&lt;=200, 910, IF(MAX(0+C32-C46,0)&lt;=400, 1600, 7300)))+(INT(IF(MAX(0+C32-C46,0)&lt;=200, MAX(0+C32-C46,0)*120, IF(MAX(0+C32-C46,0)&lt;=400, 24000+(MAX(0+C32-C46,0)-200)*214.6, 66920+(MAX(0+C32-C46,0)-400)*307.3))))+(INT(MAX(0+C32-C46,0)*9))+(INT(MAX(0+C32-C46,0)*5)))*0.1,0)+FLOOR(((IF(MAX(0+C32-C46,0)&lt;=200, 910, IF(MAX(0+C32-C46,0)&lt;=400, 1600, 7300)))+(INT(IF(MAX(0+C32-C46,0)&lt;=200, MAX(0+C32-C46,0)*120, IF(MAX(0+C32-C46,0)&lt;=400, 24000+(MAX(0+C32-C46,0)-200)*214.6, 66920+(MAX(0+C32-C46,0)-400)*307.3))))+(INT(MAX(0+C32-C46,0)*9))+(INT(MAX(0+C32-C46,0)*5)))*0.027,10),10)</f>
        <v>448620</v>
      </c>
      <c r="BD15" s="2">
        <f>FLOOR((($C$170*3)+(ROUNDDOWN(0*42.34%*125.8 + 0*28.1%*153.8 + 0*29.56%*172.4 + C32*30%*125.8 + C32*30%*153.8 + C32*40%*172.4, 0))+(INT((0+C32)*9))+(INT((0+C32)*5)))+ROUND((($C$170*3)+(ROUNDDOWN(0*42.34%*125.8 + 0*28.1%*153.8 + 0*29.56%*172.4 + C32*30%*125.8 + C32*30%*153.8 + C32*40%*172.4, 0))+(INT((0+C32)*9))+(INT((0+C32)*5)))*0.1,0)+FLOOR((($C$170*3)+(ROUNDDOWN(0*42.34%*125.8 + 0*28.1%*153.8 + 0*29.56%*172.4 + C32*30%*125.8 + C32*30%*153.8 + C32*40%*172.4, 0))+(INT((0+C32)*9))+(INT((0+C32)*5)))*0.027,10),10)</f>
        <v>276020</v>
      </c>
      <c r="BE15" s="2">
        <f>FLOOR((($C$170*3)+(ROUNDDOWN(MAX(0*42.34% + C32*30% - C46*1.3153%,0)*125.8 + MAX(0*28.1% + C32*30% - C46*93.9251%,0)*153.8 + MAX(0*29.56% + C32*40% - C46*4.7596%,0)*172.4,0))+(INT(MAX(0+C32-C46,0)*9))+(INT(MAX(0+C32-C46,0)*5)))+ROUND((($C$170*3)+(ROUNDDOWN(MAX(0*42.34% + C32*30% - C46*1.3153%,0)*125.8 + MAX(0*28.1% + C32*30% - C46*93.9251%,0)*153.8 + MAX(0*29.56% + C32*40% - C46*4.7596%,0)*172.4,0))+(INT(MAX(0+C32-C46,0)*9))+(INT(MAX(0+C32-C46,0)*5)))*0.1,0)+FLOOR((($C$170*3)+(ROUNDDOWN(MAX(0*42.34% + C32*30% - C46*1.3153%,0)*125.8 + MAX(0*28.1% + C32*30% - C46*93.9251%,0)*153.8 + MAX(0*29.56% + C32*40% - C46*4.7596%,0)*172.4,0))+(INT(MAX(0+C32-C46,0)*9))+(INT(MAX(0+C32-C46,0)*5)))*0.027,10),10)</f>
        <v>276020</v>
      </c>
    </row>
    <row r="16" spans="2:57" s="1" customFormat="1" ht="16.5" customHeight="1">
      <c r="B16" s="2" t="s">
        <v>403</v>
      </c>
      <c r="C16" s="141">
        <v>1600</v>
      </c>
      <c r="D16" s="6" t="s">
        <v>404</v>
      </c>
      <c r="E16" s="2">
        <v>214.6</v>
      </c>
      <c r="H16" s="137"/>
      <c r="I16" s="2">
        <v>11</v>
      </c>
      <c r="J16" s="2">
        <f>IF((Sheet2!M54+C33)&lt;=200, 910, IF((Sheet2!M54+C33)&lt;=400, 1600, 7300))</f>
        <v>7300</v>
      </c>
      <c r="K16" s="138">
        <f>INT(IF((Sheet2!M54+C33)&lt;=200, (Sheet2!M54+C33)*120, IF((Sheet2!M54+C33)&lt;=400, 24000+((Sheet2!M54+C33)-200)*214.6, 66920+((Sheet2!M54+C33)-400)*307.3)))</f>
        <v>479187</v>
      </c>
      <c r="L16" s="138">
        <f>INT((Sheet2!M54+C33)*9)</f>
        <v>15674</v>
      </c>
      <c r="M16" s="138">
        <f>INT((Sheet2!M54+C33)*5)</f>
        <v>8707</v>
      </c>
      <c r="N16" s="138">
        <f t="shared" si="0"/>
        <v>510868</v>
      </c>
      <c r="O16" s="138">
        <f t="shared" si="1"/>
        <v>51087</v>
      </c>
      <c r="P16" s="138">
        <f t="shared" si="2"/>
        <v>13790</v>
      </c>
      <c r="Q16" s="138">
        <f t="shared" si="3"/>
        <v>575740</v>
      </c>
      <c r="R16" s="138">
        <f t="shared" si="4"/>
        <v>150870</v>
      </c>
      <c r="S16" s="139"/>
      <c r="T16" s="139"/>
      <c r="U16" s="140"/>
      <c r="AK16" s="6" t="s">
        <v>116</v>
      </c>
      <c r="AM16" s="2">
        <v>61.586460000000002</v>
      </c>
      <c r="AN16" s="2">
        <v>90.333600000000004</v>
      </c>
      <c r="AO16" s="2">
        <v>108.17109000000001</v>
      </c>
      <c r="AP16" s="2">
        <v>123.0201</v>
      </c>
      <c r="AQ16" s="2">
        <v>110.01342</v>
      </c>
      <c r="AR16" s="2">
        <v>110.5398</v>
      </c>
      <c r="AS16" s="2">
        <v>118.17231</v>
      </c>
      <c r="AT16" s="2">
        <v>80.00976</v>
      </c>
      <c r="AU16" s="2">
        <v>69.278400000000005</v>
      </c>
      <c r="AV16" s="2">
        <v>81.062520000000006</v>
      </c>
      <c r="AW16" s="2">
        <v>78.447599999999994</v>
      </c>
      <c r="AX16" s="2">
        <v>62.112839999999998</v>
      </c>
      <c r="BA16" s="2">
        <v>11</v>
      </c>
      <c r="BB16" s="2">
        <f>FLOOR(((IF((0+C33)&lt;=200, 910, IF((0+C33)&lt;=400, 1600, 7300)))+(INT(IF((0+C33)&lt;=200, (0+C33)*120, IF((0+C33)&lt;=400, 24000+((0+C33)-200)*214.6, 66920+((0+C33)-400)*307.3))))+(INT((0+C33)*9))+(INT((0+C33)*5)))+ROUND(((IF((0+C33)&lt;=200, 910, IF((0+C33)&lt;=400, 1600, 7300)))+(INT(IF((0+C33)&lt;=200, (0+C33)*120, IF((0+C33)&lt;=400, 24000+((0+C33)-200)*214.6, 66920+((0+C33)-400)*307.3))))+(INT((0+C33)*9))+(INT((0+C33)*5)))*0.1,0)+FLOOR(((IF((0+C33)&lt;=200, 910, IF((0+C33)&lt;=400, 1600, 7300)))+(INT(IF((0+C33)&lt;=200, (0+C33)*120, IF((0+C33)&lt;=400, 24000+((0+C33)-200)*214.6, 66920+((0+C33)-400)*307.3))))+(INT((0+C33)*9))+(INT((0+C33)*5)))*0.027,10),10)</f>
        <v>424870</v>
      </c>
      <c r="BC16" s="2">
        <f>FLOOR(((IF(MAX(0+C33-C47,0)&lt;=200, 910, IF(MAX(0+C33-C47,0)&lt;=400, 1600, 7300)))+(INT(IF(MAX(0+C33-C47,0)&lt;=200, MAX(0+C33-C47,0)*120, IF(MAX(0+C33-C47,0)&lt;=400, 24000+(MAX(0+C33-C47,0)-200)*214.6, 66920+(MAX(0+C33-C47,0)-400)*307.3))))+(INT(MAX(0+C33-C47,0)*9))+(INT(MAX(0+C33-C47,0)*5)))+ROUND(((IF(MAX(0+C33-C47,0)&lt;=200, 910, IF(MAX(0+C33-C47,0)&lt;=400, 1600, 7300)))+(INT(IF(MAX(0+C33-C47,0)&lt;=200, MAX(0+C33-C47,0)*120, IF(MAX(0+C33-C47,0)&lt;=400, 24000+(MAX(0+C33-C47,0)-200)*214.6, 66920+(MAX(0+C33-C47,0)-400)*307.3))))+(INT(MAX(0+C33-C47,0)*9))+(INT(MAX(0+C33-C47,0)*5)))*0.1,0)+FLOOR(((IF(MAX(0+C33-C47,0)&lt;=200, 910, IF(MAX(0+C33-C47,0)&lt;=400, 1600, 7300)))+(INT(IF(MAX(0+C33-C47,0)&lt;=200, MAX(0+C33-C47,0)*120, IF(MAX(0+C33-C47,0)&lt;=400, 24000+(MAX(0+C33-C47,0)-200)*214.6, 66920+(MAX(0+C33-C47,0)-400)*307.3))))+(INT(MAX(0+C33-C47,0)*9))+(INT(MAX(0+C33-C47,0)*5)))*0.027,10),10)</f>
        <v>424870</v>
      </c>
      <c r="BD16" s="2">
        <f>FLOOR((($C$170*3)+(ROUNDDOWN(0*44.43%*138.7 + 0*27.22%*184.7 + 0*28.35%*220.5 + C33*30%*138.7 + C33*30%*184.7 + C33*40%*220.5, 0)+INT(MAX((0+C33)-1000,0)*(736.2-IF((0+C33)=0,0,(ROUNDDOWN(0*44.43%*138.7 + 0*27.22%*184.7 + 0*28.35%*220.5 + C33*30%*138.7 + C33*30%*184.7 + C33*40%*220.5, 0))/(0+C33)))))+(INT((0+C33)*9))+(INT((0+C33)*5)))+ROUND((($C$170*3)+(ROUNDDOWN(0*44.43%*138.7 + 0*27.22%*184.7 + 0*28.35%*220.5 + C33*30%*138.7 + C33*30%*184.7 + C33*40%*220.5, 0)+INT(MAX((0+C33)-1000,0)*(736.2-IF((0+C33)=0,0,(ROUNDDOWN(0*44.43%*138.7 + 0*27.22%*184.7 + 0*28.35%*220.5 + C33*30%*138.7 + C33*30%*184.7 + C33*40%*220.5, 0))/(0+C33)))))+(INT((0+C33)*9))+(INT((0+C33)*5)))*0.1,0)+FLOOR((($C$170*3)+(ROUNDDOWN(0*44.43%*138.7 + 0*27.22%*184.7 + 0*28.35%*220.5 + C33*30%*138.7 + C33*30%*184.7 + C33*40%*220.5, 0)+INT(MAX((0+C33)-1000,0)*(736.2-IF((0+C33)=0,0,(ROUNDDOWN(0*44.43%*138.7 + 0*27.22%*184.7 + 0*28.35%*220.5 + C33*30%*138.7 + C33*30%*184.7 + C33*40%*220.5, 0))/(0+C33)))))+(INT((0+C33)*9))+(INT((0+C33)*5)))*0.027,10),10)</f>
        <v>513830</v>
      </c>
      <c r="BE16" s="2">
        <f>FLOOR((($C$170*3)+(ROUNDDOWN(MAX(0*44.43% + C33*30% - C47*0.3291%,0)*138.7 + MAX(0*27.22% + C33*30% - C47*97.1714%,0)*184.7 + MAX(0*28.35% + C33*40% - C47*2.4994%,0)*220.5,0)+INT(MAX(MAX(0+C33-C47,0)-1000,0)*(736.2-IF(MAX(0+C33-C47,0)=0,0,(ROUNDDOWN(MAX(0*44.43% + C33*30% - C47*0.3291%,0)*138.7 + MAX(0*27.22% + C33*30% - C47*97.1714%,0)*184.7 + MAX(0*28.35% + C33*40% - C47*2.4994%,0)*220.5,0))/MAX(0+C33-C47,0)))))+(INT(MAX(0+C33-C47,0)*9))+(INT(MAX(0+C33-C47,0)*5)))+ROUND((($C$170*3)+(ROUNDDOWN(MAX(0*44.43% + C33*30% - C47*0.3291%,0)*138.7 + MAX(0*27.22% + C33*30% - C47*97.1714%,0)*184.7 + MAX(0*28.35% + C33*40% - C47*2.4994%,0)*220.5,0)+INT(MAX(MAX(0+C33-C47,0)-1000,0)*(736.2-IF(MAX(0+C33-C47,0)=0,0,(ROUNDDOWN(MAX(0*44.43% + C33*30% - C47*0.3291%,0)*138.7 + MAX(0*27.22% + C33*30% - C47*97.1714%,0)*184.7 + MAX(0*28.35% + C33*40% - C47*2.4994%,0)*220.5,0))/MAX(0+C33-C47,0)))))+(INT(MAX(0+C33-C47,0)*9))+(INT(MAX(0+C33-C47,0)*5)))*0.1,0)+FLOOR((($C$170*3)+(ROUNDDOWN(MAX(0*44.43% + C33*30% - C47*0.3291%,0)*138.7 + MAX(0*27.22% + C33*30% - C47*97.1714%,0)*184.7 + MAX(0*28.35% + C33*40% - C47*2.4994%,0)*220.5,0)+INT(MAX(MAX(0+C33-C47,0)-1000,0)*(736.2-IF(MAX(0+C33-C47,0)=0,0,(ROUNDDOWN(MAX(0*44.43% + C33*30% - C47*0.3291%,0)*138.7 + MAX(0*27.22% + C33*30% - C47*97.1714%,0)*184.7 + MAX(0*28.35% + C33*40% - C47*2.4994%,0)*220.5,0))/MAX(0+C33-C47,0)))))+(INT(MAX(0+C33-C47,0)*9))+(INT(MAX(0+C33-C47,0)*5)))*0.027,10),10)</f>
        <v>513830</v>
      </c>
    </row>
    <row r="17" spans="2:57" s="1" customFormat="1" ht="16.5" customHeight="1">
      <c r="B17" s="2" t="s">
        <v>405</v>
      </c>
      <c r="C17" s="141">
        <v>7300</v>
      </c>
      <c r="D17" s="2" t="s">
        <v>406</v>
      </c>
      <c r="E17" s="2">
        <v>307.3</v>
      </c>
      <c r="G17" s="142">
        <f>(120*300)+(150*214.6)</f>
        <v>68190</v>
      </c>
      <c r="H17" s="137"/>
      <c r="I17" s="2">
        <v>12</v>
      </c>
      <c r="J17" s="2">
        <f>IF((Sheet2!N54+C34)&lt;=200, 910, IF((Sheet2!N54+C34)&lt;=400, 1600, 7300))</f>
        <v>7300</v>
      </c>
      <c r="K17" s="138">
        <f>INT(IF((Sheet2!N54+C34)&lt;=200, (Sheet2!N54+C34)*120, IF((Sheet2!N54+C34)&lt;=400, 24000+((Sheet2!N54+C34)-200)*214.6, 66920+((Sheet2!N54+C34)-400)*307.3)))+INT(MAX((Sheet2!N54+C34)-1000,0)*(736.2-307.3))</f>
        <v>1091042</v>
      </c>
      <c r="L17" s="138">
        <f>INT((Sheet2!N54+C34)*9)</f>
        <v>19265</v>
      </c>
      <c r="M17" s="138">
        <f>INT((Sheet2!N54+C34)*5)</f>
        <v>10703</v>
      </c>
      <c r="N17" s="138">
        <f t="shared" si="0"/>
        <v>1128310</v>
      </c>
      <c r="O17" s="138">
        <f t="shared" si="1"/>
        <v>112831</v>
      </c>
      <c r="P17" s="138">
        <f t="shared" si="2"/>
        <v>30460</v>
      </c>
      <c r="Q17" s="138">
        <f t="shared" si="3"/>
        <v>1271600</v>
      </c>
      <c r="R17" s="138">
        <f t="shared" si="4"/>
        <v>642480</v>
      </c>
      <c r="S17" s="139"/>
      <c r="T17" s="139"/>
      <c r="U17" s="140"/>
      <c r="AK17" s="6" t="s">
        <v>122</v>
      </c>
      <c r="AM17" s="2">
        <v>72.114059999999995</v>
      </c>
      <c r="AN17" s="2">
        <v>97.940640000000002</v>
      </c>
      <c r="AO17" s="2">
        <v>100.80177</v>
      </c>
      <c r="AP17" s="2">
        <v>124.2936</v>
      </c>
      <c r="AQ17" s="2">
        <v>114.22445999999999</v>
      </c>
      <c r="AR17" s="2">
        <v>114.1056</v>
      </c>
      <c r="AS17" s="2">
        <v>122.90973</v>
      </c>
      <c r="AT17" s="2">
        <v>78.167429999999996</v>
      </c>
      <c r="AU17" s="2">
        <v>57.307499999999997</v>
      </c>
      <c r="AV17" s="2">
        <v>84.220799999999997</v>
      </c>
      <c r="AW17" s="2">
        <v>81.504000000000005</v>
      </c>
      <c r="AX17" s="2">
        <v>67.376639999999995</v>
      </c>
      <c r="BA17" s="2">
        <v>12</v>
      </c>
      <c r="BB17" s="2">
        <f>FLOOR(((IF((0+C34)&lt;=200, 910, IF((0+C34)&lt;=400, 1600, 7300)))+(INT(IF((0+C34)&lt;=200, (0+C34)*120, IF((0+C34)&lt;=400, 24000+((0+C34)-200)*214.6, 66920+((0+C34)-400)*307.3)))+INT(MAX((0+C34)-1000,0)*(736.2-307.3)))+(INT((0+C34)*9))+(INT((0+C34)*5)))+ROUND(((IF((0+C34)&lt;=200, 910, IF((0+C34)&lt;=400, 1600, 7300)))+(INT(IF((0+C34)&lt;=200, (0+C34)*120, IF((0+C34)&lt;=400, 24000+((0+C34)-200)*214.6, 66920+((0+C34)-400)*307.3)))+INT(MAX((0+C34)-1000,0)*(736.2-307.3)))+(INT((0+C34)*9))+(INT((0+C34)*5)))*0.1,0)+FLOOR(((IF((0+C34)&lt;=200, 910, IF((0+C34)&lt;=400, 1600, 7300)))+(INT(IF((0+C34)&lt;=200, (0+C34)*120, IF((0+C34)&lt;=400, 24000+((0+C34)-200)*214.6, 66920+((0+C34)-400)*307.3)))+INT(MAX((0+C34)-1000,0)*(736.2-307.3)))+(INT((0+C34)*9))+(INT((0+C34)*5)))*0.027,10),10)</f>
        <v>629120</v>
      </c>
      <c r="BC17" s="2">
        <f>FLOOR(((IF(MAX(0+C34-C48,0)&lt;=200, 910, IF(MAX(0+C34-C48,0)&lt;=400, 1600, 7300)))+(INT(IF(MAX(0+C34-C48,0)&lt;=200, MAX(0+C34-C48,0)*120, IF(MAX(0+C34-C48,0)&lt;=400, 24000+(MAX(0+C34-C48,0)-200)*214.6, 66920+(MAX(0+C34-C48,0)-400)*307.3)))+INT(MAX(MAX(0+C34-C48,0)-1000,0)*(736.2-307.3)))+(INT(MAX(0+C34-C48,0)*9))+(INT(MAX(0+C34-C48,0)*5)))+ROUND(((IF(MAX(0+C34-C48,0)&lt;=200, 910, IF(MAX(0+C34-C48,0)&lt;=400, 1600, 7300)))+(INT(IF(MAX(0+C34-C48,0)&lt;=200, MAX(0+C34-C48,0)*120, IF(MAX(0+C34-C48,0)&lt;=400, 24000+(MAX(0+C34-C48,0)-200)*214.6, 66920+(MAX(0+C34-C48,0)-400)*307.3)))+INT(MAX(MAX(0+C34-C48,0)-1000,0)*(736.2-307.3)))+(INT(MAX(0+C34-C48,0)*9))+(INT(MAX(0+C34-C48,0)*5)))*0.1,0)+FLOOR(((IF(MAX(0+C34-C48,0)&lt;=200, 910, IF(MAX(0+C34-C48,0)&lt;=400, 1600, 7300)))+(INT(IF(MAX(0+C34-C48,0)&lt;=200, MAX(0+C34-C48,0)*120, IF(MAX(0+C34-C48,0)&lt;=400, 24000+(MAX(0+C34-C48,0)-200)*214.6, 66920+(MAX(0+C34-C48,0)-400)*307.3)))+INT(MAX(MAX(0+C34-C48,0)-1000,0)*(736.2-307.3)))+(INT(MAX(0+C34-C48,0)*9))+(INT(MAX(0+C34-C48,0)*5)))*0.027,10),10)</f>
        <v>629120</v>
      </c>
      <c r="BD17" s="2">
        <f>FLOOR((($C$170*3)+(ROUNDDOWN(0*43.82%*138.7 + 0*28.18%*184.7 + 0*28%*220.5 + C34*30%*138.7 + C34*30%*184.7 + C34*40%*220.5, 0)+INT(MAX((0+C34)-1000,0)*(736.2-IF((0+C34)=0,0,(ROUNDDOWN(0*43.82%*138.7 + 0*28.18%*184.7 + 0*28%*220.5 + C34*30%*138.7 + C34*30%*184.7 + C34*40%*220.5, 0))/(0+C34)))))+(INT((0+C34)*9))+(INT((0+C34)*5)))+ROUND((($C$170*3)+(ROUNDDOWN(0*43.82%*138.7 + 0*28.18%*184.7 + 0*28%*220.5 + C34*30%*138.7 + C34*30%*184.7 + C34*40%*220.5, 0)+INT(MAX((0+C34)-1000,0)*(736.2-IF((0+C34)=0,0,(ROUNDDOWN(0*43.82%*138.7 + 0*28.18%*184.7 + 0*28%*220.5 + C34*30%*138.7 + C34*30%*184.7 + C34*40%*220.5, 0))/(0+C34)))))+(INT((0+C34)*9))+(INT((0+C34)*5)))*0.1,0)+FLOOR((($C$170*3)+(ROUNDDOWN(0*43.82%*138.7 + 0*28.18%*184.7 + 0*28%*220.5 + C34*30%*138.7 + C34*30%*184.7 + C34*40%*220.5, 0)+INT(MAX((0+C34)-1000,0)*(736.2-IF((0+C34)=0,0,(ROUNDDOWN(0*43.82%*138.7 + 0*28.18%*184.7 + 0*28%*220.5 + C34*30%*138.7 + C34*30%*184.7 + C34*40%*220.5, 0))/(0+C34)))))+(INT((0+C34)*9))+(INT((0+C34)*5)))*0.027,10),10)</f>
        <v>561000</v>
      </c>
      <c r="BE17" s="2">
        <f>FLOOR((($C$170*3)+(ROUNDDOWN(MAX(0*43.82% + C34*30% - C48*0.0353%,0)*138.7 + MAX(0*28.18% + C34*30% - C48*97.784%,0)*184.7 + MAX(0*28% + C34*40% - C48*2.1807%,0)*220.5,0)+INT(MAX(MAX(0+C34-C48,0)-1000,0)*(736.2-IF(MAX(0+C34-C48,0)=0,0,(ROUNDDOWN(MAX(0*43.82% + C34*30% - C48*0.0353%,0)*138.7 + MAX(0*28.18% + C34*30% - C48*97.784%,0)*184.7 + MAX(0*28% + C34*40% - C48*2.1807%,0)*220.5,0))/MAX(0+C34-C48,0)))))+(INT(MAX(0+C34-C48,0)*9))+(INT(MAX(0+C34-C48,0)*5)))+ROUND((($C$170*3)+(ROUNDDOWN(MAX(0*43.82% + C34*30% - C48*0.0353%,0)*138.7 + MAX(0*28.18% + C34*30% - C48*97.784%,0)*184.7 + MAX(0*28% + C34*40% - C48*2.1807%,0)*220.5,0)+INT(MAX(MAX(0+C34-C48,0)-1000,0)*(736.2-IF(MAX(0+C34-C48,0)=0,0,(ROUNDDOWN(MAX(0*43.82% + C34*30% - C48*0.0353%,0)*138.7 + MAX(0*28.18% + C34*30% - C48*97.784%,0)*184.7 + MAX(0*28% + C34*40% - C48*2.1807%,0)*220.5,0))/MAX(0+C34-C48,0)))))+(INT(MAX(0+C34-C48,0)*9))+(INT(MAX(0+C34-C48,0)*5)))*0.1,0)+FLOOR((($C$170*3)+(ROUNDDOWN(MAX(0*43.82% + C34*30% - C48*0.0353%,0)*138.7 + MAX(0*28.18% + C34*30% - C48*97.784%,0)*184.7 + MAX(0*28% + C34*40% - C48*2.1807%,0)*220.5,0)+INT(MAX(MAX(0+C34-C48,0)-1000,0)*(736.2-IF(MAX(0+C34-C48,0)=0,0,(ROUNDDOWN(MAX(0*43.82% + C34*30% - C48*0.0353%,0)*138.7 + MAX(0*28.18% + C34*30% - C48*97.784%,0)*184.7 + MAX(0*28% + C34*40% - C48*2.1807%,0)*220.5,0))/MAX(0+C34-C48,0)))))+(INT(MAX(0+C34-C48,0)*9))+(INT(MAX(0+C34-C48,0)*5)))*0.027,10),10)</f>
        <v>561000</v>
      </c>
    </row>
    <row r="18" spans="2:57" s="1" customFormat="1" ht="16.5" customHeight="1">
      <c r="H18" s="137"/>
      <c r="I18" s="6" t="s">
        <v>76</v>
      </c>
      <c r="J18" s="6" t="s">
        <v>378</v>
      </c>
      <c r="K18" s="6" t="s">
        <v>379</v>
      </c>
      <c r="L18" s="6" t="s">
        <v>380</v>
      </c>
      <c r="M18" s="6" t="s">
        <v>381</v>
      </c>
      <c r="N18" s="6" t="s">
        <v>382</v>
      </c>
      <c r="O18" s="6" t="s">
        <v>383</v>
      </c>
      <c r="P18" s="6" t="s">
        <v>384</v>
      </c>
      <c r="Q18" s="6" t="s">
        <v>385</v>
      </c>
      <c r="R18" s="6" t="s">
        <v>386</v>
      </c>
      <c r="S18" s="143">
        <f>SUM(R19:R30)</f>
        <v>3142520</v>
      </c>
      <c r="T18" s="143">
        <f>Sheet2!O18</f>
        <v>1620551.6253430294</v>
      </c>
      <c r="U18" s="144">
        <f>(T18-S18)/T18</f>
        <v>-0.93916685581356207</v>
      </c>
      <c r="AK18" s="6" t="s">
        <v>118</v>
      </c>
      <c r="AM18" s="2">
        <v>61.060079999999999</v>
      </c>
      <c r="AN18" s="2">
        <v>83.439719999999994</v>
      </c>
      <c r="AO18" s="2">
        <v>105.53919</v>
      </c>
      <c r="AP18" s="2">
        <v>122.0013</v>
      </c>
      <c r="AQ18" s="2">
        <v>108.17109000000001</v>
      </c>
      <c r="AR18" s="2">
        <v>113.3415</v>
      </c>
      <c r="AS18" s="2">
        <v>117.90912</v>
      </c>
      <c r="AT18" s="2">
        <v>81.588899999999995</v>
      </c>
      <c r="AU18" s="2">
        <v>72.080100000000002</v>
      </c>
      <c r="AV18" s="2">
        <v>82.115279999999998</v>
      </c>
      <c r="AW18" s="2">
        <v>79.466399999999993</v>
      </c>
      <c r="AX18" s="2">
        <v>63.428789999999999</v>
      </c>
    </row>
    <row r="19" spans="2:57" s="1" customFormat="1" ht="16.5" customHeight="1">
      <c r="B19" s="2" t="s">
        <v>407</v>
      </c>
      <c r="H19" s="137"/>
      <c r="I19" s="2">
        <v>1</v>
      </c>
      <c r="J19" s="2">
        <f>IF((Sheet2!C55+C23)&lt;=200, 910, IF((Sheet2!C55+C23)&lt;=400, 1600, 7300))</f>
        <v>7300</v>
      </c>
      <c r="K19" s="138">
        <f>INT(IF((Sheet2!C55+C23)&lt;=200, (Sheet2!C55+C23)*120, IF((Sheet2!C55+C23)&lt;=400, 24000+((Sheet2!C55+C23)-200)*214.6, 66920+((Sheet2!C55+C23)-400)*307.3)))+INT(MAX((Sheet2!C55+C23)-1000,0)*(736.2-307.3))</f>
        <v>1407919</v>
      </c>
      <c r="L19" s="138">
        <f>INT((Sheet2!C55+C23)*9)</f>
        <v>23139</v>
      </c>
      <c r="M19" s="138">
        <f>INT((Sheet2!C55+C23)*5)</f>
        <v>12855</v>
      </c>
      <c r="N19" s="138">
        <f t="shared" ref="N19:N30" si="5">SUM(J19:M19)</f>
        <v>1451213</v>
      </c>
      <c r="O19" s="138">
        <f t="shared" ref="O19:O30" si="6">ROUND(N19*0.1, 0)</f>
        <v>145121</v>
      </c>
      <c r="P19" s="138">
        <f t="shared" ref="P19:P30" si="7">FLOOR(N19*0.027, 10)</f>
        <v>39180</v>
      </c>
      <c r="Q19" s="138">
        <f t="shared" ref="Q19:Q30" si="8">FLOOR(N19+O19+P19, 10)</f>
        <v>1635510</v>
      </c>
      <c r="R19" s="138">
        <f>MAX(Q19-BB6,0)</f>
        <v>905560</v>
      </c>
      <c r="S19" s="139"/>
      <c r="T19" s="139"/>
      <c r="U19" s="140"/>
      <c r="AK19" s="6" t="s">
        <v>124</v>
      </c>
      <c r="AM19" s="2">
        <v>76.061909999999997</v>
      </c>
      <c r="AN19" s="2">
        <v>93.423959999999994</v>
      </c>
      <c r="AO19" s="2">
        <v>100.53858</v>
      </c>
      <c r="AP19" s="2">
        <v>116.90730000000001</v>
      </c>
      <c r="AQ19" s="2">
        <v>107.38151999999999</v>
      </c>
      <c r="AR19" s="2">
        <v>108.5022</v>
      </c>
      <c r="AS19" s="2">
        <v>119.22507</v>
      </c>
      <c r="AT19" s="2">
        <v>77.904240000000001</v>
      </c>
      <c r="AU19" s="2">
        <v>65.712599999999995</v>
      </c>
      <c r="AV19" s="2">
        <v>82.378469999999993</v>
      </c>
      <c r="AW19" s="2">
        <v>79.721100000000007</v>
      </c>
      <c r="AX19" s="2">
        <v>67.903019999999998</v>
      </c>
    </row>
    <row r="20" spans="2:57" s="1" customFormat="1" ht="16.5" customHeight="1">
      <c r="B20" s="2" t="s">
        <v>408</v>
      </c>
      <c r="H20" s="137"/>
      <c r="I20" s="2">
        <v>2</v>
      </c>
      <c r="J20" s="2">
        <f>IF((Sheet2!D55+C24)&lt;=200, 910, IF((Sheet2!D55+C24)&lt;=400, 1600, 7300))</f>
        <v>7300</v>
      </c>
      <c r="K20" s="138">
        <f>INT(IF((Sheet2!D55+C24)&lt;=200, (Sheet2!D55+C24)*120, IF((Sheet2!D55+C24)&lt;=400, 24000+((Sheet2!D55+C24)-200)*214.6, 66920+((Sheet2!D55+C24)-400)*307.3)))+INT(MAX((Sheet2!D55+C24)-1000,0)*(736.2-307.3))</f>
        <v>1318833</v>
      </c>
      <c r="L20" s="138">
        <f>INT((Sheet2!D55+C24)*9)</f>
        <v>22050</v>
      </c>
      <c r="M20" s="138">
        <f>INT((Sheet2!D55+C24)*5)</f>
        <v>12250</v>
      </c>
      <c r="N20" s="138">
        <f t="shared" si="5"/>
        <v>1360433</v>
      </c>
      <c r="O20" s="138">
        <f t="shared" si="6"/>
        <v>136043</v>
      </c>
      <c r="P20" s="138">
        <f t="shared" si="7"/>
        <v>36730</v>
      </c>
      <c r="Q20" s="138">
        <f t="shared" si="8"/>
        <v>1533200</v>
      </c>
      <c r="R20" s="138">
        <f t="shared" ref="R20:R30" si="9">MAX(Q20-BB7,0)</f>
        <v>794310</v>
      </c>
      <c r="S20" s="139"/>
      <c r="T20" s="139"/>
      <c r="U20" s="140"/>
      <c r="AK20" s="6" t="s">
        <v>120</v>
      </c>
      <c r="AM20" s="2">
        <v>73.693200000000004</v>
      </c>
      <c r="AN20" s="2">
        <v>81.775679999999994</v>
      </c>
      <c r="AO20" s="2">
        <v>101.06496</v>
      </c>
      <c r="AP20" s="2">
        <v>119.9637</v>
      </c>
      <c r="AQ20" s="2">
        <v>105.276</v>
      </c>
      <c r="AR20" s="2">
        <v>108.5022</v>
      </c>
      <c r="AS20" s="2">
        <v>121.59378</v>
      </c>
      <c r="AT20" s="2">
        <v>81.852090000000004</v>
      </c>
      <c r="AU20" s="2">
        <v>76.41</v>
      </c>
      <c r="AV20" s="2">
        <v>83.431229999999999</v>
      </c>
      <c r="AW20" s="2">
        <v>80.739900000000006</v>
      </c>
      <c r="AX20" s="2">
        <v>69.745350000000002</v>
      </c>
    </row>
    <row r="21" spans="2:57" s="1" customFormat="1" ht="16.5" customHeight="1">
      <c r="H21" s="137"/>
      <c r="I21" s="2">
        <v>3</v>
      </c>
      <c r="J21" s="2">
        <f>IF((Sheet2!E55+C25)&lt;=200, 910, IF((Sheet2!E55+C25)&lt;=400, 1600, 7300))</f>
        <v>7300</v>
      </c>
      <c r="K21" s="138">
        <f>INT(IF((Sheet2!E55+C25)&lt;=200, (Sheet2!E55+C25)*120, IF((Sheet2!E55+C25)&lt;=400, 24000+((Sheet2!E55+C25)-200)*214.6, 66920+((Sheet2!E55+C25)-400)*307.3)))</f>
        <v>569678</v>
      </c>
      <c r="L21" s="138">
        <f>INT((Sheet2!E55+C25)*9)</f>
        <v>18324</v>
      </c>
      <c r="M21" s="138">
        <f>INT((Sheet2!E55+C25)*5)</f>
        <v>10180</v>
      </c>
      <c r="N21" s="138">
        <f t="shared" si="5"/>
        <v>605482</v>
      </c>
      <c r="O21" s="138">
        <f t="shared" si="6"/>
        <v>60548</v>
      </c>
      <c r="P21" s="138">
        <f t="shared" si="7"/>
        <v>16340</v>
      </c>
      <c r="Q21" s="138">
        <f t="shared" si="8"/>
        <v>682370</v>
      </c>
      <c r="R21" s="138">
        <f t="shared" si="9"/>
        <v>261750</v>
      </c>
      <c r="S21" s="139"/>
      <c r="T21" s="139"/>
      <c r="U21" s="140"/>
      <c r="AK21" s="6" t="s">
        <v>126</v>
      </c>
      <c r="AM21" s="2">
        <v>64.218360000000004</v>
      </c>
      <c r="AN21" s="2">
        <v>66.799319999999994</v>
      </c>
      <c r="AO21" s="2">
        <v>87.115889999999993</v>
      </c>
      <c r="AP21" s="2">
        <v>116.14319999999999</v>
      </c>
      <c r="AQ21" s="2">
        <v>104.48643</v>
      </c>
      <c r="AR21" s="2">
        <v>92.965500000000006</v>
      </c>
      <c r="AS21" s="2">
        <v>107.64471</v>
      </c>
      <c r="AT21" s="2">
        <v>84.74718</v>
      </c>
      <c r="AU21" s="2">
        <v>78.956999999999994</v>
      </c>
      <c r="AV21" s="2">
        <v>81.852090000000004</v>
      </c>
      <c r="AW21" s="2">
        <v>79.211699999999993</v>
      </c>
      <c r="AX21" s="2">
        <v>66.587069999999997</v>
      </c>
    </row>
    <row r="22" spans="2:57" s="1" customFormat="1" ht="16.5" customHeight="1">
      <c r="C22" s="6" t="s">
        <v>409</v>
      </c>
      <c r="H22" s="137"/>
      <c r="I22" s="2">
        <v>4</v>
      </c>
      <c r="J22" s="2">
        <f>IF((Sheet2!F55+C26)&lt;=200, 910, IF((Sheet2!F55+C26)&lt;=400, 1600, 7300))</f>
        <v>7300</v>
      </c>
      <c r="K22" s="138">
        <f>INT(IF((Sheet2!F55+C26)&lt;=200, (Sheet2!F55+C26)*120, IF((Sheet2!F55+C26)&lt;=400, 24000+((Sheet2!F55+C26)-200)*214.6, 66920+((Sheet2!F55+C26)-400)*307.3)))</f>
        <v>439021</v>
      </c>
      <c r="L22" s="138">
        <f>INT((Sheet2!F55+C26)*9)</f>
        <v>14497</v>
      </c>
      <c r="M22" s="138">
        <f>INT((Sheet2!F55+C26)*5)</f>
        <v>8054</v>
      </c>
      <c r="N22" s="138">
        <f t="shared" si="5"/>
        <v>468872</v>
      </c>
      <c r="O22" s="138">
        <f t="shared" si="6"/>
        <v>46887</v>
      </c>
      <c r="P22" s="138">
        <f t="shared" si="7"/>
        <v>12650</v>
      </c>
      <c r="Q22" s="138">
        <f t="shared" si="8"/>
        <v>528400</v>
      </c>
      <c r="R22" s="138">
        <f t="shared" si="9"/>
        <v>105950</v>
      </c>
      <c r="S22" s="139"/>
      <c r="T22" s="139"/>
      <c r="U22" s="140"/>
    </row>
    <row r="23" spans="2:57" s="1" customFormat="1" ht="16.5" customHeight="1">
      <c r="B23" s="145">
        <v>1</v>
      </c>
      <c r="C23" s="146">
        <f>Sheet2!C24</f>
        <v>1500</v>
      </c>
      <c r="D23" s="147">
        <v>1</v>
      </c>
      <c r="H23" s="137"/>
      <c r="I23" s="2">
        <v>5</v>
      </c>
      <c r="J23" s="2">
        <f>IF((Sheet2!G55+C27)&lt;=200, 910, IF((Sheet2!G55+C27)&lt;=400, 1600, 7300))</f>
        <v>7300</v>
      </c>
      <c r="K23" s="138">
        <f>INT(IF((Sheet2!G55+C27)&lt;=200, (Sheet2!G55+C27)*120, IF((Sheet2!G55+C27)&lt;=400, 24000+((Sheet2!G55+C27)-200)*214.6, 66920+((Sheet2!G55+C27)-400)*307.3)))</f>
        <v>376017</v>
      </c>
      <c r="L23" s="138">
        <f>INT((Sheet2!G55+C27)*9)</f>
        <v>12652</v>
      </c>
      <c r="M23" s="138">
        <f>INT((Sheet2!G55+C27)*5)</f>
        <v>7029</v>
      </c>
      <c r="N23" s="138">
        <f t="shared" si="5"/>
        <v>402998</v>
      </c>
      <c r="O23" s="138">
        <f t="shared" si="6"/>
        <v>40300</v>
      </c>
      <c r="P23" s="138">
        <f t="shared" si="7"/>
        <v>10880</v>
      </c>
      <c r="Q23" s="138">
        <f t="shared" si="8"/>
        <v>454170</v>
      </c>
      <c r="R23" s="138">
        <f t="shared" si="9"/>
        <v>61030</v>
      </c>
      <c r="S23" s="139"/>
      <c r="T23" s="139"/>
      <c r="U23" s="140"/>
    </row>
    <row r="24" spans="2:57" s="1" customFormat="1" ht="16.5" customHeight="1">
      <c r="B24" s="145">
        <v>2</v>
      </c>
      <c r="C24" s="148">
        <f>Sheet2!D24</f>
        <v>1510.5768802802304</v>
      </c>
      <c r="D24" s="147">
        <v>2</v>
      </c>
      <c r="H24" s="137"/>
      <c r="I24" s="2">
        <v>6</v>
      </c>
      <c r="J24" s="2">
        <f>IF((Sheet2!H55+C28)&lt;=200, 910, IF((Sheet2!H55+C28)&lt;=400, 1600, 7300))</f>
        <v>7300</v>
      </c>
      <c r="K24" s="138">
        <f>INT(IF((Sheet2!H55+C28)&lt;=200, (Sheet2!H55+C28)*120, IF((Sheet2!H55+C28)&lt;=400, 24000+((Sheet2!H55+C28)-200)*214.6, 66920+((Sheet2!H55+C28)-400)*307.3)))</f>
        <v>384914</v>
      </c>
      <c r="L24" s="138">
        <f>INT((Sheet2!H55+C28)*9)</f>
        <v>12913</v>
      </c>
      <c r="M24" s="138">
        <f>INT((Sheet2!H55+C28)*5)</f>
        <v>7174</v>
      </c>
      <c r="N24" s="138">
        <f t="shared" si="5"/>
        <v>412301</v>
      </c>
      <c r="O24" s="138">
        <f t="shared" si="6"/>
        <v>41230</v>
      </c>
      <c r="P24" s="138">
        <f t="shared" si="7"/>
        <v>11130</v>
      </c>
      <c r="Q24" s="138">
        <f t="shared" si="8"/>
        <v>464660</v>
      </c>
      <c r="R24" s="138">
        <f t="shared" si="9"/>
        <v>41730</v>
      </c>
      <c r="S24" s="139"/>
      <c r="T24" s="139"/>
      <c r="U24" s="140"/>
    </row>
    <row r="25" spans="2:57" s="1" customFormat="1" ht="16.5" customHeight="1">
      <c r="B25" s="145">
        <v>3</v>
      </c>
      <c r="C25" s="148">
        <f>Sheet2!E24</f>
        <v>1313.2115479152321</v>
      </c>
      <c r="D25" s="147">
        <v>3</v>
      </c>
      <c r="H25" s="137"/>
      <c r="I25" s="2">
        <v>7</v>
      </c>
      <c r="J25" s="2">
        <f>IF((Sheet2!I55+C29)&lt;=300, 910, IF((Sheet2!I55+C29)&lt;=450, 1600, 7300))</f>
        <v>7300</v>
      </c>
      <c r="K25" s="2">
        <f>INT(IF((Sheet2!I55+C29)&lt;=300, (Sheet2!I55+C29)*120, IF((Sheet2!I55+C29)&lt;=450, 36000+((Sheet2!I55+C29)-300)*214.6, 68190+((Sheet2!I55+C29)-450)*307.3)))+INT(MAX((Sheet2!I55+C29)-1000,0)*(736.2-307.3))</f>
        <v>805854</v>
      </c>
      <c r="L25" s="138">
        <f>INT((Sheet2!I55+C29)*9)</f>
        <v>15951</v>
      </c>
      <c r="M25" s="138">
        <f>INT((Sheet2!I55+C29)*5)</f>
        <v>8862</v>
      </c>
      <c r="N25" s="138">
        <f t="shared" si="5"/>
        <v>837967</v>
      </c>
      <c r="O25" s="138">
        <f t="shared" si="6"/>
        <v>83797</v>
      </c>
      <c r="P25" s="138">
        <f t="shared" si="7"/>
        <v>22620</v>
      </c>
      <c r="Q25" s="138">
        <f t="shared" si="8"/>
        <v>944380</v>
      </c>
      <c r="R25" s="138">
        <f t="shared" si="9"/>
        <v>62930</v>
      </c>
      <c r="S25" s="139"/>
      <c r="T25" s="139"/>
      <c r="U25" s="140"/>
    </row>
    <row r="26" spans="2:57" s="1" customFormat="1" ht="16.5" customHeight="1">
      <c r="B26" s="145">
        <v>4</v>
      </c>
      <c r="C26" s="148">
        <f>Sheet2!F24</f>
        <v>1318.2304170745201</v>
      </c>
      <c r="D26" s="147">
        <v>4</v>
      </c>
      <c r="H26" s="137"/>
      <c r="I26" s="2">
        <v>8</v>
      </c>
      <c r="J26" s="2">
        <f>IF((Sheet2!J55+C30)&lt;=300, 910, IF((Sheet2!J55+C30)&lt;=450, 1600, 7300))</f>
        <v>7300</v>
      </c>
      <c r="K26" s="2">
        <f>INT(IF((Sheet2!J55+C30)&lt;=300, (Sheet2!J55+C30)*120, IF((Sheet2!J55+C30)&lt;=450, 36000+((Sheet2!J55+C30)-300)*214.6, 68190+((Sheet2!J55+C30)-450)*307.3)))+INT(MAX((Sheet2!J55+C30)-1000,0)*(736.2-307.3))</f>
        <v>1126091</v>
      </c>
      <c r="L26" s="138">
        <f>INT((Sheet2!J55+C30)*9)</f>
        <v>19866</v>
      </c>
      <c r="M26" s="138">
        <f>INT((Sheet2!J55+C30)*5)</f>
        <v>11036</v>
      </c>
      <c r="N26" s="138">
        <f t="shared" si="5"/>
        <v>1164293</v>
      </c>
      <c r="O26" s="138">
        <f t="shared" si="6"/>
        <v>116429</v>
      </c>
      <c r="P26" s="138">
        <f t="shared" si="7"/>
        <v>31430</v>
      </c>
      <c r="Q26" s="138">
        <f t="shared" si="8"/>
        <v>1312150</v>
      </c>
      <c r="R26" s="138">
        <f t="shared" si="9"/>
        <v>62540</v>
      </c>
      <c r="S26" s="139"/>
      <c r="T26" s="139"/>
      <c r="U26" s="140"/>
    </row>
    <row r="27" spans="2:57" s="1" customFormat="1" ht="16.5" customHeight="1">
      <c r="B27" s="145">
        <v>5</v>
      </c>
      <c r="C27" s="148">
        <f>Sheet2!G24</f>
        <v>1237.3260275641812</v>
      </c>
      <c r="D27" s="147">
        <v>5</v>
      </c>
      <c r="H27" s="137"/>
      <c r="I27" s="2">
        <v>9</v>
      </c>
      <c r="J27" s="2">
        <f>IF((Sheet2!K55+C31)&lt;=200, 910, IF((Sheet2!K55+C31)&lt;=400, 1600, 7300))</f>
        <v>7300</v>
      </c>
      <c r="K27" s="138">
        <f>INT(IF((Sheet2!K55+C31)&lt;=200, (Sheet2!K55+C31)*120, IF((Sheet2!K55+C31)&lt;=400, 24000+((Sheet2!K55+C31)-200)*214.6, 66920+((Sheet2!K55+C31)-400)*307.3)))</f>
        <v>589834</v>
      </c>
      <c r="L27" s="138">
        <f>INT((Sheet2!K55+C31)*9)</f>
        <v>18914</v>
      </c>
      <c r="M27" s="138">
        <f>INT((Sheet2!K55+C31)*5)</f>
        <v>10508</v>
      </c>
      <c r="N27" s="138">
        <f t="shared" si="5"/>
        <v>626556</v>
      </c>
      <c r="O27" s="138">
        <f t="shared" si="6"/>
        <v>62656</v>
      </c>
      <c r="P27" s="138">
        <f t="shared" si="7"/>
        <v>16910</v>
      </c>
      <c r="Q27" s="138">
        <f t="shared" si="8"/>
        <v>706120</v>
      </c>
      <c r="R27" s="138">
        <f t="shared" si="9"/>
        <v>49880</v>
      </c>
      <c r="S27" s="139"/>
      <c r="T27" s="139"/>
      <c r="U27" s="140"/>
      <c r="AK27" s="6"/>
    </row>
    <row r="28" spans="2:57" s="1" customFormat="1" ht="16.5" customHeight="1">
      <c r="B28" s="145">
        <v>6</v>
      </c>
      <c r="C28" s="148">
        <f>Sheet2!H24</f>
        <v>1319.5807809552109</v>
      </c>
      <c r="D28" s="147">
        <v>6</v>
      </c>
      <c r="H28" s="137"/>
      <c r="I28" s="2">
        <v>10</v>
      </c>
      <c r="J28" s="2">
        <f>IF((Sheet2!L55+C32)&lt;=200, 910, IF((Sheet2!L55+C32)&lt;=400, 1600, 7300))</f>
        <v>7300</v>
      </c>
      <c r="K28" s="138">
        <f>INT(IF((Sheet2!L55+C32)&lt;=200, (Sheet2!L55+C32)*120, IF((Sheet2!L55+C32)&lt;=400, 24000+((Sheet2!L55+C32)-200)*214.6, 66920+((Sheet2!L55+C32)-400)*307.3)))</f>
        <v>440142</v>
      </c>
      <c r="L28" s="138">
        <f>INT((Sheet2!L55+C32)*9)</f>
        <v>14530</v>
      </c>
      <c r="M28" s="138">
        <f>INT((Sheet2!L55+C32)*5)</f>
        <v>8072</v>
      </c>
      <c r="N28" s="138">
        <f t="shared" si="5"/>
        <v>470044</v>
      </c>
      <c r="O28" s="138">
        <f t="shared" si="6"/>
        <v>47004</v>
      </c>
      <c r="P28" s="138">
        <f t="shared" si="7"/>
        <v>12690</v>
      </c>
      <c r="Q28" s="138">
        <f t="shared" si="8"/>
        <v>529730</v>
      </c>
      <c r="R28" s="138">
        <f t="shared" si="9"/>
        <v>81110</v>
      </c>
      <c r="S28" s="139"/>
      <c r="T28" s="139"/>
      <c r="U28" s="140"/>
      <c r="AK28" s="149"/>
    </row>
    <row r="29" spans="2:57" s="1" customFormat="1" ht="16.5" customHeight="1">
      <c r="B29" s="145">
        <v>7</v>
      </c>
      <c r="C29" s="148">
        <f>Sheet2!I24</f>
        <v>1697.9813145836893</v>
      </c>
      <c r="D29" s="147">
        <v>7</v>
      </c>
      <c r="H29" s="137"/>
      <c r="I29" s="2">
        <v>11</v>
      </c>
      <c r="J29" s="2">
        <f>IF((Sheet2!M55+C33)&lt;=200, 910, IF((Sheet2!M55+C33)&lt;=400, 1600, 7300))</f>
        <v>7300</v>
      </c>
      <c r="K29" s="138">
        <f>INT(IF((Sheet2!M55+C33)&lt;=200, (Sheet2!M55+C33)*120, IF((Sheet2!M55+C33)&lt;=400, 24000+((Sheet2!M55+C33)-200)*214.6, 66920+((Sheet2!M55+C33)-400)*307.3)))</f>
        <v>466663</v>
      </c>
      <c r="L29" s="138">
        <f>INT((Sheet2!M55+C33)*9)</f>
        <v>15307</v>
      </c>
      <c r="M29" s="138">
        <f>INT((Sheet2!M55+C33)*5)</f>
        <v>8504</v>
      </c>
      <c r="N29" s="138">
        <f t="shared" si="5"/>
        <v>497774</v>
      </c>
      <c r="O29" s="138">
        <f t="shared" si="6"/>
        <v>49777</v>
      </c>
      <c r="P29" s="138">
        <f t="shared" si="7"/>
        <v>13430</v>
      </c>
      <c r="Q29" s="138">
        <f t="shared" si="8"/>
        <v>560980</v>
      </c>
      <c r="R29" s="138">
        <f t="shared" si="9"/>
        <v>136110</v>
      </c>
      <c r="S29" s="139"/>
      <c r="T29" s="139"/>
      <c r="U29" s="140"/>
      <c r="AK29" s="149"/>
    </row>
    <row r="30" spans="2:57" s="1" customFormat="1" ht="16.5" customHeight="1">
      <c r="B30" s="145">
        <v>8</v>
      </c>
      <c r="C30" s="148">
        <f>Sheet2!J24</f>
        <v>2133.4284876595711</v>
      </c>
      <c r="D30" s="147">
        <v>8</v>
      </c>
      <c r="H30" s="137"/>
      <c r="I30" s="2">
        <v>12</v>
      </c>
      <c r="J30" s="2">
        <f>IF((Sheet2!N55+C34)&lt;=200, 910, IF((Sheet2!N55+C34)&lt;=400, 1600, 7300))</f>
        <v>7300</v>
      </c>
      <c r="K30" s="138">
        <f>INT(IF((Sheet2!N55+C34)&lt;=200, (Sheet2!N55+C34)*120, IF((Sheet2!N55+C34)&lt;=400, 24000+((Sheet2!N55+C34)-200)*214.6, 66920+((Sheet2!N55+C34)-400)*307.3)))+INT(MAX((Sheet2!N55+C34)-1000,0)*(736.2-307.3))</f>
        <v>1036315</v>
      </c>
      <c r="L30" s="138">
        <f>INT((Sheet2!N55+C34)*9)</f>
        <v>18596</v>
      </c>
      <c r="M30" s="138">
        <f>INT((Sheet2!N55+C34)*5)</f>
        <v>10331</v>
      </c>
      <c r="N30" s="138">
        <f t="shared" si="5"/>
        <v>1072542</v>
      </c>
      <c r="O30" s="138">
        <f t="shared" si="6"/>
        <v>107254</v>
      </c>
      <c r="P30" s="138">
        <f t="shared" si="7"/>
        <v>28950</v>
      </c>
      <c r="Q30" s="138">
        <f t="shared" si="8"/>
        <v>1208740</v>
      </c>
      <c r="R30" s="138">
        <f t="shared" si="9"/>
        <v>579620</v>
      </c>
      <c r="S30" s="139"/>
      <c r="T30" s="139"/>
      <c r="U30" s="140"/>
      <c r="AK30" s="149"/>
    </row>
    <row r="31" spans="2:57" s="1" customFormat="1" ht="16.5" customHeight="1">
      <c r="B31" s="145">
        <v>9</v>
      </c>
      <c r="C31" s="148">
        <f>Sheet2!K24</f>
        <v>1963.8835087771868</v>
      </c>
      <c r="D31" s="147">
        <v>9</v>
      </c>
      <c r="H31" s="137"/>
      <c r="I31" s="150" t="s">
        <v>77</v>
      </c>
      <c r="J31" s="6" t="s">
        <v>378</v>
      </c>
      <c r="K31" s="6" t="s">
        <v>379</v>
      </c>
      <c r="L31" s="6" t="s">
        <v>380</v>
      </c>
      <c r="M31" s="6" t="s">
        <v>381</v>
      </c>
      <c r="N31" s="6" t="s">
        <v>382</v>
      </c>
      <c r="O31" s="6" t="s">
        <v>383</v>
      </c>
      <c r="P31" s="6" t="s">
        <v>384</v>
      </c>
      <c r="Q31" s="6" t="s">
        <v>385</v>
      </c>
      <c r="R31" s="6" t="s">
        <v>386</v>
      </c>
      <c r="S31" s="143">
        <f>SUM(R32:R43)</f>
        <v>2134160</v>
      </c>
      <c r="T31" s="143">
        <f>Sheet2!O18</f>
        <v>1620551.6253430294</v>
      </c>
      <c r="U31" s="144">
        <f>(T31-S31)/T31</f>
        <v>-0.31693428745181312</v>
      </c>
      <c r="AK31" s="149"/>
    </row>
    <row r="32" spans="2:57" s="1" customFormat="1" ht="16.5" customHeight="1">
      <c r="B32" s="145">
        <v>10</v>
      </c>
      <c r="C32" s="148">
        <f>Sheet2!L24</f>
        <v>1390.5277537482875</v>
      </c>
      <c r="D32" s="147">
        <v>10</v>
      </c>
      <c r="H32" s="137"/>
      <c r="I32" s="2">
        <v>1</v>
      </c>
      <c r="J32" s="2">
        <f>IF((Sheet2!C56+C23)&lt;=200, 910, IF((Sheet2!C56+C23)&lt;=400, 1600, 7300))</f>
        <v>7300</v>
      </c>
      <c r="K32" s="138">
        <f>INT(IF((Sheet2!C56+C23)&lt;=200, (Sheet2!C56+C23)*120, IF((Sheet2!C56+C23)&lt;=400, 24000+((Sheet2!C56+C23)-200)*214.6, 66920+((Sheet2!C56+C23)-400)*307.3)))+INT(MAX((Sheet2!C56+C23)-1000,0)*(736.2-307.3))</f>
        <v>1154898</v>
      </c>
      <c r="L32" s="138">
        <f>INT((Sheet2!C56+C23)*9)</f>
        <v>20046</v>
      </c>
      <c r="M32" s="138">
        <f>INT((Sheet2!C56+C23)*5)</f>
        <v>11136</v>
      </c>
      <c r="N32" s="138">
        <f t="shared" ref="N32:N43" si="10">SUM(J32:M32)</f>
        <v>1193380</v>
      </c>
      <c r="O32" s="138">
        <f t="shared" ref="O32:O43" si="11">ROUND(N32*0.1, 0)</f>
        <v>119338</v>
      </c>
      <c r="P32" s="138">
        <f t="shared" ref="P32:P43" si="12">FLOOR(N32*0.027, 10)</f>
        <v>32220</v>
      </c>
      <c r="Q32" s="138">
        <f t="shared" ref="Q32:Q43" si="13">FLOOR(N32+O32+P32, 10)</f>
        <v>1344930</v>
      </c>
      <c r="R32" s="138">
        <f t="shared" ref="R32:R43" si="14">MAX(Q32-BB6,0)</f>
        <v>614980</v>
      </c>
      <c r="S32" s="139"/>
      <c r="T32" s="139"/>
      <c r="U32" s="140"/>
      <c r="AK32" s="149"/>
    </row>
    <row r="33" spans="2:37" s="1" customFormat="1" ht="16.5" customHeight="1">
      <c r="B33" s="145">
        <v>11</v>
      </c>
      <c r="C33" s="148">
        <f>Sheet2!M24</f>
        <v>1324.9518097825483</v>
      </c>
      <c r="D33" s="147">
        <v>11</v>
      </c>
      <c r="H33" s="137"/>
      <c r="I33" s="2">
        <v>2</v>
      </c>
      <c r="J33" s="2">
        <f>IF((Sheet2!D56+C24)&lt;=200, 910, IF((Sheet2!D56+C24)&lt;=400, 1600, 7300))</f>
        <v>7300</v>
      </c>
      <c r="K33" s="138">
        <f>INT(IF((Sheet2!D56+C24)&lt;=200, (Sheet2!D56+C24)*120, IF((Sheet2!D56+C24)&lt;=400, 24000+((Sheet2!D56+C24)-200)*214.6, 66920+((Sheet2!D56+C24)-400)*307.3)))+INT(MAX((Sheet2!D56+C24)-1000,0)*(736.2-307.3))</f>
        <v>1096898</v>
      </c>
      <c r="L33" s="138">
        <f>INT((Sheet2!D56+C24)*9)</f>
        <v>19337</v>
      </c>
      <c r="M33" s="138">
        <f>INT((Sheet2!D56+C24)*5)</f>
        <v>10742</v>
      </c>
      <c r="N33" s="138">
        <f t="shared" si="10"/>
        <v>1134277</v>
      </c>
      <c r="O33" s="138">
        <f t="shared" si="11"/>
        <v>113428</v>
      </c>
      <c r="P33" s="138">
        <f t="shared" si="12"/>
        <v>30620</v>
      </c>
      <c r="Q33" s="138">
        <f t="shared" si="13"/>
        <v>1278320</v>
      </c>
      <c r="R33" s="138">
        <f t="shared" si="14"/>
        <v>539430</v>
      </c>
      <c r="S33" s="139"/>
      <c r="T33" s="139"/>
      <c r="U33" s="140"/>
      <c r="AK33" s="149"/>
    </row>
    <row r="34" spans="2:37" s="1" customFormat="1" ht="16.5" customHeight="1">
      <c r="B34" s="145">
        <v>12</v>
      </c>
      <c r="C34" s="148">
        <f>Sheet2!N24</f>
        <v>1380.7459531220195</v>
      </c>
      <c r="D34" s="147">
        <v>12</v>
      </c>
      <c r="H34" s="137"/>
      <c r="I34" s="2">
        <v>3</v>
      </c>
      <c r="J34" s="2">
        <f>IF((Sheet2!E56+C25)&lt;=200, 910, IF((Sheet2!E56+C25)&lt;=400, 1600, 7300))</f>
        <v>7300</v>
      </c>
      <c r="K34" s="138">
        <f>INT(IF((Sheet2!E56+C25)&lt;=200, (Sheet2!E56+C25)*120, IF((Sheet2!E56+C25)&lt;=400, 24000+((Sheet2!E56+C25)-200)*214.6, 66920+((Sheet2!E56+C25)-400)*307.3)))</f>
        <v>498401</v>
      </c>
      <c r="L34" s="138">
        <f>INT((Sheet2!E56+C25)*9)</f>
        <v>16236</v>
      </c>
      <c r="M34" s="138">
        <f>INT((Sheet2!E56+C25)*5)</f>
        <v>9020</v>
      </c>
      <c r="N34" s="138">
        <f t="shared" si="10"/>
        <v>530957</v>
      </c>
      <c r="O34" s="138">
        <f t="shared" si="11"/>
        <v>53096</v>
      </c>
      <c r="P34" s="138">
        <f t="shared" si="12"/>
        <v>14330</v>
      </c>
      <c r="Q34" s="138">
        <f t="shared" si="13"/>
        <v>598380</v>
      </c>
      <c r="R34" s="138">
        <f t="shared" si="14"/>
        <v>177760</v>
      </c>
      <c r="S34" s="139"/>
      <c r="T34" s="139"/>
      <c r="U34" s="140"/>
      <c r="AK34" s="149"/>
    </row>
    <row r="35" spans="2:37" s="1" customFormat="1" ht="16.5" customHeight="1">
      <c r="H35" s="137"/>
      <c r="I35" s="2">
        <v>4</v>
      </c>
      <c r="J35" s="2">
        <f>IF((Sheet2!F56+C26)&lt;=200, 910, IF((Sheet2!F56+C26)&lt;=400, 1600, 7300))</f>
        <v>7300</v>
      </c>
      <c r="K35" s="138">
        <f>INT(IF((Sheet2!F56+C26)&lt;=200, (Sheet2!F56+C26)*120, IF((Sheet2!F56+C26)&lt;=400, 24000+((Sheet2!F56+C26)-200)*214.6, 66920+((Sheet2!F56+C26)-400)*307.3)))</f>
        <v>410165</v>
      </c>
      <c r="L35" s="138">
        <f>INT((Sheet2!F56+C26)*9)</f>
        <v>13652</v>
      </c>
      <c r="M35" s="138">
        <f>INT((Sheet2!F56+C26)*5)</f>
        <v>7584</v>
      </c>
      <c r="N35" s="138">
        <f t="shared" si="10"/>
        <v>438701</v>
      </c>
      <c r="O35" s="138">
        <f t="shared" si="11"/>
        <v>43870</v>
      </c>
      <c r="P35" s="138">
        <f t="shared" si="12"/>
        <v>11840</v>
      </c>
      <c r="Q35" s="138">
        <f t="shared" si="13"/>
        <v>494410</v>
      </c>
      <c r="R35" s="138">
        <f t="shared" si="14"/>
        <v>71960</v>
      </c>
      <c r="S35" s="139"/>
      <c r="T35" s="139"/>
      <c r="U35" s="140"/>
      <c r="AK35" s="149"/>
    </row>
    <row r="36" spans="2:37" s="1" customFormat="1" ht="16.5" customHeight="1">
      <c r="C36" s="6" t="s">
        <v>410</v>
      </c>
      <c r="H36" s="137"/>
      <c r="I36" s="2">
        <v>5</v>
      </c>
      <c r="J36" s="2">
        <f>IF((Sheet2!G56+C27)&lt;=200, 910, IF((Sheet2!G56+C27)&lt;=400, 1600, 7300))</f>
        <v>7300</v>
      </c>
      <c r="K36" s="138">
        <f>INT(IF((Sheet2!G56+C27)&lt;=200, (Sheet2!G56+C27)*120, IF((Sheet2!G56+C27)&lt;=400, 24000+((Sheet2!G56+C27)-200)*214.6, 66920+((Sheet2!G56+C27)-400)*307.3)))</f>
        <v>359400</v>
      </c>
      <c r="L36" s="138">
        <f>INT((Sheet2!G56+C27)*9)</f>
        <v>12165</v>
      </c>
      <c r="M36" s="138">
        <f>INT((Sheet2!G56+C27)*5)</f>
        <v>6758</v>
      </c>
      <c r="N36" s="138">
        <f t="shared" si="10"/>
        <v>385623</v>
      </c>
      <c r="O36" s="138">
        <f t="shared" si="11"/>
        <v>38562</v>
      </c>
      <c r="P36" s="138">
        <f t="shared" si="12"/>
        <v>10410</v>
      </c>
      <c r="Q36" s="138">
        <f t="shared" si="13"/>
        <v>434590</v>
      </c>
      <c r="R36" s="138">
        <f t="shared" si="14"/>
        <v>41450</v>
      </c>
      <c r="S36" s="139"/>
      <c r="T36" s="139"/>
      <c r="U36" s="140"/>
      <c r="AK36" s="149"/>
    </row>
    <row r="37" spans="2:37" s="1" customFormat="1" ht="16.5" customHeight="1">
      <c r="B37" s="145">
        <v>1</v>
      </c>
      <c r="C37" s="151">
        <f>IFERROR(INDEX($AM$5:$AM$21, MATCH(Sheet2!$C$19, $AK$5:$AK$21, 0)) * Sheet2!$C$29, 0)</f>
        <v>0</v>
      </c>
      <c r="D37" s="147">
        <v>1</v>
      </c>
      <c r="H37" s="137"/>
      <c r="I37" s="2">
        <v>6</v>
      </c>
      <c r="J37" s="2">
        <f>IF((Sheet2!H56+C28)&lt;=200, 910, IF((Sheet2!H56+C28)&lt;=400, 1600, 7300))</f>
        <v>7300</v>
      </c>
      <c r="K37" s="138">
        <f>INT(IF((Sheet2!H56+C28)&lt;=200, (Sheet2!H56+C28)*120, IF((Sheet2!H56+C28)&lt;=400, 24000+((Sheet2!H56+C28)-200)*214.6, 66920+((Sheet2!H56+C28)-400)*307.3)))</f>
        <v>373552</v>
      </c>
      <c r="L37" s="138">
        <f>INT((Sheet2!H56+C28)*9)</f>
        <v>12580</v>
      </c>
      <c r="M37" s="138">
        <f>INT((Sheet2!H56+C28)*5)</f>
        <v>6989</v>
      </c>
      <c r="N37" s="138">
        <f t="shared" si="10"/>
        <v>400421</v>
      </c>
      <c r="O37" s="138">
        <f t="shared" si="11"/>
        <v>40042</v>
      </c>
      <c r="P37" s="138">
        <f t="shared" si="12"/>
        <v>10810</v>
      </c>
      <c r="Q37" s="138">
        <f t="shared" si="13"/>
        <v>451270</v>
      </c>
      <c r="R37" s="138">
        <f t="shared" si="14"/>
        <v>28340</v>
      </c>
      <c r="S37" s="139"/>
      <c r="T37" s="139"/>
      <c r="U37" s="140"/>
      <c r="AK37" s="149"/>
    </row>
    <row r="38" spans="2:37" s="1" customFormat="1" ht="16.5" customHeight="1">
      <c r="B38" s="145">
        <v>2</v>
      </c>
      <c r="C38" s="151">
        <f>IFERROR(INDEX($AN$5:$AN$21, MATCH(Sheet2!$C$19, $AK$5:$AK$21, 0)) * Sheet2!$C$29, 0)</f>
        <v>0</v>
      </c>
      <c r="D38" s="147">
        <v>2</v>
      </c>
      <c r="H38" s="137"/>
      <c r="I38" s="2">
        <v>7</v>
      </c>
      <c r="J38" s="2">
        <f>IF((Sheet2!I56+C29)&lt;=300, 910, IF((Sheet2!I56+C29)&lt;=450, 1600, 7300))</f>
        <v>7300</v>
      </c>
      <c r="K38" s="2">
        <f>INT(IF((Sheet2!I56+C29)&lt;=300, (Sheet2!I56+C29)*120, IF((Sheet2!I56+C29)&lt;=450, 36000+((Sheet2!I56+C29)-300)*214.6, 68190+((Sheet2!I56+C29)-450)*307.3)))+INT(MAX((Sheet2!I56+C29)-1000,0)*(736.2-307.3))</f>
        <v>788270</v>
      </c>
      <c r="L38" s="138">
        <f>INT((Sheet2!I56+C29)*9)</f>
        <v>15736</v>
      </c>
      <c r="M38" s="138">
        <f>INT((Sheet2!I56+C29)*5)</f>
        <v>8742</v>
      </c>
      <c r="N38" s="138">
        <f t="shared" si="10"/>
        <v>820048</v>
      </c>
      <c r="O38" s="138">
        <f t="shared" si="11"/>
        <v>82005</v>
      </c>
      <c r="P38" s="138">
        <f t="shared" si="12"/>
        <v>22140</v>
      </c>
      <c r="Q38" s="138">
        <f t="shared" si="13"/>
        <v>924190</v>
      </c>
      <c r="R38" s="138">
        <f t="shared" si="14"/>
        <v>42740</v>
      </c>
      <c r="S38" s="139"/>
      <c r="T38" s="139"/>
      <c r="U38" s="140"/>
      <c r="AK38" s="149"/>
    </row>
    <row r="39" spans="2:37" s="1" customFormat="1" ht="16.5" customHeight="1">
      <c r="B39" s="145">
        <v>3</v>
      </c>
      <c r="C39" s="151">
        <f>IFERROR(INDEX($AO$5:$AO$21, MATCH(Sheet2!$C$19, $AK$5:$AK$21, 0)) * Sheet2!$C$29, 0)</f>
        <v>0</v>
      </c>
      <c r="D39" s="147">
        <v>3</v>
      </c>
      <c r="H39" s="137"/>
      <c r="I39" s="2">
        <v>8</v>
      </c>
      <c r="J39" s="2">
        <f>IF((Sheet2!J56+C30)&lt;=300, 910, IF((Sheet2!J56+C30)&lt;=450, 1600, 7300))</f>
        <v>7300</v>
      </c>
      <c r="K39" s="2">
        <f>INT(IF((Sheet2!J56+C30)&lt;=300, (Sheet2!J56+C30)*120, IF((Sheet2!J56+C30)&lt;=450, 36000+((Sheet2!J56+C30)-300)*214.6, 68190+((Sheet2!J56+C30)-450)*307.3)))+INT(MAX((Sheet2!J56+C30)-1000,0)*(736.2-307.3))</f>
        <v>1108617</v>
      </c>
      <c r="L39" s="138">
        <f>INT((Sheet2!J56+C30)*9)</f>
        <v>19652</v>
      </c>
      <c r="M39" s="138">
        <f>INT((Sheet2!J56+C30)*5)</f>
        <v>10918</v>
      </c>
      <c r="N39" s="138">
        <f t="shared" si="10"/>
        <v>1146487</v>
      </c>
      <c r="O39" s="138">
        <f t="shared" si="11"/>
        <v>114649</v>
      </c>
      <c r="P39" s="138">
        <f t="shared" si="12"/>
        <v>30950</v>
      </c>
      <c r="Q39" s="138">
        <f t="shared" si="13"/>
        <v>1292080</v>
      </c>
      <c r="R39" s="138">
        <f t="shared" si="14"/>
        <v>42470</v>
      </c>
      <c r="S39" s="139"/>
      <c r="T39" s="139"/>
      <c r="U39" s="140"/>
      <c r="AK39" s="149"/>
    </row>
    <row r="40" spans="2:37" s="1" customFormat="1" ht="16.5" customHeight="1">
      <c r="B40" s="145">
        <v>4</v>
      </c>
      <c r="C40" s="151">
        <f>IFERROR(INDEX($AP$5:$AP$21, MATCH(Sheet2!$C$19, $AK$5:$AK$21, 0)) * Sheet2!$C$29, 0)</f>
        <v>0</v>
      </c>
      <c r="D40" s="147">
        <v>4</v>
      </c>
      <c r="H40" s="137"/>
      <c r="I40" s="2">
        <v>9</v>
      </c>
      <c r="J40" s="2">
        <f>IF((Sheet2!K56+C31)&lt;=200, 910, IF((Sheet2!K56+C31)&lt;=400, 1600, 7300))</f>
        <v>7300</v>
      </c>
      <c r="K40" s="138">
        <f>INT(IF((Sheet2!K56+C31)&lt;=200, (Sheet2!K56+C31)*120, IF((Sheet2!K56+C31)&lt;=400, 24000+((Sheet2!K56+C31)-200)*214.6, 66920+((Sheet2!K56+C31)-400)*307.3)))</f>
        <v>576250</v>
      </c>
      <c r="L40" s="138">
        <f>INT((Sheet2!K56+C31)*9)</f>
        <v>18516</v>
      </c>
      <c r="M40" s="138">
        <f>INT((Sheet2!K56+C31)*5)</f>
        <v>10287</v>
      </c>
      <c r="N40" s="138">
        <f t="shared" si="10"/>
        <v>612353</v>
      </c>
      <c r="O40" s="138">
        <f t="shared" si="11"/>
        <v>61235</v>
      </c>
      <c r="P40" s="138">
        <f t="shared" si="12"/>
        <v>16530</v>
      </c>
      <c r="Q40" s="138">
        <f t="shared" si="13"/>
        <v>690110</v>
      </c>
      <c r="R40" s="138">
        <f t="shared" si="14"/>
        <v>33870</v>
      </c>
      <c r="S40" s="139"/>
      <c r="T40" s="139"/>
      <c r="U40" s="140"/>
      <c r="AK40" s="6"/>
    </row>
    <row r="41" spans="2:37" s="1" customFormat="1" ht="16.5" customHeight="1">
      <c r="B41" s="145">
        <v>5</v>
      </c>
      <c r="C41" s="151">
        <f>IFERROR(INDEX($AQ$5:$AQ$21, MATCH(Sheet2!$C$19, $AK$5:$AK$21, 0)) * Sheet2!$C$29, 0)</f>
        <v>0</v>
      </c>
      <c r="D41" s="147">
        <v>5</v>
      </c>
      <c r="H41" s="137"/>
      <c r="I41" s="2">
        <v>10</v>
      </c>
      <c r="J41" s="2">
        <f>IF((Sheet2!L56+C32)&lt;=200, 910, IF((Sheet2!L56+C32)&lt;=400, 1600, 7300))</f>
        <v>7300</v>
      </c>
      <c r="K41" s="138">
        <f>INT(IF((Sheet2!L56+C32)&lt;=200, (Sheet2!L56+C32)*120, IF((Sheet2!L56+C32)&lt;=400, 24000+((Sheet2!L56+C32)-200)*214.6, 66920+((Sheet2!L56+C32)-400)*307.3)))</f>
        <v>418055</v>
      </c>
      <c r="L41" s="138">
        <f>INT((Sheet2!L56+C32)*9)</f>
        <v>13883</v>
      </c>
      <c r="M41" s="138">
        <f>INT((Sheet2!L56+C32)*5)</f>
        <v>7713</v>
      </c>
      <c r="N41" s="138">
        <f t="shared" si="10"/>
        <v>446951</v>
      </c>
      <c r="O41" s="138">
        <f t="shared" si="11"/>
        <v>44695</v>
      </c>
      <c r="P41" s="138">
        <f t="shared" si="12"/>
        <v>12060</v>
      </c>
      <c r="Q41" s="138">
        <f t="shared" si="13"/>
        <v>503700</v>
      </c>
      <c r="R41" s="138">
        <f t="shared" si="14"/>
        <v>55080</v>
      </c>
      <c r="S41" s="139"/>
      <c r="T41" s="139"/>
      <c r="U41" s="140"/>
      <c r="AK41" s="6"/>
    </row>
    <row r="42" spans="2:37" s="1" customFormat="1" ht="16.5" customHeight="1">
      <c r="B42" s="145">
        <v>6</v>
      </c>
      <c r="C42" s="151">
        <f>IFERROR(INDEX($AR$5:$AR$21, MATCH(Sheet2!$C$19, $AK$5:$AK$21, 0)) * Sheet2!$C$29, 0)</f>
        <v>0</v>
      </c>
      <c r="D42" s="147">
        <v>6</v>
      </c>
      <c r="H42" s="137"/>
      <c r="I42" s="2">
        <v>11</v>
      </c>
      <c r="J42" s="2">
        <f>IF((Sheet2!M56+C33)&lt;=200, 910, IF((Sheet2!M56+C33)&lt;=400, 1600, 7300))</f>
        <v>7300</v>
      </c>
      <c r="K42" s="138">
        <f>INT(IF((Sheet2!M56+C33)&lt;=200, (Sheet2!M56+C33)*120, IF((Sheet2!M56+C33)&lt;=400, 24000+((Sheet2!M56+C33)-200)*214.6, 66920+((Sheet2!M56+C33)-400)*307.3)))</f>
        <v>429599</v>
      </c>
      <c r="L42" s="138">
        <f>INT((Sheet2!M56+C33)*9)</f>
        <v>14221</v>
      </c>
      <c r="M42" s="138">
        <f>INT((Sheet2!M56+C33)*5)</f>
        <v>7901</v>
      </c>
      <c r="N42" s="138">
        <f t="shared" si="10"/>
        <v>459021</v>
      </c>
      <c r="O42" s="138">
        <f t="shared" si="11"/>
        <v>45902</v>
      </c>
      <c r="P42" s="138">
        <f t="shared" si="12"/>
        <v>12390</v>
      </c>
      <c r="Q42" s="138">
        <f t="shared" si="13"/>
        <v>517310</v>
      </c>
      <c r="R42" s="138">
        <f t="shared" si="14"/>
        <v>92440</v>
      </c>
      <c r="S42" s="139"/>
      <c r="T42" s="139"/>
      <c r="U42" s="140"/>
      <c r="AK42" s="6"/>
    </row>
    <row r="43" spans="2:37" s="1" customFormat="1" ht="16.5" customHeight="1">
      <c r="B43" s="145">
        <v>7</v>
      </c>
      <c r="C43" s="151">
        <f>IFERROR(INDEX($AS$5:$AS$21, MATCH(Sheet2!$C$19, $AK$5:$AK$21, 0)) * Sheet2!$C$29, 0)</f>
        <v>0</v>
      </c>
      <c r="D43" s="147">
        <v>7</v>
      </c>
      <c r="H43" s="137"/>
      <c r="I43" s="2">
        <v>12</v>
      </c>
      <c r="J43" s="2">
        <f>IF((Sheet2!N56+C34)&lt;=200, 910, IF((Sheet2!N56+C34)&lt;=400, 1600, 7300))</f>
        <v>7300</v>
      </c>
      <c r="K43" s="138">
        <f>INT(IF((Sheet2!N56+C34)&lt;=200, (Sheet2!N56+C34)*120, IF((Sheet2!N56+C34)&lt;=400, 24000+((Sheet2!N56+C34)-200)*214.6, 66920+((Sheet2!N56+C34)-400)*307.3)))+INT(MAX((Sheet2!N56+C34)-1000,0)*(736.2-307.3))</f>
        <v>874363</v>
      </c>
      <c r="L43" s="138">
        <f>INT((Sheet2!N56+C34)*9)</f>
        <v>16616</v>
      </c>
      <c r="M43" s="138">
        <f>INT((Sheet2!N56+C34)*5)</f>
        <v>9231</v>
      </c>
      <c r="N43" s="138">
        <f t="shared" si="10"/>
        <v>907510</v>
      </c>
      <c r="O43" s="138">
        <f t="shared" si="11"/>
        <v>90751</v>
      </c>
      <c r="P43" s="138">
        <f t="shared" si="12"/>
        <v>24500</v>
      </c>
      <c r="Q43" s="138">
        <f t="shared" si="13"/>
        <v>1022760</v>
      </c>
      <c r="R43" s="138">
        <f t="shared" si="14"/>
        <v>393640</v>
      </c>
      <c r="S43" s="139"/>
      <c r="T43" s="139"/>
      <c r="U43" s="140"/>
      <c r="AK43" s="6"/>
    </row>
    <row r="44" spans="2:37" s="1" customFormat="1" ht="16.5" customHeight="1">
      <c r="B44" s="145">
        <v>8</v>
      </c>
      <c r="C44" s="151">
        <f>IFERROR(INDEX($AT$5:$AT$21, MATCH(Sheet2!$C$19, $AK$5:$AK$21, 0)) * Sheet2!$C$29, 0)</f>
        <v>0</v>
      </c>
      <c r="D44" s="147">
        <v>8</v>
      </c>
      <c r="H44" s="137"/>
      <c r="I44" s="2" t="s">
        <v>78</v>
      </c>
      <c r="J44" s="6" t="s">
        <v>378</v>
      </c>
      <c r="K44" s="6" t="s">
        <v>379</v>
      </c>
      <c r="L44" s="6" t="s">
        <v>380</v>
      </c>
      <c r="M44" s="6" t="s">
        <v>381</v>
      </c>
      <c r="N44" s="6" t="s">
        <v>382</v>
      </c>
      <c r="O44" s="6" t="s">
        <v>383</v>
      </c>
      <c r="P44" s="6" t="s">
        <v>384</v>
      </c>
      <c r="Q44" s="6" t="s">
        <v>385</v>
      </c>
      <c r="R44" s="6" t="s">
        <v>386</v>
      </c>
      <c r="S44" s="143">
        <f>SUM(R45:R56)</f>
        <v>2998840</v>
      </c>
      <c r="T44" s="143">
        <f>Sheet2!O18</f>
        <v>1620551.6253430294</v>
      </c>
      <c r="U44" s="144">
        <f>(T44-S44)/T44</f>
        <v>-0.85050568775630464</v>
      </c>
    </row>
    <row r="45" spans="2:37" s="1" customFormat="1" ht="16.5" customHeight="1">
      <c r="B45" s="145">
        <v>9</v>
      </c>
      <c r="C45" s="151">
        <f>IFERROR(INDEX($AU$5:$AU$21, MATCH(Sheet2!$C$19, $AK$5:$AK$21, 0)) * Sheet2!$C$29, 0)</f>
        <v>0</v>
      </c>
      <c r="D45" s="147">
        <v>9</v>
      </c>
      <c r="H45" s="137"/>
      <c r="I45" s="2">
        <v>1</v>
      </c>
      <c r="J45" s="2">
        <f>IF((Sheet2!C57+C23)&lt;=200, 910, IF((Sheet2!C57+C23)&lt;=400, 1600, 7300))</f>
        <v>7300</v>
      </c>
      <c r="K45" s="138">
        <f>INT(IF((Sheet2!C57+C23)&lt;=200, (Sheet2!C57+C23)*120, IF((Sheet2!C57+C23)&lt;=400, 24000+((Sheet2!C57+C23)-200)*214.6, 66920+((Sheet2!C57+C23)-400)*307.3)))+INT(MAX((Sheet2!C57+C23)-1000,0)*(736.2-307.3))</f>
        <v>1371866</v>
      </c>
      <c r="L45" s="138">
        <f>INT((Sheet2!C57+C23)*9)</f>
        <v>22698</v>
      </c>
      <c r="M45" s="138">
        <f>INT((Sheet2!C57+C23)*5)</f>
        <v>12610</v>
      </c>
      <c r="N45" s="138">
        <f t="shared" ref="N45:N56" si="15">SUM(J45:M45)</f>
        <v>1414474</v>
      </c>
      <c r="O45" s="138">
        <f t="shared" ref="O45:O56" si="16">ROUND(N45*0.1, 0)</f>
        <v>141447</v>
      </c>
      <c r="P45" s="138">
        <f t="shared" ref="P45:P56" si="17">FLOOR(N45*0.027, 10)</f>
        <v>38190</v>
      </c>
      <c r="Q45" s="138">
        <f t="shared" ref="Q45:Q56" si="18">FLOOR(N45+O45+P45, 10)</f>
        <v>1594110</v>
      </c>
      <c r="R45" s="138">
        <f t="shared" ref="R45:R56" si="19">MAX(Q45-BB6,0)</f>
        <v>864160</v>
      </c>
      <c r="S45" s="139"/>
      <c r="T45" s="139"/>
      <c r="U45" s="140"/>
    </row>
    <row r="46" spans="2:37" s="1" customFormat="1" ht="16.5" customHeight="1">
      <c r="B46" s="145">
        <v>10</v>
      </c>
      <c r="C46" s="151">
        <f>IFERROR(INDEX($AV$5:$AV$21, MATCH(Sheet2!$C$19, $AK$5:$AK$21, 0)) * Sheet2!$C$29, 0)</f>
        <v>0</v>
      </c>
      <c r="D46" s="147">
        <v>10</v>
      </c>
      <c r="H46" s="137"/>
      <c r="I46" s="2">
        <v>2</v>
      </c>
      <c r="J46" s="2">
        <f>IF((Sheet2!D57+C24)&lt;=200, 910, IF((Sheet2!D57+C24)&lt;=400, 1600, 7300))</f>
        <v>7300</v>
      </c>
      <c r="K46" s="138">
        <f>INT(IF((Sheet2!D57+C24)&lt;=200, (Sheet2!D57+C24)*120, IF((Sheet2!D57+C24)&lt;=400, 24000+((Sheet2!D57+C24)-200)*214.6, 66920+((Sheet2!D57+C24)-400)*307.3)))+INT(MAX((Sheet2!D57+C24)-1000,0)*(736.2-307.3))</f>
        <v>1287210</v>
      </c>
      <c r="L46" s="138">
        <f>INT((Sheet2!D57+C24)*9)</f>
        <v>21663</v>
      </c>
      <c r="M46" s="138">
        <f>INT((Sheet2!D57+C24)*5)</f>
        <v>12035</v>
      </c>
      <c r="N46" s="138">
        <f t="shared" si="15"/>
        <v>1328208</v>
      </c>
      <c r="O46" s="138">
        <f t="shared" si="16"/>
        <v>132821</v>
      </c>
      <c r="P46" s="138">
        <f t="shared" si="17"/>
        <v>35860</v>
      </c>
      <c r="Q46" s="138">
        <f t="shared" si="18"/>
        <v>1496880</v>
      </c>
      <c r="R46" s="138">
        <f t="shared" si="19"/>
        <v>757990</v>
      </c>
      <c r="S46" s="139"/>
      <c r="T46" s="139"/>
      <c r="U46" s="140"/>
    </row>
    <row r="47" spans="2:37" s="1" customFormat="1" ht="16.5" customHeight="1">
      <c r="B47" s="145">
        <v>11</v>
      </c>
      <c r="C47" s="151">
        <f>IFERROR(INDEX($AW$5:$AW$21, MATCH(Sheet2!$C$19, $AK$5:$AK$21, 0)) * Sheet2!$C$29, 0)</f>
        <v>0</v>
      </c>
      <c r="D47" s="147">
        <v>11</v>
      </c>
      <c r="H47" s="137"/>
      <c r="I47" s="2">
        <v>3</v>
      </c>
      <c r="J47" s="2">
        <f>IF((Sheet2!E57+C25)&lt;=200, 910, IF((Sheet2!E57+C25)&lt;=400, 1600, 7300))</f>
        <v>7300</v>
      </c>
      <c r="K47" s="138">
        <f>INT(IF((Sheet2!E57+C25)&lt;=200, (Sheet2!E57+C25)*120, IF((Sheet2!E57+C25)&lt;=400, 24000+((Sheet2!E57+C25)-200)*214.6, 66920+((Sheet2!E57+C25)-400)*307.3)))</f>
        <v>559521</v>
      </c>
      <c r="L47" s="138">
        <f>INT((Sheet2!E57+C25)*9)</f>
        <v>18026</v>
      </c>
      <c r="M47" s="138">
        <f>INT((Sheet2!E57+C25)*5)</f>
        <v>10014</v>
      </c>
      <c r="N47" s="138">
        <f t="shared" si="15"/>
        <v>594861</v>
      </c>
      <c r="O47" s="138">
        <f t="shared" si="16"/>
        <v>59486</v>
      </c>
      <c r="P47" s="138">
        <f t="shared" si="17"/>
        <v>16060</v>
      </c>
      <c r="Q47" s="138">
        <f t="shared" si="18"/>
        <v>670400</v>
      </c>
      <c r="R47" s="138">
        <f t="shared" si="19"/>
        <v>249780</v>
      </c>
      <c r="S47" s="139"/>
      <c r="T47" s="139"/>
      <c r="U47" s="140"/>
    </row>
    <row r="48" spans="2:37" s="1" customFormat="1" ht="16.5" customHeight="1">
      <c r="B48" s="145">
        <v>12</v>
      </c>
      <c r="C48" s="151">
        <f>IFERROR(INDEX($AX$5:$AX$21, MATCH(Sheet2!$C$19, $AK$5:$AK$21, 0)) * Sheet2!$C$29, 0)</f>
        <v>0</v>
      </c>
      <c r="D48" s="147">
        <v>12</v>
      </c>
      <c r="H48" s="137"/>
      <c r="I48" s="2">
        <v>4</v>
      </c>
      <c r="J48" s="2">
        <f>IF((Sheet2!F57+C26)&lt;=200, 910, IF((Sheet2!F57+C26)&lt;=400, 1600, 7300))</f>
        <v>7300</v>
      </c>
      <c r="K48" s="138">
        <f>INT(IF((Sheet2!F57+C26)&lt;=200, (Sheet2!F57+C26)*120, IF((Sheet2!F57+C26)&lt;=400, 24000+((Sheet2!F57+C26)-200)*214.6, 66920+((Sheet2!F57+C26)-400)*307.3)))</f>
        <v>434909</v>
      </c>
      <c r="L48" s="138">
        <f>INT((Sheet2!F57+C26)*9)</f>
        <v>14377</v>
      </c>
      <c r="M48" s="138">
        <f>INT((Sheet2!F57+C26)*5)</f>
        <v>7987</v>
      </c>
      <c r="N48" s="138">
        <f t="shared" si="15"/>
        <v>464573</v>
      </c>
      <c r="O48" s="138">
        <f t="shared" si="16"/>
        <v>46457</v>
      </c>
      <c r="P48" s="138">
        <f t="shared" si="17"/>
        <v>12540</v>
      </c>
      <c r="Q48" s="138">
        <f t="shared" si="18"/>
        <v>523570</v>
      </c>
      <c r="R48" s="138">
        <f t="shared" si="19"/>
        <v>101120</v>
      </c>
      <c r="S48" s="139"/>
      <c r="T48" s="139"/>
      <c r="U48" s="140"/>
    </row>
    <row r="49" spans="7:21" s="1" customFormat="1" ht="16.5" customHeight="1">
      <c r="H49" s="137"/>
      <c r="I49" s="2">
        <v>5</v>
      </c>
      <c r="J49" s="2">
        <f>IF((Sheet2!G57+C27)&lt;=200, 910, IF((Sheet2!G57+C27)&lt;=400, 1600, 7300))</f>
        <v>7300</v>
      </c>
      <c r="K49" s="138">
        <f>INT(IF((Sheet2!G57+C27)&lt;=200, (Sheet2!G57+C27)*120, IF((Sheet2!G57+C27)&lt;=400, 24000+((Sheet2!G57+C27)-200)*214.6, 66920+((Sheet2!G57+C27)-400)*307.3)))</f>
        <v>373649</v>
      </c>
      <c r="L49" s="138">
        <f>INT((Sheet2!G57+C27)*9)</f>
        <v>12583</v>
      </c>
      <c r="M49" s="138">
        <f>INT((Sheet2!G57+C27)*5)</f>
        <v>6990</v>
      </c>
      <c r="N49" s="138">
        <f t="shared" si="15"/>
        <v>400522</v>
      </c>
      <c r="O49" s="138">
        <f t="shared" si="16"/>
        <v>40052</v>
      </c>
      <c r="P49" s="138">
        <f t="shared" si="17"/>
        <v>10810</v>
      </c>
      <c r="Q49" s="138">
        <f t="shared" si="18"/>
        <v>451380</v>
      </c>
      <c r="R49" s="138">
        <f t="shared" si="19"/>
        <v>58240</v>
      </c>
      <c r="S49" s="139"/>
      <c r="T49" s="139"/>
      <c r="U49" s="140"/>
    </row>
    <row r="50" spans="7:21" s="1" customFormat="1" ht="16.5" customHeight="1">
      <c r="H50" s="137"/>
      <c r="I50" s="2">
        <v>6</v>
      </c>
      <c r="J50" s="2">
        <f>IF((Sheet2!H57+C28)&lt;=200, 910, IF((Sheet2!H57+C28)&lt;=400, 1600, 7300))</f>
        <v>7300</v>
      </c>
      <c r="K50" s="138">
        <f>INT(IF((Sheet2!H57+C28)&lt;=200, (Sheet2!H57+C28)*120, IF((Sheet2!H57+C28)&lt;=400, 24000+((Sheet2!H57+C28)-200)*214.6, 66920+((Sheet2!H57+C28)-400)*307.3)))</f>
        <v>383295</v>
      </c>
      <c r="L50" s="138">
        <f>INT((Sheet2!H57+C28)*9)</f>
        <v>12865</v>
      </c>
      <c r="M50" s="138">
        <f>INT((Sheet2!H57+C28)*5)</f>
        <v>7147</v>
      </c>
      <c r="N50" s="138">
        <f t="shared" si="15"/>
        <v>410607</v>
      </c>
      <c r="O50" s="138">
        <f t="shared" si="16"/>
        <v>41061</v>
      </c>
      <c r="P50" s="138">
        <f t="shared" si="17"/>
        <v>11080</v>
      </c>
      <c r="Q50" s="138">
        <f t="shared" si="18"/>
        <v>462740</v>
      </c>
      <c r="R50" s="138">
        <f t="shared" si="19"/>
        <v>39810</v>
      </c>
      <c r="S50" s="139"/>
      <c r="T50" s="139"/>
      <c r="U50" s="140"/>
    </row>
    <row r="51" spans="7:21" s="1" customFormat="1" ht="16.5" customHeight="1">
      <c r="H51" s="137"/>
      <c r="I51" s="2">
        <v>7</v>
      </c>
      <c r="J51" s="2">
        <f>IF((Sheet2!I57+C29)&lt;=300, 910, IF((Sheet2!I57+C29)&lt;=450, 1600, 7300))</f>
        <v>7300</v>
      </c>
      <c r="K51" s="2">
        <f>INT(IF((Sheet2!I57+C29)&lt;=300, (Sheet2!I57+C29)*120, IF((Sheet2!I57+C29)&lt;=450, 36000+((Sheet2!I57+C29)-300)*214.6, 68190+((Sheet2!I57+C29)-450)*307.3)))+INT(MAX((Sheet2!I57+C29)-1000,0)*(736.2-307.3))</f>
        <v>803348</v>
      </c>
      <c r="L51" s="138">
        <f>INT((Sheet2!I57+C29)*9)</f>
        <v>15921</v>
      </c>
      <c r="M51" s="138">
        <f>INT((Sheet2!I57+C29)*5)</f>
        <v>8845</v>
      </c>
      <c r="N51" s="138">
        <f t="shared" si="15"/>
        <v>835414</v>
      </c>
      <c r="O51" s="138">
        <f t="shared" si="16"/>
        <v>83541</v>
      </c>
      <c r="P51" s="138">
        <f t="shared" si="17"/>
        <v>22550</v>
      </c>
      <c r="Q51" s="138">
        <f t="shared" si="18"/>
        <v>941500</v>
      </c>
      <c r="R51" s="138">
        <f t="shared" si="19"/>
        <v>60050</v>
      </c>
      <c r="S51" s="139"/>
      <c r="T51" s="139"/>
      <c r="U51" s="140"/>
    </row>
    <row r="52" spans="7:21" s="1" customFormat="1" ht="16.5" customHeight="1">
      <c r="H52" s="137"/>
      <c r="I52" s="2">
        <v>8</v>
      </c>
      <c r="J52" s="2">
        <f>IF((Sheet2!J57+C30)&lt;=300, 910, IF((Sheet2!J57+C30)&lt;=450, 1600, 7300))</f>
        <v>7300</v>
      </c>
      <c r="K52" s="2">
        <f>INT(IF((Sheet2!J57+C30)&lt;=300, (Sheet2!J57+C30)*120, IF((Sheet2!J57+C30)&lt;=450, 36000+((Sheet2!J57+C30)-300)*214.6, 68190+((Sheet2!J57+C30)-450)*307.3)))+INT(MAX((Sheet2!J57+C30)-1000,0)*(736.2-307.3))</f>
        <v>1123602</v>
      </c>
      <c r="L52" s="138">
        <f>INT((Sheet2!J57+C30)*9)</f>
        <v>19836</v>
      </c>
      <c r="M52" s="138">
        <f>INT((Sheet2!J57+C30)*5)</f>
        <v>11020</v>
      </c>
      <c r="N52" s="138">
        <f t="shared" si="15"/>
        <v>1161758</v>
      </c>
      <c r="O52" s="138">
        <f t="shared" si="16"/>
        <v>116176</v>
      </c>
      <c r="P52" s="138">
        <f t="shared" si="17"/>
        <v>31360</v>
      </c>
      <c r="Q52" s="138">
        <f t="shared" si="18"/>
        <v>1309290</v>
      </c>
      <c r="R52" s="138">
        <f t="shared" si="19"/>
        <v>59680</v>
      </c>
      <c r="S52" s="139"/>
      <c r="T52" s="139"/>
      <c r="U52" s="140"/>
    </row>
    <row r="53" spans="7:21" s="1" customFormat="1" ht="16.5" customHeight="1">
      <c r="H53" s="137"/>
      <c r="I53" s="2">
        <v>9</v>
      </c>
      <c r="J53" s="2">
        <f>IF((Sheet2!K57+C31)&lt;=200, 910, IF((Sheet2!K57+C31)&lt;=400, 1600, 7300))</f>
        <v>7300</v>
      </c>
      <c r="K53" s="138">
        <f>INT(IF((Sheet2!K57+C31)&lt;=200, (Sheet2!K57+C31)*120, IF((Sheet2!K57+C31)&lt;=400, 24000+((Sheet2!K57+C31)-200)*214.6, 66920+((Sheet2!K57+C31)-400)*307.3)))</f>
        <v>587898</v>
      </c>
      <c r="L53" s="138">
        <f>INT((Sheet2!K57+C31)*9)</f>
        <v>18858</v>
      </c>
      <c r="M53" s="138">
        <f>INT((Sheet2!K57+C31)*5)</f>
        <v>10476</v>
      </c>
      <c r="N53" s="138">
        <f t="shared" si="15"/>
        <v>624532</v>
      </c>
      <c r="O53" s="138">
        <f t="shared" si="16"/>
        <v>62453</v>
      </c>
      <c r="P53" s="138">
        <f t="shared" si="17"/>
        <v>16860</v>
      </c>
      <c r="Q53" s="138">
        <f t="shared" si="18"/>
        <v>703840</v>
      </c>
      <c r="R53" s="138">
        <f t="shared" si="19"/>
        <v>47600</v>
      </c>
      <c r="S53" s="139"/>
      <c r="T53" s="139"/>
      <c r="U53" s="140"/>
    </row>
    <row r="54" spans="7:21" s="1" customFormat="1" ht="16.5" customHeight="1">
      <c r="H54" s="137"/>
      <c r="I54" s="2">
        <v>10</v>
      </c>
      <c r="J54" s="2">
        <f>IF((Sheet2!L57+C32)&lt;=200, 910, IF((Sheet2!L57+C32)&lt;=400, 1600, 7300))</f>
        <v>7300</v>
      </c>
      <c r="K54" s="138">
        <f>INT(IF((Sheet2!L57+C32)&lt;=200, (Sheet2!L57+C32)*120, IF((Sheet2!L57+C32)&lt;=400, 24000+((Sheet2!L57+C32)-200)*214.6, 66920+((Sheet2!L57+C32)-400)*307.3)))</f>
        <v>436995</v>
      </c>
      <c r="L54" s="138">
        <f>INT((Sheet2!L57+C32)*9)</f>
        <v>14438</v>
      </c>
      <c r="M54" s="138">
        <f>INT((Sheet2!L57+C32)*5)</f>
        <v>8021</v>
      </c>
      <c r="N54" s="138">
        <f t="shared" si="15"/>
        <v>466754</v>
      </c>
      <c r="O54" s="138">
        <f t="shared" si="16"/>
        <v>46675</v>
      </c>
      <c r="P54" s="138">
        <f t="shared" si="17"/>
        <v>12600</v>
      </c>
      <c r="Q54" s="138">
        <f t="shared" si="18"/>
        <v>526020</v>
      </c>
      <c r="R54" s="138">
        <f t="shared" si="19"/>
        <v>77400</v>
      </c>
      <c r="S54" s="139"/>
      <c r="T54" s="139"/>
      <c r="U54" s="140"/>
    </row>
    <row r="55" spans="7:21" s="1" customFormat="1" ht="16.5" customHeight="1">
      <c r="H55" s="137"/>
      <c r="I55" s="2">
        <v>11</v>
      </c>
      <c r="J55" s="2">
        <f>IF((Sheet2!M57+C33)&lt;=200, 910, IF((Sheet2!M57+C33)&lt;=400, 1600, 7300))</f>
        <v>7300</v>
      </c>
      <c r="K55" s="138">
        <f>INT(IF((Sheet2!M57+C33)&lt;=200, (Sheet2!M57+C33)*120, IF((Sheet2!M57+C33)&lt;=400, 24000+((Sheet2!M57+C33)-200)*214.6, 66920+((Sheet2!M57+C33)-400)*307.3)))</f>
        <v>461382</v>
      </c>
      <c r="L55" s="138">
        <f>INT((Sheet2!M57+C33)*9)</f>
        <v>15152</v>
      </c>
      <c r="M55" s="138">
        <f>INT((Sheet2!M57+C33)*5)</f>
        <v>8418</v>
      </c>
      <c r="N55" s="138">
        <f t="shared" si="15"/>
        <v>492252</v>
      </c>
      <c r="O55" s="138">
        <f t="shared" si="16"/>
        <v>49225</v>
      </c>
      <c r="P55" s="138">
        <f t="shared" si="17"/>
        <v>13290</v>
      </c>
      <c r="Q55" s="138">
        <f t="shared" si="18"/>
        <v>554760</v>
      </c>
      <c r="R55" s="138">
        <f t="shared" si="19"/>
        <v>129890</v>
      </c>
      <c r="S55" s="139"/>
      <c r="T55" s="139"/>
      <c r="U55" s="140"/>
    </row>
    <row r="56" spans="7:21" s="1" customFormat="1" ht="16.5" customHeight="1">
      <c r="H56" s="152"/>
      <c r="I56" s="67">
        <v>12</v>
      </c>
      <c r="J56" s="67">
        <f>IF((Sheet2!N57+C34)&lt;=200, 910, IF((Sheet2!N57+C34)&lt;=400, 1600, 7300))</f>
        <v>7300</v>
      </c>
      <c r="K56" s="153">
        <f>INT(IF((Sheet2!N57+C34)&lt;=200, (Sheet2!N57+C34)*120, IF((Sheet2!N57+C34)&lt;=400, 24000+((Sheet2!N57+C34)-200)*214.6, 66920+((Sheet2!N57+C34)-400)*307.3)))+INT(MAX((Sheet2!N57+C34)-1000,0)*(736.2-307.3))</f>
        <v>1013238</v>
      </c>
      <c r="L56" s="153">
        <f>INT((Sheet2!N57+C34)*9)</f>
        <v>18314</v>
      </c>
      <c r="M56" s="153">
        <f>INT((Sheet2!N57+C34)*5)</f>
        <v>10174</v>
      </c>
      <c r="N56" s="153">
        <f t="shared" si="15"/>
        <v>1049026</v>
      </c>
      <c r="O56" s="153">
        <f t="shared" si="16"/>
        <v>104903</v>
      </c>
      <c r="P56" s="153">
        <f t="shared" si="17"/>
        <v>28320</v>
      </c>
      <c r="Q56" s="153">
        <f t="shared" si="18"/>
        <v>1182240</v>
      </c>
      <c r="R56" s="153">
        <f t="shared" si="19"/>
        <v>553120</v>
      </c>
      <c r="S56" s="154"/>
      <c r="T56" s="154"/>
      <c r="U56" s="155"/>
    </row>
    <row r="57" spans="7:21" s="1" customFormat="1" ht="16.5" customHeight="1">
      <c r="H57" s="59" t="s">
        <v>411</v>
      </c>
      <c r="I57" s="156" t="s">
        <v>75</v>
      </c>
      <c r="J57" s="156" t="s">
        <v>378</v>
      </c>
      <c r="K57" s="156" t="s">
        <v>379</v>
      </c>
      <c r="L57" s="156" t="s">
        <v>380</v>
      </c>
      <c r="M57" s="156" t="s">
        <v>381</v>
      </c>
      <c r="N57" s="156" t="s">
        <v>382</v>
      </c>
      <c r="O57" s="156" t="s">
        <v>383</v>
      </c>
      <c r="P57" s="156" t="s">
        <v>384</v>
      </c>
      <c r="Q57" s="156" t="s">
        <v>385</v>
      </c>
      <c r="R57" s="157" t="s">
        <v>386</v>
      </c>
      <c r="S57" s="134">
        <f>SUM(R58:R69)</f>
        <v>3483280</v>
      </c>
      <c r="T57" s="134">
        <f>Sheet2!O18</f>
        <v>1620551.6253430294</v>
      </c>
      <c r="U57" s="135">
        <f>(T57-S57)/T57</f>
        <v>-1.1494409345106045</v>
      </c>
    </row>
    <row r="58" spans="7:21" s="1" customFormat="1" ht="16.5" customHeight="1">
      <c r="G58" s="143"/>
      <c r="H58" s="158"/>
      <c r="I58" s="2">
        <v>1</v>
      </c>
      <c r="J58" s="2">
        <f>IF(MAX(Sheet2!C54+C23-C37,0)&lt;=200, 910, IF(MAX(Sheet2!C54+C23-C37,0)&lt;=400, 1600, 7300))</f>
        <v>7300</v>
      </c>
      <c r="K58" s="2">
        <f>INT(IF(MAX(Sheet2!C54+C23-C37,0)&lt;=200, MAX(Sheet2!C54+C23-C37,0)*120, IF(MAX(Sheet2!C54+C23-C37,0)&lt;=400, 24000+(MAX(Sheet2!C54+C23-C37,0)-200)*214.6, 66920+(MAX(Sheet2!C54+C23-C37,0)-400)*307.3)))+INT(MAX(MAX(Sheet2!C54+C23-C37,0)-1000,0)*(736.2-307.3))</f>
        <v>1493421</v>
      </c>
      <c r="L58" s="2">
        <f>INT(MAX(Sheet2!C54+C23-C37,0)*9)</f>
        <v>24184</v>
      </c>
      <c r="M58" s="2">
        <f>INT(MAX(Sheet2!C54+C23-C37,0)*5)</f>
        <v>13436</v>
      </c>
      <c r="N58" s="2">
        <f t="shared" ref="N58:N69" si="20">SUM(J58:M58)</f>
        <v>1538341</v>
      </c>
      <c r="O58" s="2">
        <f t="shared" ref="O58:O69" si="21">ROUND(N58*0.1, 0)</f>
        <v>153834</v>
      </c>
      <c r="P58" s="2">
        <f t="shared" ref="P58:P69" si="22">FLOOR(N58*0.027, 10)</f>
        <v>41530</v>
      </c>
      <c r="Q58" s="2">
        <f t="shared" ref="Q58:Q69" si="23">FLOOR(N58+O58+P58, 10)</f>
        <v>1733700</v>
      </c>
      <c r="R58" s="139">
        <f t="shared" ref="R58:R69" si="24">MAX(Q58-BC6,0)</f>
        <v>1003750</v>
      </c>
      <c r="S58" s="139"/>
      <c r="T58" s="139"/>
      <c r="U58" s="140"/>
    </row>
    <row r="59" spans="7:21" s="1" customFormat="1" ht="16.5" customHeight="1">
      <c r="G59" s="20"/>
      <c r="H59" s="137"/>
      <c r="I59" s="2">
        <v>2</v>
      </c>
      <c r="J59" s="2">
        <f>IF(MAX(Sheet2!D54+C24-C38,0)&lt;=200, 910, IF(MAX(Sheet2!D54+C24-C38,0)&lt;=400, 1600, 7300))</f>
        <v>7300</v>
      </c>
      <c r="K59" s="2">
        <f>INT(IF(MAX(Sheet2!D54+C24-C38,0)&lt;=200, MAX(Sheet2!D54+C24-C38,0)*120, IF(MAX(Sheet2!D54+C24-C38,0)&lt;=400, 24000+(MAX(Sheet2!D54+C24-C38,0)-200)*214.6, 66920+(MAX(Sheet2!D54+C24-C38,0)-400)*307.3)))+INT(MAX(MAX(Sheet2!D54+C24-C38,0)-1000,0)*(736.2-307.3))</f>
        <v>1393831</v>
      </c>
      <c r="L59" s="2">
        <f>INT(MAX(Sheet2!D54+C24-C38,0)*9)</f>
        <v>22967</v>
      </c>
      <c r="M59" s="2">
        <f>INT(MAX(Sheet2!D54+C24-C38,0)*5)</f>
        <v>12759</v>
      </c>
      <c r="N59" s="2">
        <f t="shared" si="20"/>
        <v>1436857</v>
      </c>
      <c r="O59" s="2">
        <f t="shared" si="21"/>
        <v>143686</v>
      </c>
      <c r="P59" s="2">
        <f t="shared" si="22"/>
        <v>38790</v>
      </c>
      <c r="Q59" s="2">
        <f t="shared" si="23"/>
        <v>1619330</v>
      </c>
      <c r="R59" s="139">
        <f t="shared" si="24"/>
        <v>880440</v>
      </c>
      <c r="S59" s="139"/>
      <c r="T59" s="139"/>
      <c r="U59" s="140"/>
    </row>
    <row r="60" spans="7:21" s="1" customFormat="1" ht="16.5" customHeight="1">
      <c r="H60" s="137"/>
      <c r="I60" s="2">
        <v>3</v>
      </c>
      <c r="J60" s="2">
        <f>IF(MAX(Sheet2!E54+C25-C39,0)&lt;=200, 910, IF(MAX(Sheet2!E54+C25-C39,0)&lt;=400, 1600, 7300))</f>
        <v>7300</v>
      </c>
      <c r="K60" s="2">
        <f>INT(IF(MAX(Sheet2!E54+C25-C39,0)&lt;=200, MAX(Sheet2!E54+C25-C39,0)*120, IF(MAX(Sheet2!E54+C25-C39,0)&lt;=400, 24000+(MAX(Sheet2!E54+C25-C39,0)-200)*214.6, 66920+(MAX(Sheet2!E54+C25-C39,0)-400)*307.3)))</f>
        <v>593764</v>
      </c>
      <c r="L60" s="2">
        <f>INT(MAX(Sheet2!E54+C25-C39,0)*9)</f>
        <v>19029</v>
      </c>
      <c r="M60" s="2">
        <f>INT(MAX(Sheet2!E54+C25-C39,0)*5)</f>
        <v>10572</v>
      </c>
      <c r="N60" s="2">
        <f t="shared" si="20"/>
        <v>630665</v>
      </c>
      <c r="O60" s="2">
        <f t="shared" si="21"/>
        <v>63067</v>
      </c>
      <c r="P60" s="2">
        <f t="shared" si="22"/>
        <v>17020</v>
      </c>
      <c r="Q60" s="2">
        <f t="shared" si="23"/>
        <v>710750</v>
      </c>
      <c r="R60" s="139">
        <f t="shared" si="24"/>
        <v>290130</v>
      </c>
      <c r="S60" s="139"/>
      <c r="T60" s="139"/>
      <c r="U60" s="140"/>
    </row>
    <row r="61" spans="7:21" s="1" customFormat="1" ht="16.5" customHeight="1">
      <c r="H61" s="137"/>
      <c r="I61" s="2">
        <v>4</v>
      </c>
      <c r="J61" s="2">
        <f>IF(MAX(Sheet2!F54+C26-C40,0)&lt;=200, 910, IF(MAX(Sheet2!F54+C26-C40,0)&lt;=400, 1600, 7300))</f>
        <v>7300</v>
      </c>
      <c r="K61" s="2">
        <f>INT(IF(MAX(Sheet2!F54+C26-C40,0)&lt;=200, MAX(Sheet2!F54+C26-C40,0)*120, IF(MAX(Sheet2!F54+C26-C40,0)&lt;=400, 24000+(MAX(Sheet2!F54+C26-C40,0)-200)*214.6, 66920+(MAX(Sheet2!F54+C26-C40,0)-400)*307.3)))</f>
        <v>448773</v>
      </c>
      <c r="L61" s="2">
        <f>INT(MAX(Sheet2!F54+C26-C40,0)*9)</f>
        <v>14783</v>
      </c>
      <c r="M61" s="2">
        <f>INT(MAX(Sheet2!F54+C26-C40,0)*5)</f>
        <v>8213</v>
      </c>
      <c r="N61" s="2">
        <f t="shared" si="20"/>
        <v>479069</v>
      </c>
      <c r="O61" s="2">
        <f t="shared" si="21"/>
        <v>47907</v>
      </c>
      <c r="P61" s="2">
        <f t="shared" si="22"/>
        <v>12930</v>
      </c>
      <c r="Q61" s="2">
        <f t="shared" si="23"/>
        <v>539900</v>
      </c>
      <c r="R61" s="139">
        <f t="shared" si="24"/>
        <v>117450</v>
      </c>
      <c r="S61" s="139"/>
      <c r="T61" s="139"/>
      <c r="U61" s="140"/>
    </row>
    <row r="62" spans="7:21" s="1" customFormat="1" ht="16.5" customHeight="1">
      <c r="H62" s="137"/>
      <c r="I62" s="2">
        <v>5</v>
      </c>
      <c r="J62" s="2">
        <f>IF(MAX(Sheet2!G54+C27-C41,0)&lt;=200, 910, IF(MAX(Sheet2!G54+C27-C41,0)&lt;=400, 1600, 7300))</f>
        <v>7300</v>
      </c>
      <c r="K62" s="2">
        <f>INT(IF(MAX(Sheet2!G54+C27-C41,0)&lt;=200, MAX(Sheet2!G54+C27-C41,0)*120, IF(MAX(Sheet2!G54+C27-C41,0)&lt;=400, 24000+(MAX(Sheet2!G54+C27-C41,0)-200)*214.6, 66920+(MAX(Sheet2!G54+C27-C41,0)-400)*307.3)))</f>
        <v>381632</v>
      </c>
      <c r="L62" s="2">
        <f>INT(MAX(Sheet2!G54+C27-C41,0)*9)</f>
        <v>12817</v>
      </c>
      <c r="M62" s="2">
        <f>INT(MAX(Sheet2!G54+C27-C41,0)*5)</f>
        <v>7120</v>
      </c>
      <c r="N62" s="2">
        <f t="shared" si="20"/>
        <v>408869</v>
      </c>
      <c r="O62" s="2">
        <f t="shared" si="21"/>
        <v>40887</v>
      </c>
      <c r="P62" s="2">
        <f t="shared" si="22"/>
        <v>11030</v>
      </c>
      <c r="Q62" s="2">
        <f t="shared" si="23"/>
        <v>460780</v>
      </c>
      <c r="R62" s="139">
        <f t="shared" si="24"/>
        <v>67640</v>
      </c>
      <c r="S62" s="139"/>
      <c r="T62" s="139"/>
      <c r="U62" s="140"/>
    </row>
    <row r="63" spans="7:21" s="1" customFormat="1" ht="16.5" customHeight="1">
      <c r="H63" s="137"/>
      <c r="I63" s="2">
        <v>6</v>
      </c>
      <c r="J63" s="2">
        <f>IF(MAX(Sheet2!H54+C28-C42,0)&lt;=200, 910, IF(MAX(Sheet2!H54+C28-C42,0)&lt;=400, 1600, 7300))</f>
        <v>7300</v>
      </c>
      <c r="K63" s="2">
        <f>INT(IF(MAX(Sheet2!H54+C28-C42,0)&lt;=200, MAX(Sheet2!H54+C28-C42,0)*120, IF(MAX(Sheet2!H54+C28-C42,0)&lt;=400, 24000+(MAX(Sheet2!H54+C28-C42,0)-200)*214.6, 66920+(MAX(Sheet2!H54+C28-C42,0)-400)*307.3)))</f>
        <v>388753</v>
      </c>
      <c r="L63" s="2">
        <f>INT(MAX(Sheet2!H54+C28-C42,0)*9)</f>
        <v>13025</v>
      </c>
      <c r="M63" s="2">
        <f>INT(MAX(Sheet2!H54+C28-C42,0)*5)</f>
        <v>7236</v>
      </c>
      <c r="N63" s="2">
        <f t="shared" si="20"/>
        <v>416314</v>
      </c>
      <c r="O63" s="2">
        <f t="shared" si="21"/>
        <v>41631</v>
      </c>
      <c r="P63" s="2">
        <f t="shared" si="22"/>
        <v>11240</v>
      </c>
      <c r="Q63" s="2">
        <f t="shared" si="23"/>
        <v>469180</v>
      </c>
      <c r="R63" s="139">
        <f t="shared" si="24"/>
        <v>46250</v>
      </c>
      <c r="S63" s="139"/>
      <c r="T63" s="139"/>
      <c r="U63" s="140"/>
    </row>
    <row r="64" spans="7:21" s="1" customFormat="1" ht="16.5" customHeight="1">
      <c r="H64" s="137"/>
      <c r="I64" s="2">
        <v>7</v>
      </c>
      <c r="J64" s="2">
        <f>IF(MAX(Sheet2!I54+C29-C43,0)&lt;=300, 910, IF(MAX(Sheet2!I54+C29-C43,0)&lt;=450, 1600, 7300))</f>
        <v>7300</v>
      </c>
      <c r="K64" s="2">
        <f>INT(IF(MAX(Sheet2!I54+C29-C43,0)&lt;=300, MAX(Sheet2!I54+C29-C43,0)*120, IF(MAX(Sheet2!I54+C29-C43,0)&lt;=450, 36000+(MAX(Sheet2!I54+C29-C43,0)-300)*214.6, 68190+(MAX(Sheet2!I54+C29-C43,0)-450)*307.3)))+INT(MAX(MAX(Sheet2!I54+C29-C43,0)-1000,0)*(736.2-307.3))</f>
        <v>811795</v>
      </c>
      <c r="L64" s="2">
        <f>INT(MAX(Sheet2!I54+C29-C43,0)*9)</f>
        <v>16024</v>
      </c>
      <c r="M64" s="2">
        <f>INT(MAX(Sheet2!I54+C29-C43,0)*5)</f>
        <v>8902</v>
      </c>
      <c r="N64" s="2">
        <f t="shared" si="20"/>
        <v>844021</v>
      </c>
      <c r="O64" s="2">
        <f t="shared" si="21"/>
        <v>84402</v>
      </c>
      <c r="P64" s="2">
        <f t="shared" si="22"/>
        <v>22780</v>
      </c>
      <c r="Q64" s="2">
        <f t="shared" si="23"/>
        <v>951200</v>
      </c>
      <c r="R64" s="139">
        <f t="shared" si="24"/>
        <v>69750</v>
      </c>
      <c r="S64" s="139"/>
      <c r="T64" s="139"/>
      <c r="U64" s="140"/>
    </row>
    <row r="65" spans="8:21" s="1" customFormat="1" ht="16.5" customHeight="1">
      <c r="H65" s="137"/>
      <c r="I65" s="2">
        <v>8</v>
      </c>
      <c r="J65" s="2">
        <f>IF(MAX(Sheet2!J54+C30-C44,0)&lt;=300, 910, IF(MAX(Sheet2!J54+C30-C44,0)&lt;=450, 1600, 7300))</f>
        <v>7300</v>
      </c>
      <c r="K65" s="2">
        <f>INT(IF(MAX(Sheet2!J54+C30-C44,0)&lt;=300, MAX(Sheet2!J54+C30-C44,0)*120, IF(MAX(Sheet2!J54+C30-C44,0)&lt;=450, 36000+(MAX(Sheet2!J54+C30-C44,0)-300)*214.6, 68190+(MAX(Sheet2!J54+C30-C44,0)-450)*307.3)))+INT(MAX(MAX(Sheet2!J54+C30-C44,0)-1000,0)*(736.2-307.3))</f>
        <v>1131996</v>
      </c>
      <c r="L65" s="2">
        <f>INT(MAX(Sheet2!J54+C30-C44,0)*9)</f>
        <v>19938</v>
      </c>
      <c r="M65" s="2">
        <f>INT(MAX(Sheet2!J54+C30-C44,0)*5)</f>
        <v>11077</v>
      </c>
      <c r="N65" s="2">
        <f t="shared" si="20"/>
        <v>1170311</v>
      </c>
      <c r="O65" s="2">
        <f t="shared" si="21"/>
        <v>117031</v>
      </c>
      <c r="P65" s="2">
        <f t="shared" si="22"/>
        <v>31590</v>
      </c>
      <c r="Q65" s="2">
        <f t="shared" si="23"/>
        <v>1318930</v>
      </c>
      <c r="R65" s="139">
        <f t="shared" si="24"/>
        <v>69320</v>
      </c>
      <c r="S65" s="139"/>
      <c r="T65" s="139"/>
      <c r="U65" s="140"/>
    </row>
    <row r="66" spans="8:21" s="1" customFormat="1" ht="16.5" customHeight="1">
      <c r="H66" s="137"/>
      <c r="I66" s="2">
        <v>9</v>
      </c>
      <c r="J66" s="2">
        <f>IF(MAX(Sheet2!K54+C31-C45,0)&lt;=200, 910, IF(MAX(Sheet2!K54+C31-C45,0)&lt;=400, 1600, 7300))</f>
        <v>7300</v>
      </c>
      <c r="K66" s="2">
        <f>INT(IF(MAX(Sheet2!K54+C31-C45,0)&lt;=200, MAX(Sheet2!K54+C31-C45,0)*120, IF(MAX(Sheet2!K54+C31-C45,0)&lt;=400, 24000+(MAX(Sheet2!K54+C31-C45,0)-200)*214.6, 66920+(MAX(Sheet2!K54+C31-C45,0)-400)*307.3)))</f>
        <v>594424</v>
      </c>
      <c r="L66" s="2">
        <f>INT(MAX(Sheet2!K54+C31-C45,0)*9)</f>
        <v>19049</v>
      </c>
      <c r="M66" s="2">
        <f>INT(MAX(Sheet2!K54+C31-C45,0)*5)</f>
        <v>10582</v>
      </c>
      <c r="N66" s="2">
        <f t="shared" si="20"/>
        <v>631355</v>
      </c>
      <c r="O66" s="2">
        <f t="shared" si="21"/>
        <v>63136</v>
      </c>
      <c r="P66" s="2">
        <f t="shared" si="22"/>
        <v>17040</v>
      </c>
      <c r="Q66" s="2">
        <f t="shared" si="23"/>
        <v>711530</v>
      </c>
      <c r="R66" s="139">
        <f t="shared" si="24"/>
        <v>55290</v>
      </c>
      <c r="S66" s="139"/>
      <c r="T66" s="139"/>
      <c r="U66" s="140"/>
    </row>
    <row r="67" spans="8:21" s="1" customFormat="1" ht="16.5" customHeight="1">
      <c r="H67" s="137"/>
      <c r="I67" s="2">
        <v>10</v>
      </c>
      <c r="J67" s="2">
        <f>IF(MAX(Sheet2!L54+C32-C46,0)&lt;=200, 910, IF(MAX(Sheet2!L54+C32-C46,0)&lt;=400, 1600, 7300))</f>
        <v>7300</v>
      </c>
      <c r="K67" s="2">
        <f>INT(IF(MAX(Sheet2!L54+C32-C46,0)&lt;=200, MAX(Sheet2!L54+C32-C46,0)*120, IF(MAX(Sheet2!L54+C32-C46,0)&lt;=400, 24000+(MAX(Sheet2!L54+C32-C46,0)-200)*214.6, 66920+(MAX(Sheet2!L54+C32-C46,0)-400)*307.3)))</f>
        <v>447606</v>
      </c>
      <c r="L67" s="2">
        <f>INT(MAX(Sheet2!L54+C32-C46,0)*9)</f>
        <v>14749</v>
      </c>
      <c r="M67" s="2">
        <f>INT(MAX(Sheet2!L54+C32-C46,0)*5)</f>
        <v>8194</v>
      </c>
      <c r="N67" s="2">
        <f t="shared" si="20"/>
        <v>477849</v>
      </c>
      <c r="O67" s="2">
        <f t="shared" si="21"/>
        <v>47785</v>
      </c>
      <c r="P67" s="2">
        <f t="shared" si="22"/>
        <v>12900</v>
      </c>
      <c r="Q67" s="2">
        <f t="shared" si="23"/>
        <v>538530</v>
      </c>
      <c r="R67" s="139">
        <f t="shared" si="24"/>
        <v>89910</v>
      </c>
      <c r="S67" s="139"/>
      <c r="T67" s="139"/>
      <c r="U67" s="140"/>
    </row>
    <row r="68" spans="8:21" s="1" customFormat="1" ht="16.5" customHeight="1">
      <c r="H68" s="137"/>
      <c r="I68" s="2">
        <v>11</v>
      </c>
      <c r="J68" s="2">
        <f>IF(MAX(Sheet2!M54+C33-C47,0)&lt;=200, 910, IF(MAX(Sheet2!M54+C33-C47,0)&lt;=400, 1600, 7300))</f>
        <v>7300</v>
      </c>
      <c r="K68" s="2">
        <f>INT(IF(MAX(Sheet2!M54+C33-C47,0)&lt;=200, MAX(Sheet2!M54+C33-C47,0)*120, IF(MAX(Sheet2!M54+C33-C47,0)&lt;=400, 24000+(MAX(Sheet2!M54+C33-C47,0)-200)*214.6, 66920+(MAX(Sheet2!M54+C33-C47,0)-400)*307.3)))</f>
        <v>479187</v>
      </c>
      <c r="L68" s="2">
        <f>INT(MAX(Sheet2!M54+C33-C47,0)*9)</f>
        <v>15674</v>
      </c>
      <c r="M68" s="2">
        <f>INT(MAX(Sheet2!M54+C33-C47,0)*5)</f>
        <v>8707</v>
      </c>
      <c r="N68" s="2">
        <f t="shared" si="20"/>
        <v>510868</v>
      </c>
      <c r="O68" s="2">
        <f t="shared" si="21"/>
        <v>51087</v>
      </c>
      <c r="P68" s="2">
        <f t="shared" si="22"/>
        <v>13790</v>
      </c>
      <c r="Q68" s="2">
        <f t="shared" si="23"/>
        <v>575740</v>
      </c>
      <c r="R68" s="139">
        <f t="shared" si="24"/>
        <v>150870</v>
      </c>
      <c r="S68" s="139"/>
      <c r="T68" s="139"/>
      <c r="U68" s="140"/>
    </row>
    <row r="69" spans="8:21" s="1" customFormat="1" ht="16.5" customHeight="1">
      <c r="H69" s="137"/>
      <c r="I69" s="2">
        <v>12</v>
      </c>
      <c r="J69" s="2">
        <f>IF(MAX(Sheet2!N54+C34-C48,0)&lt;=200, 910, IF(MAX(Sheet2!N54+C34-C48,0)&lt;=400, 1600, 7300))</f>
        <v>7300</v>
      </c>
      <c r="K69" s="2">
        <f>INT(IF(MAX(Sheet2!N54+C34-C48,0)&lt;=200, MAX(Sheet2!N54+C34-C48,0)*120, IF(MAX(Sheet2!N54+C34-C48,0)&lt;=400, 24000+(MAX(Sheet2!N54+C34-C48,0)-200)*214.6, 66920+(MAX(Sheet2!N54+C34-C48,0)-400)*307.3)))+INT(MAX(MAX(Sheet2!N54+C34-C48,0)-1000,0)*(736.2-307.3))</f>
        <v>1091042</v>
      </c>
      <c r="L69" s="2">
        <f>INT(MAX(Sheet2!N54+C34-C48,0)*9)</f>
        <v>19265</v>
      </c>
      <c r="M69" s="2">
        <f>INT(MAX(Sheet2!N54+C34-C48,0)*5)</f>
        <v>10703</v>
      </c>
      <c r="N69" s="2">
        <f t="shared" si="20"/>
        <v>1128310</v>
      </c>
      <c r="O69" s="2">
        <f t="shared" si="21"/>
        <v>112831</v>
      </c>
      <c r="P69" s="2">
        <f t="shared" si="22"/>
        <v>30460</v>
      </c>
      <c r="Q69" s="2">
        <f t="shared" si="23"/>
        <v>1271600</v>
      </c>
      <c r="R69" s="139">
        <f t="shared" si="24"/>
        <v>642480</v>
      </c>
      <c r="S69" s="139"/>
      <c r="T69" s="139"/>
      <c r="U69" s="140"/>
    </row>
    <row r="70" spans="8:21" s="1" customFormat="1" ht="16.5" customHeight="1">
      <c r="H70" s="137"/>
      <c r="I70" s="6" t="s">
        <v>76</v>
      </c>
      <c r="J70" s="6" t="s">
        <v>378</v>
      </c>
      <c r="K70" s="6" t="s">
        <v>379</v>
      </c>
      <c r="L70" s="6" t="s">
        <v>380</v>
      </c>
      <c r="M70" s="6" t="s">
        <v>381</v>
      </c>
      <c r="N70" s="6" t="s">
        <v>382</v>
      </c>
      <c r="O70" s="6" t="s">
        <v>383</v>
      </c>
      <c r="P70" s="6" t="s">
        <v>384</v>
      </c>
      <c r="Q70" s="6" t="s">
        <v>385</v>
      </c>
      <c r="R70" s="6" t="s">
        <v>386</v>
      </c>
      <c r="S70" s="143">
        <f>SUM(R71:R82)</f>
        <v>3142520</v>
      </c>
      <c r="T70" s="143">
        <f>Sheet2!O18</f>
        <v>1620551.6253430294</v>
      </c>
      <c r="U70" s="144">
        <f>(T70-S70)/T70</f>
        <v>-0.93916685581356207</v>
      </c>
    </row>
    <row r="71" spans="8:21" s="1" customFormat="1" ht="16.5" customHeight="1">
      <c r="H71" s="137"/>
      <c r="I71" s="2">
        <v>1</v>
      </c>
      <c r="J71" s="2">
        <f>IF(MAX(Sheet2!C55+C23-C37,0)&lt;=200, 910, IF(MAX(Sheet2!C55+C23-C37,0)&lt;=400, 1600, 7300))</f>
        <v>7300</v>
      </c>
      <c r="K71" s="2">
        <f>INT(IF(MAX(Sheet2!C55+C23-C37,0)&lt;=200, MAX(Sheet2!C55+C23-C37,0)*120, IF(MAX(Sheet2!C55+C23-C37,0)&lt;=400, 24000+(MAX(Sheet2!C55+C23-C37,0)-200)*214.6, 66920+(MAX(Sheet2!C55+C23-C37,0)-400)*307.3)))+INT(MAX(MAX(Sheet2!C55+C23-C37,0)-1000,0)*(736.2-307.3))</f>
        <v>1407919</v>
      </c>
      <c r="L71" s="2">
        <f>INT(MAX(Sheet2!C55+C23-C37,0)*9)</f>
        <v>23139</v>
      </c>
      <c r="M71" s="2">
        <f>INT(MAX(Sheet2!C55+C23-C37,0)*5)</f>
        <v>12855</v>
      </c>
      <c r="N71" s="2">
        <f t="shared" ref="N71:N82" si="25">SUM(J71:M71)</f>
        <v>1451213</v>
      </c>
      <c r="O71" s="2">
        <f t="shared" ref="O71:O82" si="26">ROUND(N71*0.1, 0)</f>
        <v>145121</v>
      </c>
      <c r="P71" s="2">
        <f t="shared" ref="P71:P82" si="27">FLOOR(N71*0.027, 10)</f>
        <v>39180</v>
      </c>
      <c r="Q71" s="2">
        <f t="shared" ref="Q71:Q82" si="28">FLOOR(N71+O71+P71, 10)</f>
        <v>1635510</v>
      </c>
      <c r="R71" s="139">
        <f t="shared" ref="R71:R82" si="29">MAX(Q71-BC6,0)</f>
        <v>905560</v>
      </c>
      <c r="S71" s="139"/>
      <c r="T71" s="139"/>
      <c r="U71" s="140"/>
    </row>
    <row r="72" spans="8:21" s="1" customFormat="1" ht="16.5" customHeight="1">
      <c r="H72" s="137"/>
      <c r="I72" s="2">
        <v>2</v>
      </c>
      <c r="J72" s="2">
        <f>IF(MAX(Sheet2!D55+C24-C38,0)&lt;=200, 910, IF(MAX(Sheet2!D55+C24-C38,0)&lt;=400, 1600, 7300))</f>
        <v>7300</v>
      </c>
      <c r="K72" s="2">
        <f>INT(IF(MAX(Sheet2!D55+C24-C38,0)&lt;=200, MAX(Sheet2!D55+C24-C38,0)*120, IF(MAX(Sheet2!D55+C24-C38,0)&lt;=400, 24000+(MAX(Sheet2!D55+C24-C38,0)-200)*214.6, 66920+(MAX(Sheet2!D55+C24-C38,0)-400)*307.3)))+INT(MAX(MAX(Sheet2!D55+C24-C38,0)-1000,0)*(736.2-307.3))</f>
        <v>1318833</v>
      </c>
      <c r="L72" s="2">
        <f>INT(MAX(Sheet2!D55+C24-C38,0)*9)</f>
        <v>22050</v>
      </c>
      <c r="M72" s="2">
        <f>INT(MAX(Sheet2!D55+C24-C38,0)*5)</f>
        <v>12250</v>
      </c>
      <c r="N72" s="2">
        <f t="shared" si="25"/>
        <v>1360433</v>
      </c>
      <c r="O72" s="2">
        <f t="shared" si="26"/>
        <v>136043</v>
      </c>
      <c r="P72" s="2">
        <f t="shared" si="27"/>
        <v>36730</v>
      </c>
      <c r="Q72" s="2">
        <f t="shared" si="28"/>
        <v>1533200</v>
      </c>
      <c r="R72" s="139">
        <f t="shared" si="29"/>
        <v>794310</v>
      </c>
      <c r="S72" s="139"/>
      <c r="T72" s="139"/>
      <c r="U72" s="140"/>
    </row>
    <row r="73" spans="8:21" s="1" customFormat="1" ht="16.5" customHeight="1">
      <c r="H73" s="137"/>
      <c r="I73" s="2">
        <v>3</v>
      </c>
      <c r="J73" s="2">
        <f>IF(MAX(Sheet2!E55+C25-C39,0)&lt;=200, 910, IF(MAX(Sheet2!E55+C25-C39,0)&lt;=400, 1600, 7300))</f>
        <v>7300</v>
      </c>
      <c r="K73" s="2">
        <f>INT(IF(MAX(Sheet2!E55+C25-C39,0)&lt;=200, MAX(Sheet2!E55+C25-C39,0)*120, IF(MAX(Sheet2!E55+C25-C39,0)&lt;=400, 24000+(MAX(Sheet2!E55+C25-C39,0)-200)*214.6, 66920+(MAX(Sheet2!E55+C25-C39,0)-400)*307.3)))</f>
        <v>569678</v>
      </c>
      <c r="L73" s="2">
        <f>INT(MAX(Sheet2!E55+C25-C39,0)*9)</f>
        <v>18324</v>
      </c>
      <c r="M73" s="2">
        <f>INT(MAX(Sheet2!E55+C25-C39,0)*5)</f>
        <v>10180</v>
      </c>
      <c r="N73" s="2">
        <f t="shared" si="25"/>
        <v>605482</v>
      </c>
      <c r="O73" s="2">
        <f t="shared" si="26"/>
        <v>60548</v>
      </c>
      <c r="P73" s="2">
        <f t="shared" si="27"/>
        <v>16340</v>
      </c>
      <c r="Q73" s="2">
        <f t="shared" si="28"/>
        <v>682370</v>
      </c>
      <c r="R73" s="139">
        <f t="shared" si="29"/>
        <v>261750</v>
      </c>
      <c r="S73" s="139"/>
      <c r="T73" s="139"/>
      <c r="U73" s="140"/>
    </row>
    <row r="74" spans="8:21" s="1" customFormat="1" ht="16.5" customHeight="1">
      <c r="H74" s="137"/>
      <c r="I74" s="2">
        <v>4</v>
      </c>
      <c r="J74" s="2">
        <f>IF(MAX(Sheet2!F55+C26-C40,0)&lt;=200, 910, IF(MAX(Sheet2!F55+C26-C40,0)&lt;=400, 1600, 7300))</f>
        <v>7300</v>
      </c>
      <c r="K74" s="2">
        <f>INT(IF(MAX(Sheet2!F55+C26-C40,0)&lt;=200, MAX(Sheet2!F55+C26-C40,0)*120, IF(MAX(Sheet2!F55+C26-C40,0)&lt;=400, 24000+(MAX(Sheet2!F55+C26-C40,0)-200)*214.6, 66920+(MAX(Sheet2!F55+C26-C40,0)-400)*307.3)))</f>
        <v>439021</v>
      </c>
      <c r="L74" s="2">
        <f>INT(MAX(Sheet2!F55+C26-C40,0)*9)</f>
        <v>14497</v>
      </c>
      <c r="M74" s="2">
        <f>INT(MAX(Sheet2!F55+C26-C40,0)*5)</f>
        <v>8054</v>
      </c>
      <c r="N74" s="2">
        <f t="shared" si="25"/>
        <v>468872</v>
      </c>
      <c r="O74" s="2">
        <f t="shared" si="26"/>
        <v>46887</v>
      </c>
      <c r="P74" s="2">
        <f t="shared" si="27"/>
        <v>12650</v>
      </c>
      <c r="Q74" s="2">
        <f t="shared" si="28"/>
        <v>528400</v>
      </c>
      <c r="R74" s="139">
        <f t="shared" si="29"/>
        <v>105950</v>
      </c>
      <c r="S74" s="139"/>
      <c r="T74" s="139"/>
      <c r="U74" s="140"/>
    </row>
    <row r="75" spans="8:21" s="1" customFormat="1" ht="16.5" customHeight="1">
      <c r="H75" s="137"/>
      <c r="I75" s="2">
        <v>5</v>
      </c>
      <c r="J75" s="2">
        <f>IF(MAX(Sheet2!G55+C27-C41,0)&lt;=200, 910, IF(MAX(Sheet2!G55+C27-C41,0)&lt;=400, 1600, 7300))</f>
        <v>7300</v>
      </c>
      <c r="K75" s="2">
        <f>INT(IF(MAX(Sheet2!G55+C27-C41,0)&lt;=200, MAX(Sheet2!G55+C27-C41,0)*120, IF(MAX(Sheet2!G55+C27-C41,0)&lt;=400, 24000+(MAX(Sheet2!G55+C27-C41,0)-200)*214.6, 66920+(MAX(Sheet2!G55+C27-C41,0)-400)*307.3)))</f>
        <v>376017</v>
      </c>
      <c r="L75" s="2">
        <f>INT(MAX(Sheet2!G55+C27-C41,0)*9)</f>
        <v>12652</v>
      </c>
      <c r="M75" s="2">
        <f>INT(MAX(Sheet2!G55+C27-C41,0)*5)</f>
        <v>7029</v>
      </c>
      <c r="N75" s="2">
        <f t="shared" si="25"/>
        <v>402998</v>
      </c>
      <c r="O75" s="2">
        <f t="shared" si="26"/>
        <v>40300</v>
      </c>
      <c r="P75" s="2">
        <f t="shared" si="27"/>
        <v>10880</v>
      </c>
      <c r="Q75" s="2">
        <f t="shared" si="28"/>
        <v>454170</v>
      </c>
      <c r="R75" s="139">
        <f t="shared" si="29"/>
        <v>61030</v>
      </c>
      <c r="S75" s="139"/>
      <c r="T75" s="139"/>
      <c r="U75" s="140"/>
    </row>
    <row r="76" spans="8:21" s="1" customFormat="1" ht="16.5" customHeight="1">
      <c r="H76" s="137"/>
      <c r="I76" s="2">
        <v>6</v>
      </c>
      <c r="J76" s="2">
        <f>IF(MAX(Sheet2!H55+C28-C42,0)&lt;=200, 910, IF(MAX(Sheet2!H55+C28-C42,0)&lt;=400, 1600, 7300))</f>
        <v>7300</v>
      </c>
      <c r="K76" s="2">
        <f>INT(IF(MAX(Sheet2!H55+C28-C42,0)&lt;=200, MAX(Sheet2!H55+C28-C42,0)*120, IF(MAX(Sheet2!H55+C28-C42,0)&lt;=400, 24000+(MAX(Sheet2!H55+C28-C42,0)-200)*214.6, 66920+(MAX(Sheet2!H55+C28-C42,0)-400)*307.3)))</f>
        <v>384914</v>
      </c>
      <c r="L76" s="2">
        <f>INT(MAX(Sheet2!H55+C28-C42,0)*9)</f>
        <v>12913</v>
      </c>
      <c r="M76" s="2">
        <f>INT(MAX(Sheet2!H55+C28-C42,0)*5)</f>
        <v>7174</v>
      </c>
      <c r="N76" s="2">
        <f t="shared" si="25"/>
        <v>412301</v>
      </c>
      <c r="O76" s="2">
        <f t="shared" si="26"/>
        <v>41230</v>
      </c>
      <c r="P76" s="2">
        <f t="shared" si="27"/>
        <v>11130</v>
      </c>
      <c r="Q76" s="2">
        <f t="shared" si="28"/>
        <v>464660</v>
      </c>
      <c r="R76" s="139">
        <f t="shared" si="29"/>
        <v>41730</v>
      </c>
      <c r="S76" s="139"/>
      <c r="T76" s="139"/>
      <c r="U76" s="140"/>
    </row>
    <row r="77" spans="8:21" s="1" customFormat="1" ht="16.5" customHeight="1">
      <c r="H77" s="137"/>
      <c r="I77" s="2">
        <v>7</v>
      </c>
      <c r="J77" s="2">
        <f>IF(MAX(Sheet2!I55+C29-C43,0)&lt;=300, 910, IF(MAX(Sheet2!I55+C29-C43,0)&lt;=450, 1600, 7300))</f>
        <v>7300</v>
      </c>
      <c r="K77" s="2">
        <f>INT(IF(MAX(Sheet2!I55+C29-C43,0)&lt;=300, MAX(Sheet2!I55+C29-C43,0)*120, IF(MAX(Sheet2!I55+C29-C43,0)&lt;=450, 36000+(MAX(Sheet2!I55+C29-C43,0)-300)*214.6, 68190+(MAX(Sheet2!I55+C29-C43,0)-450)*307.3)))+INT(MAX(MAX(Sheet2!I55+C29-C43,0)-1000,0)*(736.2-307.3))</f>
        <v>805854</v>
      </c>
      <c r="L77" s="2">
        <f>INT(MAX(Sheet2!I55+C29-C43,0)*9)</f>
        <v>15951</v>
      </c>
      <c r="M77" s="2">
        <f>INT(MAX(Sheet2!I55+C29-C43,0)*5)</f>
        <v>8862</v>
      </c>
      <c r="N77" s="2">
        <f t="shared" si="25"/>
        <v>837967</v>
      </c>
      <c r="O77" s="2">
        <f t="shared" si="26"/>
        <v>83797</v>
      </c>
      <c r="P77" s="2">
        <f t="shared" si="27"/>
        <v>22620</v>
      </c>
      <c r="Q77" s="2">
        <f t="shared" si="28"/>
        <v>944380</v>
      </c>
      <c r="R77" s="139">
        <f t="shared" si="29"/>
        <v>62930</v>
      </c>
      <c r="S77" s="139"/>
      <c r="T77" s="139"/>
      <c r="U77" s="140"/>
    </row>
    <row r="78" spans="8:21" s="1" customFormat="1" ht="16.5" customHeight="1">
      <c r="H78" s="137"/>
      <c r="I78" s="2">
        <v>8</v>
      </c>
      <c r="J78" s="2">
        <f>IF(MAX(Sheet2!J55+C30-C44,0)&lt;=300, 910, IF(MAX(Sheet2!J55+C30-C44,0)&lt;=450, 1600, 7300))</f>
        <v>7300</v>
      </c>
      <c r="K78" s="2">
        <f>INT(IF(MAX(Sheet2!J55+C30-C44,0)&lt;=300, MAX(Sheet2!J55+C30-C44,0)*120, IF(MAX(Sheet2!J55+C30-C44,0)&lt;=450, 36000+(MAX(Sheet2!J55+C30-C44,0)-300)*214.6, 68190+(MAX(Sheet2!J55+C30-C44,0)-450)*307.3)))+INT(MAX(MAX(Sheet2!J55+C30-C44,0)-1000,0)*(736.2-307.3))</f>
        <v>1126091</v>
      </c>
      <c r="L78" s="2">
        <f>INT(MAX(Sheet2!J55+C30-C44,0)*9)</f>
        <v>19866</v>
      </c>
      <c r="M78" s="2">
        <f>INT(MAX(Sheet2!J55+C30-C44,0)*5)</f>
        <v>11036</v>
      </c>
      <c r="N78" s="2">
        <f t="shared" si="25"/>
        <v>1164293</v>
      </c>
      <c r="O78" s="2">
        <f t="shared" si="26"/>
        <v>116429</v>
      </c>
      <c r="P78" s="2">
        <f t="shared" si="27"/>
        <v>31430</v>
      </c>
      <c r="Q78" s="2">
        <f t="shared" si="28"/>
        <v>1312150</v>
      </c>
      <c r="R78" s="139">
        <f t="shared" si="29"/>
        <v>62540</v>
      </c>
      <c r="S78" s="139"/>
      <c r="T78" s="139"/>
      <c r="U78" s="140"/>
    </row>
    <row r="79" spans="8:21" s="1" customFormat="1" ht="16.5" customHeight="1">
      <c r="H79" s="137"/>
      <c r="I79" s="2">
        <v>9</v>
      </c>
      <c r="J79" s="2">
        <f>IF(MAX(Sheet2!K55+C31-C45,0)&lt;=200, 910, IF(MAX(Sheet2!K55+C31-C45,0)&lt;=400, 1600, 7300))</f>
        <v>7300</v>
      </c>
      <c r="K79" s="2">
        <f>INT(IF(MAX(Sheet2!K55+C31-C45,0)&lt;=200, MAX(Sheet2!K55+C31-C45,0)*120, IF(MAX(Sheet2!K55+C31-C45,0)&lt;=400, 24000+(MAX(Sheet2!K55+C31-C45,0)-200)*214.6, 66920+(MAX(Sheet2!K55+C31-C45,0)-400)*307.3)))</f>
        <v>589834</v>
      </c>
      <c r="L79" s="2">
        <f>INT(MAX(Sheet2!K55+C31-C45,0)*9)</f>
        <v>18914</v>
      </c>
      <c r="M79" s="2">
        <f>INT(MAX(Sheet2!K55+C31-C45,0)*5)</f>
        <v>10508</v>
      </c>
      <c r="N79" s="2">
        <f t="shared" si="25"/>
        <v>626556</v>
      </c>
      <c r="O79" s="2">
        <f t="shared" si="26"/>
        <v>62656</v>
      </c>
      <c r="P79" s="2">
        <f t="shared" si="27"/>
        <v>16910</v>
      </c>
      <c r="Q79" s="2">
        <f t="shared" si="28"/>
        <v>706120</v>
      </c>
      <c r="R79" s="139">
        <f t="shared" si="29"/>
        <v>49880</v>
      </c>
      <c r="S79" s="139"/>
      <c r="T79" s="139"/>
      <c r="U79" s="140"/>
    </row>
    <row r="80" spans="8:21" s="1" customFormat="1" ht="16.5" customHeight="1">
      <c r="H80" s="137"/>
      <c r="I80" s="2">
        <v>10</v>
      </c>
      <c r="J80" s="2">
        <f>IF(MAX(Sheet2!L55+C32-C46,0)&lt;=200, 910, IF(MAX(Sheet2!L55+C32-C46,0)&lt;=400, 1600, 7300))</f>
        <v>7300</v>
      </c>
      <c r="K80" s="2">
        <f>INT(IF(MAX(Sheet2!L55+C32-C46,0)&lt;=200, MAX(Sheet2!L55+C32-C46,0)*120, IF(MAX(Sheet2!L55+C32-C46,0)&lt;=400, 24000+(MAX(Sheet2!L55+C32-C46,0)-200)*214.6, 66920+(MAX(Sheet2!L55+C32-C46,0)-400)*307.3)))</f>
        <v>440142</v>
      </c>
      <c r="L80" s="2">
        <f>INT(MAX(Sheet2!L55+C32-C46,0)*9)</f>
        <v>14530</v>
      </c>
      <c r="M80" s="2">
        <f>INT(MAX(Sheet2!L55+C32-C46,0)*5)</f>
        <v>8072</v>
      </c>
      <c r="N80" s="2">
        <f t="shared" si="25"/>
        <v>470044</v>
      </c>
      <c r="O80" s="2">
        <f t="shared" si="26"/>
        <v>47004</v>
      </c>
      <c r="P80" s="2">
        <f t="shared" si="27"/>
        <v>12690</v>
      </c>
      <c r="Q80" s="2">
        <f t="shared" si="28"/>
        <v>529730</v>
      </c>
      <c r="R80" s="139">
        <f t="shared" si="29"/>
        <v>81110</v>
      </c>
      <c r="S80" s="139"/>
      <c r="T80" s="139"/>
      <c r="U80" s="140"/>
    </row>
    <row r="81" spans="8:21" s="1" customFormat="1" ht="16.5" customHeight="1">
      <c r="H81" s="137"/>
      <c r="I81" s="2">
        <v>11</v>
      </c>
      <c r="J81" s="2">
        <f>IF(MAX(Sheet2!M55+C33-C47,0)&lt;=200, 910, IF(MAX(Sheet2!M55+C33-C47,0)&lt;=400, 1600, 7300))</f>
        <v>7300</v>
      </c>
      <c r="K81" s="2">
        <f>INT(IF(MAX(Sheet2!M55+C33-C47,0)&lt;=200, MAX(Sheet2!M55+C33-C47,0)*120, IF(MAX(Sheet2!M55+C33-C47,0)&lt;=400, 24000+(MAX(Sheet2!M55+C33-C47,0)-200)*214.6, 66920+(MAX(Sheet2!M55+C33-C47,0)-400)*307.3)))</f>
        <v>466663</v>
      </c>
      <c r="L81" s="2">
        <f>INT(MAX(Sheet2!M55+C33-C47,0)*9)</f>
        <v>15307</v>
      </c>
      <c r="M81" s="2">
        <f>INT(MAX(Sheet2!M55+C33-C47,0)*5)</f>
        <v>8504</v>
      </c>
      <c r="N81" s="2">
        <f t="shared" si="25"/>
        <v>497774</v>
      </c>
      <c r="O81" s="2">
        <f t="shared" si="26"/>
        <v>49777</v>
      </c>
      <c r="P81" s="2">
        <f t="shared" si="27"/>
        <v>13430</v>
      </c>
      <c r="Q81" s="2">
        <f t="shared" si="28"/>
        <v>560980</v>
      </c>
      <c r="R81" s="139">
        <f t="shared" si="29"/>
        <v>136110</v>
      </c>
      <c r="S81" s="139"/>
      <c r="T81" s="139"/>
      <c r="U81" s="140"/>
    </row>
    <row r="82" spans="8:21" s="1" customFormat="1" ht="16.5" customHeight="1">
      <c r="H82" s="137"/>
      <c r="I82" s="2">
        <v>12</v>
      </c>
      <c r="J82" s="2">
        <f>IF(MAX(Sheet2!N55+C34-C48,0)&lt;=200, 910, IF(MAX(Sheet2!N55+C34-C48,0)&lt;=400, 1600, 7300))</f>
        <v>7300</v>
      </c>
      <c r="K82" s="2">
        <f>INT(IF(MAX(Sheet2!N55+C34-C48,0)&lt;=200, MAX(Sheet2!N55+C34-C48,0)*120, IF(MAX(Sheet2!N55+C34-C48,0)&lt;=400, 24000+(MAX(Sheet2!N55+C34-C48,0)-200)*214.6, 66920+(MAX(Sheet2!N55+C34-C48,0)-400)*307.3)))+INT(MAX(MAX(Sheet2!N55+C34-C48,0)-1000,0)*(736.2-307.3))</f>
        <v>1036315</v>
      </c>
      <c r="L82" s="2">
        <f>INT(MAX(Sheet2!N55+C34-C48,0)*9)</f>
        <v>18596</v>
      </c>
      <c r="M82" s="2">
        <f>INT(MAX(Sheet2!N55+C34-C48,0)*5)</f>
        <v>10331</v>
      </c>
      <c r="N82" s="2">
        <f t="shared" si="25"/>
        <v>1072542</v>
      </c>
      <c r="O82" s="2">
        <f t="shared" si="26"/>
        <v>107254</v>
      </c>
      <c r="P82" s="2">
        <f t="shared" si="27"/>
        <v>28950</v>
      </c>
      <c r="Q82" s="2">
        <f t="shared" si="28"/>
        <v>1208740</v>
      </c>
      <c r="R82" s="139">
        <f t="shared" si="29"/>
        <v>579620</v>
      </c>
      <c r="S82" s="139"/>
      <c r="T82" s="139"/>
      <c r="U82" s="140"/>
    </row>
    <row r="83" spans="8:21" s="1" customFormat="1" ht="16.5" customHeight="1">
      <c r="H83" s="137"/>
      <c r="I83" s="150" t="s">
        <v>77</v>
      </c>
      <c r="J83" s="6" t="s">
        <v>378</v>
      </c>
      <c r="K83" s="6" t="s">
        <v>379</v>
      </c>
      <c r="L83" s="6" t="s">
        <v>380</v>
      </c>
      <c r="M83" s="6" t="s">
        <v>381</v>
      </c>
      <c r="N83" s="6" t="s">
        <v>382</v>
      </c>
      <c r="O83" s="6" t="s">
        <v>383</v>
      </c>
      <c r="P83" s="6" t="s">
        <v>384</v>
      </c>
      <c r="Q83" s="6" t="s">
        <v>385</v>
      </c>
      <c r="R83" s="2" t="s">
        <v>386</v>
      </c>
      <c r="S83" s="139">
        <f>SUM(R84:R95)</f>
        <v>2134160</v>
      </c>
      <c r="T83" s="139">
        <f>Sheet2!O18</f>
        <v>1620551.6253430294</v>
      </c>
      <c r="U83" s="144">
        <f>(T83-S83)/T83</f>
        <v>-0.31693428745181312</v>
      </c>
    </row>
    <row r="84" spans="8:21" s="1" customFormat="1" ht="16.5" customHeight="1">
      <c r="H84" s="137"/>
      <c r="I84" s="2">
        <v>1</v>
      </c>
      <c r="J84" s="2">
        <f>IF(MAX(Sheet2!C56+C23-C37,0)&lt;=200, 910, IF(MAX(Sheet2!C56+C23-C37,0)&lt;=400, 1600, 7300))</f>
        <v>7300</v>
      </c>
      <c r="K84" s="2">
        <f>INT(IF(MAX(Sheet2!C56+C23-C37,0)&lt;=200, MAX(Sheet2!C56+C23-C37,0)*120, IF(MAX(Sheet2!C56+C23-C37,0)&lt;=400, 24000+(MAX(Sheet2!C56+C23-C37,0)-200)*214.6, 66920+(MAX(Sheet2!C56+C23-C37,0)-400)*307.3)))+INT(MAX(MAX(Sheet2!C56+C23-C37,0)-1000,0)*(736.2-307.3))</f>
        <v>1154898</v>
      </c>
      <c r="L84" s="2">
        <f>INT(MAX(Sheet2!C56+C23-C37,0)*9)</f>
        <v>20046</v>
      </c>
      <c r="M84" s="2">
        <f>INT(MAX(Sheet2!C56+C23-C37,0)*5)</f>
        <v>11136</v>
      </c>
      <c r="N84" s="2">
        <f t="shared" ref="N84:N95" si="30">SUM(J84:M84)</f>
        <v>1193380</v>
      </c>
      <c r="O84" s="2">
        <f t="shared" ref="O84:O95" si="31">ROUND(N84*0.1, 0)</f>
        <v>119338</v>
      </c>
      <c r="P84" s="2">
        <f t="shared" ref="P84:P95" si="32">FLOOR(N84*0.027, 10)</f>
        <v>32220</v>
      </c>
      <c r="Q84" s="2">
        <f t="shared" ref="Q84:Q95" si="33">FLOOR(N84+O84+P84, 10)</f>
        <v>1344930</v>
      </c>
      <c r="R84" s="139">
        <f t="shared" ref="R84:R95" si="34">MAX(Q84-BC6,0)</f>
        <v>614980</v>
      </c>
      <c r="U84" s="140"/>
    </row>
    <row r="85" spans="8:21" s="1" customFormat="1" ht="16.5" customHeight="1">
      <c r="H85" s="137"/>
      <c r="I85" s="2">
        <v>2</v>
      </c>
      <c r="J85" s="2">
        <f>IF(MAX(Sheet2!D56+C24-C38,0)&lt;=200, 910, IF(MAX(Sheet2!D56+C24-C38,0)&lt;=400, 1600, 7300))</f>
        <v>7300</v>
      </c>
      <c r="K85" s="2">
        <f>INT(IF(MAX(Sheet2!D56+C24-C38,0)&lt;=200, MAX(Sheet2!D56+C24-C38,0)*120, IF(MAX(Sheet2!D56+C24-C38,0)&lt;=400, 24000+(MAX(Sheet2!D56+C24-C38,0)-200)*214.6, 66920+(MAX(Sheet2!D56+C24-C38,0)-400)*307.3)))+INT(MAX(MAX(Sheet2!D56+C24-C38,0)-1000,0)*(736.2-307.3))</f>
        <v>1096898</v>
      </c>
      <c r="L85" s="2">
        <f>INT(MAX(Sheet2!D56+C24-C38,0)*9)</f>
        <v>19337</v>
      </c>
      <c r="M85" s="2">
        <f>INT(MAX(Sheet2!D56+C24-C38,0)*5)</f>
        <v>10742</v>
      </c>
      <c r="N85" s="2">
        <f t="shared" si="30"/>
        <v>1134277</v>
      </c>
      <c r="O85" s="2">
        <f t="shared" si="31"/>
        <v>113428</v>
      </c>
      <c r="P85" s="2">
        <f t="shared" si="32"/>
        <v>30620</v>
      </c>
      <c r="Q85" s="2">
        <f t="shared" si="33"/>
        <v>1278320</v>
      </c>
      <c r="R85" s="139">
        <f t="shared" si="34"/>
        <v>539430</v>
      </c>
      <c r="U85" s="140"/>
    </row>
    <row r="86" spans="8:21" s="1" customFormat="1" ht="16.5" customHeight="1">
      <c r="H86" s="137"/>
      <c r="I86" s="2">
        <v>3</v>
      </c>
      <c r="J86" s="2">
        <f>IF(MAX(Sheet2!E56+C25-C39,0)&lt;=200, 910, IF(MAX(Sheet2!E56+C25-C39,0)&lt;=400, 1600, 7300))</f>
        <v>7300</v>
      </c>
      <c r="K86" s="2">
        <f>INT(IF(MAX(Sheet2!E56+C25-C39,0)&lt;=200, MAX(Sheet2!E56+C25-C39,0)*120, IF(MAX(Sheet2!E56+C25-C39,0)&lt;=400, 24000+(MAX(Sheet2!E56+C25-C39,0)-200)*214.6, 66920+(MAX(Sheet2!E56+C25-C39,0)-400)*307.3)))</f>
        <v>498401</v>
      </c>
      <c r="L86" s="2">
        <f>INT(MAX(Sheet2!E56+C25-C39,0)*9)</f>
        <v>16236</v>
      </c>
      <c r="M86" s="2">
        <f>INT(MAX(Sheet2!E56+C25-C39,0)*5)</f>
        <v>9020</v>
      </c>
      <c r="N86" s="2">
        <f t="shared" si="30"/>
        <v>530957</v>
      </c>
      <c r="O86" s="2">
        <f t="shared" si="31"/>
        <v>53096</v>
      </c>
      <c r="P86" s="2">
        <f t="shared" si="32"/>
        <v>14330</v>
      </c>
      <c r="Q86" s="2">
        <f t="shared" si="33"/>
        <v>598380</v>
      </c>
      <c r="R86" s="139">
        <f t="shared" si="34"/>
        <v>177760</v>
      </c>
      <c r="U86" s="140"/>
    </row>
    <row r="87" spans="8:21" s="1" customFormat="1" ht="16.5" customHeight="1">
      <c r="H87" s="137"/>
      <c r="I87" s="2">
        <v>4</v>
      </c>
      <c r="J87" s="2">
        <f>IF(MAX(Sheet2!F56+C26-C40,0)&lt;=200, 910, IF(MAX(Sheet2!F56+C26-C40,0)&lt;=400, 1600, 7300))</f>
        <v>7300</v>
      </c>
      <c r="K87" s="2">
        <f>INT(IF(MAX(Sheet2!F56+C26-C40,0)&lt;=200, MAX(Sheet2!F56+C26-C40,0)*120, IF(MAX(Sheet2!F56+C26-C40,0)&lt;=400, 24000+(MAX(Sheet2!F56+C26-C40,0)-200)*214.6, 66920+(MAX(Sheet2!F56+C26-C40,0)-400)*307.3)))</f>
        <v>410165</v>
      </c>
      <c r="L87" s="2">
        <f>INT(MAX(Sheet2!F56+C26-C40,0)*9)</f>
        <v>13652</v>
      </c>
      <c r="M87" s="2">
        <f>INT(MAX(Sheet2!F56+C26-C40,0)*5)</f>
        <v>7584</v>
      </c>
      <c r="N87" s="2">
        <f t="shared" si="30"/>
        <v>438701</v>
      </c>
      <c r="O87" s="2">
        <f t="shared" si="31"/>
        <v>43870</v>
      </c>
      <c r="P87" s="2">
        <f t="shared" si="32"/>
        <v>11840</v>
      </c>
      <c r="Q87" s="2">
        <f t="shared" si="33"/>
        <v>494410</v>
      </c>
      <c r="R87" s="139">
        <f t="shared" si="34"/>
        <v>71960</v>
      </c>
      <c r="U87" s="140"/>
    </row>
    <row r="88" spans="8:21" s="1" customFormat="1" ht="16.5" customHeight="1">
      <c r="H88" s="137"/>
      <c r="I88" s="2">
        <v>5</v>
      </c>
      <c r="J88" s="2">
        <f>IF(MAX(Sheet2!G56+C27-C41,0)&lt;=200, 910, IF(MAX(Sheet2!G56+C27-C41,0)&lt;=400, 1600, 7300))</f>
        <v>7300</v>
      </c>
      <c r="K88" s="2">
        <f>INT(IF(MAX(Sheet2!G56+C27-C41,0)&lt;=200, MAX(Sheet2!G56+C27-C41,0)*120, IF(MAX(Sheet2!G56+C27-C41,0)&lt;=400, 24000+(MAX(Sheet2!G56+C27-C41,0)-200)*214.6, 66920+(MAX(Sheet2!G56+C27-C41,0)-400)*307.3)))</f>
        <v>359400</v>
      </c>
      <c r="L88" s="2">
        <f>INT(MAX(Sheet2!G56+C27-C41,0)*9)</f>
        <v>12165</v>
      </c>
      <c r="M88" s="2">
        <f>INT(MAX(Sheet2!G56+C27-C41,0)*5)</f>
        <v>6758</v>
      </c>
      <c r="N88" s="2">
        <f t="shared" si="30"/>
        <v>385623</v>
      </c>
      <c r="O88" s="2">
        <f t="shared" si="31"/>
        <v>38562</v>
      </c>
      <c r="P88" s="2">
        <f t="shared" si="32"/>
        <v>10410</v>
      </c>
      <c r="Q88" s="2">
        <f t="shared" si="33"/>
        <v>434590</v>
      </c>
      <c r="R88" s="139">
        <f t="shared" si="34"/>
        <v>41450</v>
      </c>
      <c r="U88" s="140"/>
    </row>
    <row r="89" spans="8:21" s="1" customFormat="1" ht="16.5" customHeight="1">
      <c r="H89" s="137"/>
      <c r="I89" s="2">
        <v>6</v>
      </c>
      <c r="J89" s="2">
        <f>IF(MAX(Sheet2!H56+C28-C42,0)&lt;=200, 910, IF(MAX(Sheet2!H56+C28-C42,0)&lt;=400, 1600, 7300))</f>
        <v>7300</v>
      </c>
      <c r="K89" s="2">
        <f>INT(IF(MAX(Sheet2!H56+C28-C42,0)&lt;=200, MAX(Sheet2!H56+C28-C42,0)*120, IF(MAX(Sheet2!H56+C28-C42,0)&lt;=400, 24000+(MAX(Sheet2!H56+C28-C42,0)-200)*214.6, 66920+(MAX(Sheet2!H56+C28-C42,0)-400)*307.3)))</f>
        <v>373552</v>
      </c>
      <c r="L89" s="2">
        <f>INT(MAX(Sheet2!H56+C28-C42,0)*9)</f>
        <v>12580</v>
      </c>
      <c r="M89" s="2">
        <f>INT(MAX(Sheet2!H56+C28-C42,0)*5)</f>
        <v>6989</v>
      </c>
      <c r="N89" s="2">
        <f t="shared" si="30"/>
        <v>400421</v>
      </c>
      <c r="O89" s="2">
        <f t="shared" si="31"/>
        <v>40042</v>
      </c>
      <c r="P89" s="2">
        <f t="shared" si="32"/>
        <v>10810</v>
      </c>
      <c r="Q89" s="2">
        <f t="shared" si="33"/>
        <v>451270</v>
      </c>
      <c r="R89" s="139">
        <f t="shared" si="34"/>
        <v>28340</v>
      </c>
      <c r="U89" s="140"/>
    </row>
    <row r="90" spans="8:21" s="1" customFormat="1" ht="16.5" customHeight="1">
      <c r="H90" s="137"/>
      <c r="I90" s="2">
        <v>7</v>
      </c>
      <c r="J90" s="2">
        <f>IF(MAX(Sheet2!I56+C29-C43,0)&lt;=300, 910, IF(MAX(Sheet2!I56+C29-C43,0)&lt;=450, 1600, 7300))</f>
        <v>7300</v>
      </c>
      <c r="K90" s="2">
        <f>INT(IF(MAX(Sheet2!I56+C29-C43,0)&lt;=300, MAX(Sheet2!I56+C29-C43,0)*120, IF(MAX(Sheet2!I56+C29-C43,0)&lt;=450, 36000+(MAX(Sheet2!I56+C29-C43,0)-300)*214.6, 68190+(MAX(Sheet2!I56+C29-C43,0)-450)*307.3)))+INT(MAX(MAX(Sheet2!I56+C29-C43,0)-1000,0)*(736.2-307.3))</f>
        <v>788270</v>
      </c>
      <c r="L90" s="2">
        <f>INT(MAX(Sheet2!I56+C29-C43,0)*9)</f>
        <v>15736</v>
      </c>
      <c r="M90" s="2">
        <f>INT(MAX(Sheet2!I56+C29-C43,0)*5)</f>
        <v>8742</v>
      </c>
      <c r="N90" s="2">
        <f t="shared" si="30"/>
        <v>820048</v>
      </c>
      <c r="O90" s="2">
        <f t="shared" si="31"/>
        <v>82005</v>
      </c>
      <c r="P90" s="2">
        <f t="shared" si="32"/>
        <v>22140</v>
      </c>
      <c r="Q90" s="2">
        <f t="shared" si="33"/>
        <v>924190</v>
      </c>
      <c r="R90" s="139">
        <f t="shared" si="34"/>
        <v>42740</v>
      </c>
      <c r="U90" s="140"/>
    </row>
    <row r="91" spans="8:21" s="1" customFormat="1" ht="16.5" customHeight="1">
      <c r="H91" s="137"/>
      <c r="I91" s="2">
        <v>8</v>
      </c>
      <c r="J91" s="2">
        <f>IF(MAX(Sheet2!J56+C30-C44,0)&lt;=300, 910, IF(MAX(Sheet2!J56+C30-C44,0)&lt;=450, 1600, 7300))</f>
        <v>7300</v>
      </c>
      <c r="K91" s="2">
        <f>INT(IF(MAX(Sheet2!J56+C30-C44,0)&lt;=300, MAX(Sheet2!J56+C30-C44,0)*120, IF(MAX(Sheet2!J56+C30-C44,0)&lt;=450, 36000+(MAX(Sheet2!J56+C30-C44,0)-300)*214.6, 68190+(MAX(Sheet2!J56+C30-C44,0)-450)*307.3)))+INT(MAX(MAX(Sheet2!J56+C30-C44,0)-1000,0)*(736.2-307.3))</f>
        <v>1108617</v>
      </c>
      <c r="L91" s="2">
        <f>INT(MAX(Sheet2!J56+C30-C44,0)*9)</f>
        <v>19652</v>
      </c>
      <c r="M91" s="2">
        <f>INT(MAX(Sheet2!J56+C30-C44,0)*5)</f>
        <v>10918</v>
      </c>
      <c r="N91" s="2">
        <f t="shared" si="30"/>
        <v>1146487</v>
      </c>
      <c r="O91" s="2">
        <f t="shared" si="31"/>
        <v>114649</v>
      </c>
      <c r="P91" s="2">
        <f t="shared" si="32"/>
        <v>30950</v>
      </c>
      <c r="Q91" s="2">
        <f t="shared" si="33"/>
        <v>1292080</v>
      </c>
      <c r="R91" s="139">
        <f t="shared" si="34"/>
        <v>42470</v>
      </c>
      <c r="U91" s="140"/>
    </row>
    <row r="92" spans="8:21" s="1" customFormat="1" ht="16.5" customHeight="1">
      <c r="H92" s="137"/>
      <c r="I92" s="2">
        <v>9</v>
      </c>
      <c r="J92" s="2">
        <f>IF(MAX(Sheet2!K56+C31-C45,0)&lt;=200, 910, IF(MAX(Sheet2!K56+C31-C45,0)&lt;=400, 1600, 7300))</f>
        <v>7300</v>
      </c>
      <c r="K92" s="2">
        <f>INT(IF(MAX(Sheet2!K56+C31-C45,0)&lt;=200, MAX(Sheet2!K56+C31-C45,0)*120, IF(MAX(Sheet2!K56+C31-C45,0)&lt;=400, 24000+(MAX(Sheet2!K56+C31-C45,0)-200)*214.6, 66920+(MAX(Sheet2!K56+C31-C45,0)-400)*307.3)))</f>
        <v>576250</v>
      </c>
      <c r="L92" s="2">
        <f>INT(MAX(Sheet2!K56+C31-C45,0)*9)</f>
        <v>18516</v>
      </c>
      <c r="M92" s="2">
        <f>INT(MAX(Sheet2!K56+C31-C45,0)*5)</f>
        <v>10287</v>
      </c>
      <c r="N92" s="2">
        <f t="shared" si="30"/>
        <v>612353</v>
      </c>
      <c r="O92" s="2">
        <f t="shared" si="31"/>
        <v>61235</v>
      </c>
      <c r="P92" s="2">
        <f t="shared" si="32"/>
        <v>16530</v>
      </c>
      <c r="Q92" s="2">
        <f t="shared" si="33"/>
        <v>690110</v>
      </c>
      <c r="R92" s="139">
        <f t="shared" si="34"/>
        <v>33870</v>
      </c>
      <c r="U92" s="140"/>
    </row>
    <row r="93" spans="8:21" s="1" customFormat="1" ht="16.5" customHeight="1">
      <c r="H93" s="137"/>
      <c r="I93" s="2">
        <v>10</v>
      </c>
      <c r="J93" s="2">
        <f>IF(MAX(Sheet2!L56+C32-C46,0)&lt;=200, 910, IF(MAX(Sheet2!L56+C32-C46,0)&lt;=400, 1600, 7300))</f>
        <v>7300</v>
      </c>
      <c r="K93" s="2">
        <f>INT(IF(MAX(Sheet2!L56+C32-C46,0)&lt;=200, MAX(Sheet2!L56+C32-C46,0)*120, IF(MAX(Sheet2!L56+C32-C46,0)&lt;=400, 24000+(MAX(Sheet2!L56+C32-C46,0)-200)*214.6, 66920+(MAX(Sheet2!L56+C32-C46,0)-400)*307.3)))</f>
        <v>418055</v>
      </c>
      <c r="L93" s="2">
        <f>INT(MAX(Sheet2!L56+C32-C46,0)*9)</f>
        <v>13883</v>
      </c>
      <c r="M93" s="2">
        <f>INT(MAX(Sheet2!L56+C32-C46,0)*5)</f>
        <v>7713</v>
      </c>
      <c r="N93" s="2">
        <f t="shared" si="30"/>
        <v>446951</v>
      </c>
      <c r="O93" s="2">
        <f t="shared" si="31"/>
        <v>44695</v>
      </c>
      <c r="P93" s="2">
        <f t="shared" si="32"/>
        <v>12060</v>
      </c>
      <c r="Q93" s="2">
        <f t="shared" si="33"/>
        <v>503700</v>
      </c>
      <c r="R93" s="139">
        <f t="shared" si="34"/>
        <v>55080</v>
      </c>
      <c r="U93" s="140"/>
    </row>
    <row r="94" spans="8:21" s="1" customFormat="1" ht="16.5" customHeight="1">
      <c r="H94" s="137"/>
      <c r="I94" s="2">
        <v>11</v>
      </c>
      <c r="J94" s="2">
        <f>IF(MAX(Sheet2!M56+C33-C47,0)&lt;=200, 910, IF(MAX(Sheet2!M56+C33-C47,0)&lt;=400, 1600, 7300))</f>
        <v>7300</v>
      </c>
      <c r="K94" s="2">
        <f>INT(IF(MAX(Sheet2!M56+C33-C47,0)&lt;=200, MAX(Sheet2!M56+C33-C47,0)*120, IF(MAX(Sheet2!M56+C33-C47,0)&lt;=400, 24000+(MAX(Sheet2!M56+C33-C47,0)-200)*214.6, 66920+(MAX(Sheet2!M56+C33-C47,0)-400)*307.3)))</f>
        <v>429599</v>
      </c>
      <c r="L94" s="2">
        <f>INT(MAX(Sheet2!M56+C33-C47,0)*9)</f>
        <v>14221</v>
      </c>
      <c r="M94" s="2">
        <f>INT(MAX(Sheet2!M56+C33-C47,0)*5)</f>
        <v>7901</v>
      </c>
      <c r="N94" s="2">
        <f t="shared" si="30"/>
        <v>459021</v>
      </c>
      <c r="O94" s="2">
        <f t="shared" si="31"/>
        <v>45902</v>
      </c>
      <c r="P94" s="2">
        <f t="shared" si="32"/>
        <v>12390</v>
      </c>
      <c r="Q94" s="2">
        <f t="shared" si="33"/>
        <v>517310</v>
      </c>
      <c r="R94" s="139">
        <f t="shared" si="34"/>
        <v>92440</v>
      </c>
      <c r="U94" s="140"/>
    </row>
    <row r="95" spans="8:21" s="1" customFormat="1" ht="16.5" customHeight="1">
      <c r="H95" s="137"/>
      <c r="I95" s="2">
        <v>12</v>
      </c>
      <c r="J95" s="2">
        <f>IF(MAX(Sheet2!N56+C34-C48,0)&lt;=200, 910, IF(MAX(Sheet2!N56+C34-C48,0)&lt;=400, 1600, 7300))</f>
        <v>7300</v>
      </c>
      <c r="K95" s="2">
        <f>INT(IF(MAX(Sheet2!N56+C34-C48,0)&lt;=200, MAX(Sheet2!N56+C34-C48,0)*120, IF(MAX(Sheet2!N56+C34-C48,0)&lt;=400, 24000+(MAX(Sheet2!N56+C34-C48,0)-200)*214.6, 66920+(MAX(Sheet2!N56+C34-C48,0)-400)*307.3)))+INT(MAX(MAX(Sheet2!N56+C34-C48,0)-1000,0)*(736.2-307.3))</f>
        <v>874363</v>
      </c>
      <c r="L95" s="2">
        <f>INT(MAX(Sheet2!N56+C34-C48,0)*9)</f>
        <v>16616</v>
      </c>
      <c r="M95" s="2">
        <f>INT(MAX(Sheet2!N56+C34-C48,0)*5)</f>
        <v>9231</v>
      </c>
      <c r="N95" s="2">
        <f t="shared" si="30"/>
        <v>907510</v>
      </c>
      <c r="O95" s="2">
        <f t="shared" si="31"/>
        <v>90751</v>
      </c>
      <c r="P95" s="2">
        <f t="shared" si="32"/>
        <v>24500</v>
      </c>
      <c r="Q95" s="2">
        <f t="shared" si="33"/>
        <v>1022760</v>
      </c>
      <c r="R95" s="139">
        <f t="shared" si="34"/>
        <v>393640</v>
      </c>
      <c r="U95" s="140"/>
    </row>
    <row r="96" spans="8:21" s="1" customFormat="1" ht="16.5" customHeight="1">
      <c r="H96" s="137"/>
      <c r="I96" s="2" t="s">
        <v>78</v>
      </c>
      <c r="J96" s="6" t="s">
        <v>378</v>
      </c>
      <c r="K96" s="6" t="s">
        <v>379</v>
      </c>
      <c r="L96" s="6" t="s">
        <v>380</v>
      </c>
      <c r="M96" s="6" t="s">
        <v>381</v>
      </c>
      <c r="N96" s="6" t="s">
        <v>382</v>
      </c>
      <c r="O96" s="6" t="s">
        <v>383</v>
      </c>
      <c r="P96" s="6" t="s">
        <v>384</v>
      </c>
      <c r="Q96" s="6" t="s">
        <v>385</v>
      </c>
      <c r="R96" s="2" t="s">
        <v>386</v>
      </c>
      <c r="S96" s="139">
        <f>SUM(R97:R108)</f>
        <v>2998840</v>
      </c>
      <c r="T96" s="139">
        <f>Sheet2!O18</f>
        <v>1620551.6253430294</v>
      </c>
      <c r="U96" s="144">
        <f>(T96-S96)/T96</f>
        <v>-0.85050568775630464</v>
      </c>
    </row>
    <row r="97" spans="3:21" s="1" customFormat="1" ht="16.5" customHeight="1">
      <c r="H97" s="137"/>
      <c r="I97" s="2">
        <v>1</v>
      </c>
      <c r="J97" s="2">
        <f>IF(MAX(Sheet2!C57+C23-C37,0)&lt;=200, 910, IF(MAX(Sheet2!C57+C23-C37,0)&lt;=400, 1600, 7300))</f>
        <v>7300</v>
      </c>
      <c r="K97" s="2">
        <f>INT(IF(MAX(Sheet2!C57+C23-C37,0)&lt;=200, MAX(Sheet2!C57+C23-C37,0)*120, IF(MAX(Sheet2!C57+C23-C37,0)&lt;=400, 24000+(MAX(Sheet2!C57+C23-C37,0)-200)*214.6, 66920+(MAX(Sheet2!C57+C23-C37,0)-400)*307.3)))+INT(MAX(MAX(Sheet2!C57+C23-C37,0)-1000,0)*(736.2-307.3))</f>
        <v>1371866</v>
      </c>
      <c r="L97" s="2">
        <f>INT(MAX(Sheet2!C57+C23-C37,0)*9)</f>
        <v>22698</v>
      </c>
      <c r="M97" s="2">
        <f>INT(MAX(Sheet2!C57+C23-C37,0)*5)</f>
        <v>12610</v>
      </c>
      <c r="N97" s="2">
        <f t="shared" ref="N97:N108" si="35">SUM(J97:M97)</f>
        <v>1414474</v>
      </c>
      <c r="O97" s="2">
        <f t="shared" ref="O97:O108" si="36">ROUND(N97*0.1, 0)</f>
        <v>141447</v>
      </c>
      <c r="P97" s="2">
        <f t="shared" ref="P97:P108" si="37">FLOOR(N97*0.027, 10)</f>
        <v>38190</v>
      </c>
      <c r="Q97" s="2">
        <f t="shared" ref="Q97:Q108" si="38">FLOOR(N97+O97+P97, 10)</f>
        <v>1594110</v>
      </c>
      <c r="R97" s="139">
        <f t="shared" ref="R97:R108" si="39">MAX(Q97-BC6,0)</f>
        <v>864160</v>
      </c>
      <c r="U97" s="140"/>
    </row>
    <row r="98" spans="3:21" s="1" customFormat="1" ht="16.5" customHeight="1">
      <c r="H98" s="137"/>
      <c r="I98" s="2">
        <v>2</v>
      </c>
      <c r="J98" s="2">
        <f>IF(MAX(Sheet2!D57+C24-C38,0)&lt;=200, 910, IF(MAX(Sheet2!D57+C24-C38,0)&lt;=400, 1600, 7300))</f>
        <v>7300</v>
      </c>
      <c r="K98" s="2">
        <f>INT(IF(MAX(Sheet2!D57+C24-C38,0)&lt;=200, MAX(Sheet2!D57+C24-C38,0)*120, IF(MAX(Sheet2!D57+C24-C38,0)&lt;=400, 24000+(MAX(Sheet2!D57+C24-C38,0)-200)*214.6, 66920+(MAX(Sheet2!D57+C24-C38,0)-400)*307.3)))+INT(MAX(MAX(Sheet2!D57+C24-C38,0)-1000,0)*(736.2-307.3))</f>
        <v>1287210</v>
      </c>
      <c r="L98" s="2">
        <f>INT(MAX(Sheet2!D57+C24-C38,0)*9)</f>
        <v>21663</v>
      </c>
      <c r="M98" s="2">
        <f>INT(MAX(Sheet2!D57+C24-C38,0)*5)</f>
        <v>12035</v>
      </c>
      <c r="N98" s="2">
        <f t="shared" si="35"/>
        <v>1328208</v>
      </c>
      <c r="O98" s="2">
        <f t="shared" si="36"/>
        <v>132821</v>
      </c>
      <c r="P98" s="2">
        <f t="shared" si="37"/>
        <v>35860</v>
      </c>
      <c r="Q98" s="2">
        <f t="shared" si="38"/>
        <v>1496880</v>
      </c>
      <c r="R98" s="139">
        <f t="shared" si="39"/>
        <v>757990</v>
      </c>
      <c r="U98" s="140"/>
    </row>
    <row r="99" spans="3:21" s="1" customFormat="1" ht="16.5" customHeight="1">
      <c r="H99" s="137"/>
      <c r="I99" s="2">
        <v>3</v>
      </c>
      <c r="J99" s="2">
        <f>IF(MAX(Sheet2!E57+C25-C39,0)&lt;=200, 910, IF(MAX(Sheet2!E57+C25-C39,0)&lt;=400, 1600, 7300))</f>
        <v>7300</v>
      </c>
      <c r="K99" s="2">
        <f>INT(IF(MAX(Sheet2!E57+C25-C39,0)&lt;=200, MAX(Sheet2!E57+C25-C39,0)*120, IF(MAX(Sheet2!E57+C25-C39,0)&lt;=400, 24000+(MAX(Sheet2!E57+C25-C39,0)-200)*214.6, 66920+(MAX(Sheet2!E57+C25-C39,0)-400)*307.3)))</f>
        <v>559521</v>
      </c>
      <c r="L99" s="2">
        <f>INT(MAX(Sheet2!E57+C25-C39,0)*9)</f>
        <v>18026</v>
      </c>
      <c r="M99" s="2">
        <f>INT(MAX(Sheet2!E57+C25-C39,0)*5)</f>
        <v>10014</v>
      </c>
      <c r="N99" s="2">
        <f t="shared" si="35"/>
        <v>594861</v>
      </c>
      <c r="O99" s="2">
        <f t="shared" si="36"/>
        <v>59486</v>
      </c>
      <c r="P99" s="2">
        <f t="shared" si="37"/>
        <v>16060</v>
      </c>
      <c r="Q99" s="2">
        <f t="shared" si="38"/>
        <v>670400</v>
      </c>
      <c r="R99" s="139">
        <f t="shared" si="39"/>
        <v>249780</v>
      </c>
      <c r="U99" s="140"/>
    </row>
    <row r="100" spans="3:21" s="1" customFormat="1" ht="16.5" customHeight="1">
      <c r="H100" s="137"/>
      <c r="I100" s="2">
        <v>4</v>
      </c>
      <c r="J100" s="2">
        <f>IF(MAX(Sheet2!F57+C26-C40,0)&lt;=200, 910, IF(MAX(Sheet2!F57+C26-C40,0)&lt;=400, 1600, 7300))</f>
        <v>7300</v>
      </c>
      <c r="K100" s="2">
        <f>INT(IF(MAX(Sheet2!F57+C26-C40,0)&lt;=200, MAX(Sheet2!F57+C26-C40,0)*120, IF(MAX(Sheet2!F57+C26-C40,0)&lt;=400, 24000+(MAX(Sheet2!F57+C26-C40,0)-200)*214.6, 66920+(MAX(Sheet2!F57+C26-C40,0)-400)*307.3)))</f>
        <v>434909</v>
      </c>
      <c r="L100" s="2">
        <f>INT(MAX(Sheet2!F57+C26-C40,0)*9)</f>
        <v>14377</v>
      </c>
      <c r="M100" s="2">
        <f>INT(MAX(Sheet2!F57+C26-C40,0)*5)</f>
        <v>7987</v>
      </c>
      <c r="N100" s="2">
        <f t="shared" si="35"/>
        <v>464573</v>
      </c>
      <c r="O100" s="2">
        <f t="shared" si="36"/>
        <v>46457</v>
      </c>
      <c r="P100" s="2">
        <f t="shared" si="37"/>
        <v>12540</v>
      </c>
      <c r="Q100" s="2">
        <f t="shared" si="38"/>
        <v>523570</v>
      </c>
      <c r="R100" s="139">
        <f t="shared" si="39"/>
        <v>101120</v>
      </c>
      <c r="U100" s="140"/>
    </row>
    <row r="101" spans="3:21" s="1" customFormat="1" ht="16.5" customHeight="1">
      <c r="H101" s="137"/>
      <c r="I101" s="2">
        <v>5</v>
      </c>
      <c r="J101" s="2">
        <f>IF(MAX(Sheet2!G57+C27-C41,0)&lt;=200, 910, IF(MAX(Sheet2!G57+C27-C41,0)&lt;=400, 1600, 7300))</f>
        <v>7300</v>
      </c>
      <c r="K101" s="2">
        <f>INT(IF(MAX(Sheet2!G57+C27-C41,0)&lt;=200, MAX(Sheet2!G57+C27-C41,0)*120, IF(MAX(Sheet2!G57+C27-C41,0)&lt;=400, 24000+(MAX(Sheet2!G57+C27-C41,0)-200)*214.6, 66920+(MAX(Sheet2!G57+C27-C41,0)-400)*307.3)))</f>
        <v>373649</v>
      </c>
      <c r="L101" s="2">
        <f>INT(MAX(Sheet2!G57+C27-C41,0)*9)</f>
        <v>12583</v>
      </c>
      <c r="M101" s="2">
        <f>INT(MAX(Sheet2!G57+C27-C41,0)*5)</f>
        <v>6990</v>
      </c>
      <c r="N101" s="2">
        <f t="shared" si="35"/>
        <v>400522</v>
      </c>
      <c r="O101" s="2">
        <f t="shared" si="36"/>
        <v>40052</v>
      </c>
      <c r="P101" s="2">
        <f t="shared" si="37"/>
        <v>10810</v>
      </c>
      <c r="Q101" s="2">
        <f t="shared" si="38"/>
        <v>451380</v>
      </c>
      <c r="R101" s="139">
        <f t="shared" si="39"/>
        <v>58240</v>
      </c>
      <c r="U101" s="140"/>
    </row>
    <row r="102" spans="3:21" s="1" customFormat="1" ht="16.5" customHeight="1">
      <c r="H102" s="137"/>
      <c r="I102" s="2">
        <v>6</v>
      </c>
      <c r="J102" s="2">
        <f>IF(MAX(Sheet2!H57+C28-C42,0)&lt;=200, 910, IF(MAX(Sheet2!H57+C28-C42,0)&lt;=400, 1600, 7300))</f>
        <v>7300</v>
      </c>
      <c r="K102" s="2">
        <f>INT(IF(MAX(Sheet2!H57+C28-C42,0)&lt;=200, MAX(Sheet2!H57+C28-C42,0)*120, IF(MAX(Sheet2!H57+C28-C42,0)&lt;=400, 24000+(MAX(Sheet2!H57+C28-C42,0)-200)*214.6, 66920+(MAX(Sheet2!H57+C28-C42,0)-400)*307.3)))</f>
        <v>383295</v>
      </c>
      <c r="L102" s="2">
        <f>INT(MAX(Sheet2!H57+C28-C42,0)*9)</f>
        <v>12865</v>
      </c>
      <c r="M102" s="2">
        <f>INT(MAX(Sheet2!H57+C28-C42,0)*5)</f>
        <v>7147</v>
      </c>
      <c r="N102" s="2">
        <f t="shared" si="35"/>
        <v>410607</v>
      </c>
      <c r="O102" s="2">
        <f t="shared" si="36"/>
        <v>41061</v>
      </c>
      <c r="P102" s="2">
        <f t="shared" si="37"/>
        <v>11080</v>
      </c>
      <c r="Q102" s="2">
        <f t="shared" si="38"/>
        <v>462740</v>
      </c>
      <c r="R102" s="139">
        <f t="shared" si="39"/>
        <v>39810</v>
      </c>
      <c r="U102" s="140"/>
    </row>
    <row r="103" spans="3:21" s="1" customFormat="1" ht="16.5" customHeight="1">
      <c r="H103" s="137"/>
      <c r="I103" s="2">
        <v>7</v>
      </c>
      <c r="J103" s="2">
        <f>IF(MAX(Sheet2!I57+C29-C43,0)&lt;=300, 910, IF(MAX(Sheet2!I57+C29-C43,0)&lt;=450, 1600, 7300))</f>
        <v>7300</v>
      </c>
      <c r="K103" s="2">
        <f>INT(IF(MAX(Sheet2!I57+C29-C43,0)&lt;=300, MAX(Sheet2!I57+C29-C43,0)*120, IF(MAX(Sheet2!I57+C29-C43,0)&lt;=450, 36000+(MAX(Sheet2!I57+C29-C43,0)-300)*214.6, 68190+(MAX(Sheet2!I57+C29-C43,0)-450)*307.3)))+INT(MAX(MAX(Sheet2!I57+C29-C43,0)-1000,0)*(736.2-307.3))</f>
        <v>803348</v>
      </c>
      <c r="L103" s="2">
        <f>INT(MAX(Sheet2!I57+C29-C43,0)*9)</f>
        <v>15921</v>
      </c>
      <c r="M103" s="2">
        <f>INT(MAX(Sheet2!I57+C29-C43,0)*5)</f>
        <v>8845</v>
      </c>
      <c r="N103" s="2">
        <f t="shared" si="35"/>
        <v>835414</v>
      </c>
      <c r="O103" s="2">
        <f t="shared" si="36"/>
        <v>83541</v>
      </c>
      <c r="P103" s="2">
        <f t="shared" si="37"/>
        <v>22550</v>
      </c>
      <c r="Q103" s="2">
        <f t="shared" si="38"/>
        <v>941500</v>
      </c>
      <c r="R103" s="139">
        <f t="shared" si="39"/>
        <v>60050</v>
      </c>
      <c r="U103" s="140"/>
    </row>
    <row r="104" spans="3:21" s="1" customFormat="1" ht="16.5" customHeight="1">
      <c r="H104" s="137"/>
      <c r="I104" s="2">
        <v>8</v>
      </c>
      <c r="J104" s="2">
        <f>IF(MAX(Sheet2!J57+C30-C44,0)&lt;=300, 910, IF(MAX(Sheet2!J57+C30-C44,0)&lt;=450, 1600, 7300))</f>
        <v>7300</v>
      </c>
      <c r="K104" s="2">
        <f>INT(IF(MAX(Sheet2!J57+C30-C44,0)&lt;=300, MAX(Sheet2!J57+C30-C44,0)*120, IF(MAX(Sheet2!J57+C30-C44,0)&lt;=450, 36000+(MAX(Sheet2!J57+C30-C44,0)-300)*214.6, 68190+(MAX(Sheet2!J57+C30-C44,0)-450)*307.3)))+INT(MAX(MAX(Sheet2!J57+C30-C44,0)-1000,0)*(736.2-307.3))</f>
        <v>1123602</v>
      </c>
      <c r="L104" s="2">
        <f>INT(MAX(Sheet2!J57+C30-C44,0)*9)</f>
        <v>19836</v>
      </c>
      <c r="M104" s="2">
        <f>INT(MAX(Sheet2!J57+C30-C44,0)*5)</f>
        <v>11020</v>
      </c>
      <c r="N104" s="2">
        <f t="shared" si="35"/>
        <v>1161758</v>
      </c>
      <c r="O104" s="2">
        <f t="shared" si="36"/>
        <v>116176</v>
      </c>
      <c r="P104" s="2">
        <f t="shared" si="37"/>
        <v>31360</v>
      </c>
      <c r="Q104" s="2">
        <f t="shared" si="38"/>
        <v>1309290</v>
      </c>
      <c r="R104" s="139">
        <f t="shared" si="39"/>
        <v>59680</v>
      </c>
      <c r="U104" s="140"/>
    </row>
    <row r="105" spans="3:21" s="1" customFormat="1" ht="16.5" customHeight="1">
      <c r="H105" s="137"/>
      <c r="I105" s="2">
        <v>9</v>
      </c>
      <c r="J105" s="2">
        <f>IF(MAX(Sheet2!K57+C31-C45,0)&lt;=200, 910, IF(MAX(Sheet2!K57+C31-C45,0)&lt;=400, 1600, 7300))</f>
        <v>7300</v>
      </c>
      <c r="K105" s="2">
        <f>INT(IF(MAX(Sheet2!K57+C31-C45,0)&lt;=200, MAX(Sheet2!K57+C31-C45,0)*120, IF(MAX(Sheet2!K57+C31-C45,0)&lt;=400, 24000+(MAX(Sheet2!K57+C31-C45,0)-200)*214.6, 66920+(MAX(Sheet2!K57+C31-C45,0)-400)*307.3)))</f>
        <v>587898</v>
      </c>
      <c r="L105" s="2">
        <f>INT(MAX(Sheet2!K57+C31-C45,0)*9)</f>
        <v>18858</v>
      </c>
      <c r="M105" s="2">
        <f>INT(MAX(Sheet2!K57+C31-C45,0)*5)</f>
        <v>10476</v>
      </c>
      <c r="N105" s="2">
        <f t="shared" si="35"/>
        <v>624532</v>
      </c>
      <c r="O105" s="2">
        <f t="shared" si="36"/>
        <v>62453</v>
      </c>
      <c r="P105" s="2">
        <f t="shared" si="37"/>
        <v>16860</v>
      </c>
      <c r="Q105" s="2">
        <f t="shared" si="38"/>
        <v>703840</v>
      </c>
      <c r="R105" s="139">
        <f t="shared" si="39"/>
        <v>47600</v>
      </c>
      <c r="U105" s="140"/>
    </row>
    <row r="106" spans="3:21" s="1" customFormat="1" ht="16.5" customHeight="1">
      <c r="H106" s="137"/>
      <c r="I106" s="2">
        <v>10</v>
      </c>
      <c r="J106" s="2">
        <f>IF(MAX(Sheet2!L57+C32-C46,0)&lt;=200, 910, IF(MAX(Sheet2!L57+C32-C46,0)&lt;=400, 1600, 7300))</f>
        <v>7300</v>
      </c>
      <c r="K106" s="2">
        <f>INT(IF(MAX(Sheet2!L57+C32-C46,0)&lt;=200, MAX(Sheet2!L57+C32-C46,0)*120, IF(MAX(Sheet2!L57+C32-C46,0)&lt;=400, 24000+(MAX(Sheet2!L57+C32-C46,0)-200)*214.6, 66920+(MAX(Sheet2!L57+C32-C46,0)-400)*307.3)))</f>
        <v>436995</v>
      </c>
      <c r="L106" s="2">
        <f>INT(MAX(Sheet2!L57+C32-C46,0)*9)</f>
        <v>14438</v>
      </c>
      <c r="M106" s="2">
        <f>INT(MAX(Sheet2!L57+C32-C46,0)*5)</f>
        <v>8021</v>
      </c>
      <c r="N106" s="2">
        <f t="shared" si="35"/>
        <v>466754</v>
      </c>
      <c r="O106" s="2">
        <f t="shared" si="36"/>
        <v>46675</v>
      </c>
      <c r="P106" s="2">
        <f t="shared" si="37"/>
        <v>12600</v>
      </c>
      <c r="Q106" s="2">
        <f t="shared" si="38"/>
        <v>526020</v>
      </c>
      <c r="R106" s="139">
        <f t="shared" si="39"/>
        <v>77400</v>
      </c>
      <c r="U106" s="140"/>
    </row>
    <row r="107" spans="3:21" s="1" customFormat="1" ht="16.5" customHeight="1">
      <c r="H107" s="137"/>
      <c r="I107" s="2">
        <v>11</v>
      </c>
      <c r="J107" s="2">
        <f>IF(MAX(Sheet2!M57+C33-C47,0)&lt;=200, 910, IF(MAX(Sheet2!M57+C33-C47,0)&lt;=400, 1600, 7300))</f>
        <v>7300</v>
      </c>
      <c r="K107" s="2">
        <f>INT(IF(MAX(Sheet2!M57+C33-C47,0)&lt;=200, MAX(Sheet2!M57+C33-C47,0)*120, IF(MAX(Sheet2!M57+C33-C47,0)&lt;=400, 24000+(MAX(Sheet2!M57+C33-C47,0)-200)*214.6, 66920+(MAX(Sheet2!M57+C33-C47,0)-400)*307.3)))</f>
        <v>461382</v>
      </c>
      <c r="L107" s="2">
        <f>INT(MAX(Sheet2!M57+C33-C47,0)*9)</f>
        <v>15152</v>
      </c>
      <c r="M107" s="2">
        <f>INT(MAX(Sheet2!M57+C33-C47,0)*5)</f>
        <v>8418</v>
      </c>
      <c r="N107" s="2">
        <f t="shared" si="35"/>
        <v>492252</v>
      </c>
      <c r="O107" s="2">
        <f t="shared" si="36"/>
        <v>49225</v>
      </c>
      <c r="P107" s="2">
        <f t="shared" si="37"/>
        <v>13290</v>
      </c>
      <c r="Q107" s="2">
        <f t="shared" si="38"/>
        <v>554760</v>
      </c>
      <c r="R107" s="139">
        <f t="shared" si="39"/>
        <v>129890</v>
      </c>
      <c r="U107" s="140"/>
    </row>
    <row r="108" spans="3:21" s="1" customFormat="1" ht="16.5" customHeight="1">
      <c r="H108" s="152"/>
      <c r="I108" s="67">
        <v>12</v>
      </c>
      <c r="J108" s="159">
        <f>IF(MAX(Sheet2!N57+C34-C48,0)&lt;=200, 910, IF(MAX(Sheet2!N57+C34-C48,0)&lt;=400, 1600, 7300))</f>
        <v>7300</v>
      </c>
      <c r="K108" s="159">
        <f>INT(IF(MAX(Sheet2!N57+C34-C48,0)&lt;=200, MAX(Sheet2!N57+C34-C48,0)*120, IF(MAX(Sheet2!N57+C34-C48,0)&lt;=400, 24000+(MAX(Sheet2!N57+C34-C48,0)-200)*214.6, 66920+(MAX(Sheet2!N57+C34-C48,0)-400)*307.3)))+INT(MAX(MAX(Sheet2!N57+C34-C48,0)-1000,0)*(736.2-307.3))</f>
        <v>1013238</v>
      </c>
      <c r="L108" s="159">
        <f>INT(MAX(Sheet2!N57+C34-C48,0)*9)</f>
        <v>18314</v>
      </c>
      <c r="M108" s="159">
        <f>INT(MAX(Sheet2!N57+C34-C48,0)*5)</f>
        <v>10174</v>
      </c>
      <c r="N108" s="159">
        <f t="shared" si="35"/>
        <v>1049026</v>
      </c>
      <c r="O108" s="159">
        <f t="shared" si="36"/>
        <v>104903</v>
      </c>
      <c r="P108" s="159">
        <f t="shared" si="37"/>
        <v>28320</v>
      </c>
      <c r="Q108" s="159">
        <f t="shared" si="38"/>
        <v>1182240</v>
      </c>
      <c r="R108" s="154">
        <f t="shared" si="39"/>
        <v>553120</v>
      </c>
      <c r="S108" s="159"/>
      <c r="T108" s="159"/>
      <c r="U108" s="155"/>
    </row>
    <row r="109" spans="3:21" s="1" customFormat="1" ht="16.5" customHeight="1">
      <c r="C109" s="6" t="s">
        <v>412</v>
      </c>
      <c r="D109" s="2">
        <f>ROUNDUP(Sheet2!C4/D110,0)</f>
        <v>6</v>
      </c>
      <c r="H109" s="59" t="s">
        <v>413</v>
      </c>
      <c r="I109" s="156" t="s">
        <v>75</v>
      </c>
      <c r="J109" s="156" t="s">
        <v>378</v>
      </c>
      <c r="K109" s="156" t="s">
        <v>379</v>
      </c>
      <c r="L109" s="156" t="s">
        <v>380</v>
      </c>
      <c r="M109" s="156" t="s">
        <v>381</v>
      </c>
      <c r="N109" s="156" t="s">
        <v>382</v>
      </c>
      <c r="O109" s="156" t="s">
        <v>383</v>
      </c>
      <c r="P109" s="156" t="s">
        <v>384</v>
      </c>
      <c r="Q109" s="156" t="s">
        <v>385</v>
      </c>
      <c r="R109" s="157" t="s">
        <v>386</v>
      </c>
      <c r="S109" s="160">
        <f>SUM(R110:R121)</f>
        <v>1262810</v>
      </c>
      <c r="T109" s="160">
        <f>Sheet2!$O$18</f>
        <v>1620551.6253430294</v>
      </c>
      <c r="U109" s="135">
        <f>(T109-S109)/T109</f>
        <v>0.22075299530633874</v>
      </c>
    </row>
    <row r="110" spans="3:21" s="1" customFormat="1" ht="16.5" customHeight="1">
      <c r="C110" s="2" t="s">
        <v>414</v>
      </c>
      <c r="D110" s="2">
        <v>3</v>
      </c>
      <c r="H110" s="137"/>
      <c r="I110" s="2">
        <v>1</v>
      </c>
      <c r="J110" s="2">
        <f t="shared" ref="J110:J121" si="40">$D$109*$C$113</f>
        <v>36960</v>
      </c>
      <c r="K110" s="2">
        <f>ROUNDDOWN(Sheet2!C54*$F$113,0)</f>
        <v>141277</v>
      </c>
      <c r="L110" s="2">
        <f>INT(Sheet2!C54*9)</f>
        <v>10684</v>
      </c>
      <c r="M110" s="2">
        <f>INT(Sheet2!C54*5)</f>
        <v>5936</v>
      </c>
      <c r="N110" s="2">
        <f t="shared" ref="N110:N121" si="41">SUM(J110:M110)</f>
        <v>194857</v>
      </c>
      <c r="O110" s="2">
        <f t="shared" ref="O110:O121" si="42">ROUND(N110*0.1, 0)</f>
        <v>19486</v>
      </c>
      <c r="P110" s="2">
        <f t="shared" ref="P110:P121" si="43">FLOOR(N110*0.027, 10)</f>
        <v>5260</v>
      </c>
      <c r="Q110" s="2">
        <f t="shared" ref="Q110:Q121" si="44">FLOOR(N110+O110+P110, 10)</f>
        <v>219600</v>
      </c>
      <c r="R110" s="2">
        <f t="shared" ref="R110:R121" si="45">Q110</f>
        <v>219600</v>
      </c>
      <c r="U110" s="140"/>
    </row>
    <row r="111" spans="3:21" s="1" customFormat="1" ht="16.5" customHeight="1">
      <c r="H111" s="137"/>
      <c r="I111" s="2">
        <v>2</v>
      </c>
      <c r="J111" s="2">
        <f t="shared" si="40"/>
        <v>36960</v>
      </c>
      <c r="K111" s="2">
        <f>ROUNDDOWN(Sheet2!D54*$F$113,0)</f>
        <v>123921</v>
      </c>
      <c r="L111" s="2">
        <f>INT(Sheet2!D54*9)</f>
        <v>9372</v>
      </c>
      <c r="M111" s="2">
        <f>INT(Sheet2!D54*5)</f>
        <v>5206</v>
      </c>
      <c r="N111" s="2">
        <f t="shared" si="41"/>
        <v>175459</v>
      </c>
      <c r="O111" s="2">
        <f t="shared" si="42"/>
        <v>17546</v>
      </c>
      <c r="P111" s="2">
        <f t="shared" si="43"/>
        <v>4730</v>
      </c>
      <c r="Q111" s="2">
        <f t="shared" si="44"/>
        <v>197730</v>
      </c>
      <c r="R111" s="2">
        <f t="shared" si="45"/>
        <v>197730</v>
      </c>
      <c r="U111" s="140"/>
    </row>
    <row r="112" spans="3:21" s="1" customFormat="1" ht="16.5" customHeight="1">
      <c r="H112" s="137"/>
      <c r="I112" s="2">
        <v>3</v>
      </c>
      <c r="J112" s="2">
        <f t="shared" si="40"/>
        <v>36960</v>
      </c>
      <c r="K112" s="2">
        <f>ROUNDDOWN(Sheet2!E54*$E$113,0)</f>
        <v>73631</v>
      </c>
      <c r="L112" s="2">
        <f>INT(Sheet2!E54*9)</f>
        <v>7210</v>
      </c>
      <c r="M112" s="2">
        <f>INT(Sheet2!E54*5)</f>
        <v>4006</v>
      </c>
      <c r="N112" s="2">
        <f t="shared" si="41"/>
        <v>121807</v>
      </c>
      <c r="O112" s="2">
        <f t="shared" si="42"/>
        <v>12181</v>
      </c>
      <c r="P112" s="2">
        <f t="shared" si="43"/>
        <v>3280</v>
      </c>
      <c r="Q112" s="2">
        <f t="shared" si="44"/>
        <v>137260</v>
      </c>
      <c r="R112" s="2">
        <f t="shared" si="45"/>
        <v>137260</v>
      </c>
      <c r="U112" s="140"/>
    </row>
    <row r="113" spans="3:21" s="1" customFormat="1" ht="16.5" customHeight="1">
      <c r="C113" s="161">
        <v>6160</v>
      </c>
      <c r="D113" s="145">
        <v>132.4</v>
      </c>
      <c r="E113" s="161">
        <v>91.9</v>
      </c>
      <c r="F113" s="161">
        <v>119</v>
      </c>
      <c r="H113" s="137"/>
      <c r="I113" s="2">
        <v>4</v>
      </c>
      <c r="J113" s="2">
        <f t="shared" si="40"/>
        <v>36960</v>
      </c>
      <c r="K113" s="2">
        <f>ROUNDDOWN(Sheet2!F54*$E$113,0)</f>
        <v>29810</v>
      </c>
      <c r="L113" s="2">
        <f>INT(Sheet2!F54*9)</f>
        <v>2919</v>
      </c>
      <c r="M113" s="2">
        <f>INT(Sheet2!F54*5)</f>
        <v>1621</v>
      </c>
      <c r="N113" s="2">
        <f t="shared" si="41"/>
        <v>71310</v>
      </c>
      <c r="O113" s="2">
        <f t="shared" si="42"/>
        <v>7131</v>
      </c>
      <c r="P113" s="2">
        <f t="shared" si="43"/>
        <v>1920</v>
      </c>
      <c r="Q113" s="2">
        <f t="shared" si="44"/>
        <v>80360</v>
      </c>
      <c r="R113" s="2">
        <f t="shared" si="45"/>
        <v>80360</v>
      </c>
      <c r="U113" s="140"/>
    </row>
    <row r="114" spans="3:21" s="1" customFormat="1" ht="16.5" customHeight="1">
      <c r="C114" s="6" t="s">
        <v>378</v>
      </c>
      <c r="D114" s="6" t="s">
        <v>376</v>
      </c>
      <c r="E114" s="6" t="s">
        <v>415</v>
      </c>
      <c r="F114" s="6" t="s">
        <v>416</v>
      </c>
      <c r="H114" s="137"/>
      <c r="I114" s="2">
        <v>5</v>
      </c>
      <c r="J114" s="2">
        <f t="shared" si="40"/>
        <v>36960</v>
      </c>
      <c r="K114" s="2">
        <f>ROUNDDOWN(Sheet2!G54*$E$113,0)</f>
        <v>17166</v>
      </c>
      <c r="L114" s="2">
        <f>INT(Sheet2!G54*9)</f>
        <v>1681</v>
      </c>
      <c r="M114" s="2">
        <f>INT(Sheet2!G54*5)</f>
        <v>933</v>
      </c>
      <c r="N114" s="2">
        <f t="shared" si="41"/>
        <v>56740</v>
      </c>
      <c r="O114" s="2">
        <f t="shared" si="42"/>
        <v>5674</v>
      </c>
      <c r="P114" s="2">
        <f t="shared" si="43"/>
        <v>1530</v>
      </c>
      <c r="Q114" s="2">
        <f t="shared" si="44"/>
        <v>63940</v>
      </c>
      <c r="R114" s="2">
        <f t="shared" si="45"/>
        <v>63940</v>
      </c>
      <c r="U114" s="140"/>
    </row>
    <row r="115" spans="3:21" s="1" customFormat="1" ht="16.5" customHeight="1">
      <c r="C115" s="2" t="s">
        <v>417</v>
      </c>
      <c r="D115" s="6" t="s">
        <v>418</v>
      </c>
      <c r="E115" s="2" t="s">
        <v>419</v>
      </c>
      <c r="F115" s="2" t="s">
        <v>420</v>
      </c>
      <c r="H115" s="137"/>
      <c r="I115" s="2">
        <v>6</v>
      </c>
      <c r="J115" s="2">
        <f t="shared" si="40"/>
        <v>36960</v>
      </c>
      <c r="K115" s="2">
        <f>ROUNDDOWN(Sheet2!H54*$D$113,0)</f>
        <v>16909</v>
      </c>
      <c r="L115" s="2">
        <f>INT(Sheet2!H54*9)</f>
        <v>1149</v>
      </c>
      <c r="M115" s="2">
        <f>INT(Sheet2!H54*5)</f>
        <v>638</v>
      </c>
      <c r="N115" s="2">
        <f t="shared" si="41"/>
        <v>55656</v>
      </c>
      <c r="O115" s="2">
        <f t="shared" si="42"/>
        <v>5566</v>
      </c>
      <c r="P115" s="2">
        <f t="shared" si="43"/>
        <v>1500</v>
      </c>
      <c r="Q115" s="2">
        <f t="shared" si="44"/>
        <v>62720</v>
      </c>
      <c r="R115" s="2">
        <f t="shared" si="45"/>
        <v>62720</v>
      </c>
      <c r="U115" s="140"/>
    </row>
    <row r="116" spans="3:21" s="1" customFormat="1" ht="16.5" customHeight="1">
      <c r="D116" s="2" t="s">
        <v>421</v>
      </c>
      <c r="E116" s="2" t="s">
        <v>422</v>
      </c>
      <c r="H116" s="137"/>
      <c r="I116" s="2">
        <v>7</v>
      </c>
      <c r="J116" s="2">
        <f t="shared" si="40"/>
        <v>36960</v>
      </c>
      <c r="K116" s="2">
        <f>ROUNDDOWN(Sheet2!I54*$D$113,0)</f>
        <v>10923</v>
      </c>
      <c r="L116" s="2">
        <f>INT(Sheet2!I54*9)</f>
        <v>742</v>
      </c>
      <c r="M116" s="2">
        <f>INT(Sheet2!I54*5)</f>
        <v>412</v>
      </c>
      <c r="N116" s="2">
        <f t="shared" si="41"/>
        <v>49037</v>
      </c>
      <c r="O116" s="2">
        <f t="shared" si="42"/>
        <v>4904</v>
      </c>
      <c r="P116" s="2">
        <f t="shared" si="43"/>
        <v>1320</v>
      </c>
      <c r="Q116" s="2">
        <f t="shared" si="44"/>
        <v>55260</v>
      </c>
      <c r="R116" s="2">
        <f t="shared" si="45"/>
        <v>55260</v>
      </c>
      <c r="U116" s="140"/>
    </row>
    <row r="117" spans="3:21" s="1" customFormat="1" ht="16.5" customHeight="1">
      <c r="H117" s="137"/>
      <c r="I117" s="2">
        <v>8</v>
      </c>
      <c r="J117" s="2">
        <f t="shared" si="40"/>
        <v>36960</v>
      </c>
      <c r="K117" s="2">
        <f>ROUNDDOWN(Sheet2!J54*$D$113,0)</f>
        <v>10855</v>
      </c>
      <c r="L117" s="2">
        <f>INT(Sheet2!J54*9)</f>
        <v>737</v>
      </c>
      <c r="M117" s="2">
        <f>INT(Sheet2!J54*5)</f>
        <v>409</v>
      </c>
      <c r="N117" s="2">
        <f t="shared" si="41"/>
        <v>48961</v>
      </c>
      <c r="O117" s="2">
        <f t="shared" si="42"/>
        <v>4896</v>
      </c>
      <c r="P117" s="2">
        <f t="shared" si="43"/>
        <v>1320</v>
      </c>
      <c r="Q117" s="2">
        <f t="shared" si="44"/>
        <v>55170</v>
      </c>
      <c r="R117" s="2">
        <f t="shared" si="45"/>
        <v>55170</v>
      </c>
      <c r="U117" s="140"/>
    </row>
    <row r="118" spans="3:21" s="1" customFormat="1" ht="16.5" customHeight="1">
      <c r="H118" s="137"/>
      <c r="I118" s="2">
        <v>9</v>
      </c>
      <c r="J118" s="2">
        <f t="shared" si="40"/>
        <v>36960</v>
      </c>
      <c r="K118" s="2">
        <f>ROUNDDOWN(Sheet2!K54*$E$113,0)</f>
        <v>14032</v>
      </c>
      <c r="L118" s="2">
        <f>INT(Sheet2!K54*9)</f>
        <v>1374</v>
      </c>
      <c r="M118" s="2">
        <f>INT(Sheet2!K54*5)</f>
        <v>763</v>
      </c>
      <c r="N118" s="2">
        <f t="shared" si="41"/>
        <v>53129</v>
      </c>
      <c r="O118" s="2">
        <f t="shared" si="42"/>
        <v>5313</v>
      </c>
      <c r="P118" s="2">
        <f t="shared" si="43"/>
        <v>1430</v>
      </c>
      <c r="Q118" s="2">
        <f t="shared" si="44"/>
        <v>59870</v>
      </c>
      <c r="R118" s="2">
        <f t="shared" si="45"/>
        <v>59870</v>
      </c>
      <c r="U118" s="140"/>
    </row>
    <row r="119" spans="3:21" s="1" customFormat="1" ht="16.5" customHeight="1">
      <c r="H119" s="137"/>
      <c r="I119" s="2">
        <v>10</v>
      </c>
      <c r="J119" s="2">
        <f t="shared" si="40"/>
        <v>36960</v>
      </c>
      <c r="K119" s="2">
        <f>ROUNDDOWN(Sheet2!L54*$E$113,0)</f>
        <v>22817</v>
      </c>
      <c r="L119" s="2">
        <f>INT(Sheet2!L54*9)</f>
        <v>2234</v>
      </c>
      <c r="M119" s="2">
        <f>INT(Sheet2!L54*5)</f>
        <v>1241</v>
      </c>
      <c r="N119" s="2">
        <f t="shared" si="41"/>
        <v>63252</v>
      </c>
      <c r="O119" s="2">
        <f t="shared" si="42"/>
        <v>6325</v>
      </c>
      <c r="P119" s="2">
        <f t="shared" si="43"/>
        <v>1700</v>
      </c>
      <c r="Q119" s="2">
        <f t="shared" si="44"/>
        <v>71270</v>
      </c>
      <c r="R119" s="2">
        <f t="shared" si="45"/>
        <v>71270</v>
      </c>
      <c r="U119" s="140"/>
    </row>
    <row r="120" spans="3:21" s="1" customFormat="1" ht="16.5" customHeight="1">
      <c r="H120" s="137"/>
      <c r="I120" s="2">
        <v>11</v>
      </c>
      <c r="J120" s="2">
        <f t="shared" si="40"/>
        <v>36960</v>
      </c>
      <c r="K120" s="2">
        <f>ROUNDDOWN(Sheet2!M54*$F$113,0)</f>
        <v>49578</v>
      </c>
      <c r="L120" s="2">
        <f>INT(Sheet2!M54*9)</f>
        <v>3749</v>
      </c>
      <c r="M120" s="2">
        <f>INT(Sheet2!M54*5)</f>
        <v>2083</v>
      </c>
      <c r="N120" s="2">
        <f t="shared" si="41"/>
        <v>92370</v>
      </c>
      <c r="O120" s="2">
        <f t="shared" si="42"/>
        <v>9237</v>
      </c>
      <c r="P120" s="2">
        <f t="shared" si="43"/>
        <v>2490</v>
      </c>
      <c r="Q120" s="2">
        <f t="shared" si="44"/>
        <v>104090</v>
      </c>
      <c r="R120" s="2">
        <f t="shared" si="45"/>
        <v>104090</v>
      </c>
      <c r="U120" s="140"/>
    </row>
    <row r="121" spans="3:21" s="1" customFormat="1" ht="16.5" customHeight="1">
      <c r="H121" s="137"/>
      <c r="I121" s="2">
        <v>12</v>
      </c>
      <c r="J121" s="2">
        <f t="shared" si="40"/>
        <v>36960</v>
      </c>
      <c r="K121" s="2">
        <f>ROUNDDOWN(Sheet2!N54*$F$113,0)</f>
        <v>90428</v>
      </c>
      <c r="L121" s="2">
        <f>INT(Sheet2!N54*9)</f>
        <v>6839</v>
      </c>
      <c r="M121" s="2">
        <f>INT(Sheet2!N54*5)</f>
        <v>3799</v>
      </c>
      <c r="N121" s="2">
        <f t="shared" si="41"/>
        <v>138026</v>
      </c>
      <c r="O121" s="2">
        <f t="shared" si="42"/>
        <v>13803</v>
      </c>
      <c r="P121" s="2">
        <f t="shared" si="43"/>
        <v>3720</v>
      </c>
      <c r="Q121" s="2">
        <f t="shared" si="44"/>
        <v>155540</v>
      </c>
      <c r="R121" s="2">
        <f t="shared" si="45"/>
        <v>155540</v>
      </c>
      <c r="U121" s="140"/>
    </row>
    <row r="122" spans="3:21" s="1" customFormat="1" ht="16.5" customHeight="1">
      <c r="H122" s="137"/>
      <c r="I122" s="6" t="s">
        <v>76</v>
      </c>
      <c r="J122" s="6" t="s">
        <v>378</v>
      </c>
      <c r="K122" s="6" t="s">
        <v>379</v>
      </c>
      <c r="L122" s="6" t="s">
        <v>380</v>
      </c>
      <c r="M122" s="6" t="s">
        <v>381</v>
      </c>
      <c r="N122" s="6" t="s">
        <v>382</v>
      </c>
      <c r="O122" s="6" t="s">
        <v>383</v>
      </c>
      <c r="P122" s="6" t="s">
        <v>384</v>
      </c>
      <c r="Q122" s="6" t="s">
        <v>385</v>
      </c>
      <c r="R122" s="2" t="s">
        <v>386</v>
      </c>
      <c r="S122" s="139">
        <f>SUM(R123:R134)</f>
        <v>1188170</v>
      </c>
      <c r="T122" s="139">
        <f>Sheet2!$O$18</f>
        <v>1620551.6253430294</v>
      </c>
      <c r="U122" s="144">
        <f>(T122-S122)/T122</f>
        <v>0.26681138606214116</v>
      </c>
    </row>
    <row r="123" spans="3:21" s="1" customFormat="1" ht="16.5" customHeight="1">
      <c r="H123" s="137"/>
      <c r="I123" s="2">
        <v>1</v>
      </c>
      <c r="J123" s="2">
        <f t="shared" ref="J123:J134" si="46">$D$109*$C$113</f>
        <v>36960</v>
      </c>
      <c r="K123" s="2">
        <f>ROUNDDOWN(Sheet2!C55*$F$113,0)</f>
        <v>127457</v>
      </c>
      <c r="L123" s="2">
        <f>INT(Sheet2!C55*9)</f>
        <v>9639</v>
      </c>
      <c r="M123" s="2">
        <f>INT(Sheet2!C55*5)</f>
        <v>5355</v>
      </c>
      <c r="N123" s="2">
        <f t="shared" ref="N123:N134" si="47">SUM(J123:M123)</f>
        <v>179411</v>
      </c>
      <c r="O123" s="2">
        <f t="shared" ref="O123:O134" si="48">ROUND(N123*0.1, 0)</f>
        <v>17941</v>
      </c>
      <c r="P123" s="2">
        <f t="shared" ref="P123:P134" si="49">FLOOR(N123*0.027, 10)</f>
        <v>4840</v>
      </c>
      <c r="Q123" s="2">
        <f t="shared" ref="Q123:Q134" si="50">FLOOR(N123+O123+P123, 10)</f>
        <v>202190</v>
      </c>
      <c r="R123" s="2">
        <f t="shared" ref="R123:R134" si="51">Q123</f>
        <v>202190</v>
      </c>
      <c r="U123" s="140"/>
    </row>
    <row r="124" spans="3:21" s="1" customFormat="1" ht="16.5" customHeight="1">
      <c r="H124" s="137"/>
      <c r="I124" s="2">
        <v>2</v>
      </c>
      <c r="J124" s="2">
        <f t="shared" si="46"/>
        <v>36960</v>
      </c>
      <c r="K124" s="2">
        <f>ROUNDDOWN(Sheet2!D55*$F$113,0)</f>
        <v>111798</v>
      </c>
      <c r="L124" s="2">
        <f>INT(Sheet2!D55*9)</f>
        <v>8455</v>
      </c>
      <c r="M124" s="2">
        <f>INT(Sheet2!D55*5)</f>
        <v>4697</v>
      </c>
      <c r="N124" s="2">
        <f t="shared" si="47"/>
        <v>161910</v>
      </c>
      <c r="O124" s="2">
        <f t="shared" si="48"/>
        <v>16191</v>
      </c>
      <c r="P124" s="2">
        <f t="shared" si="49"/>
        <v>4370</v>
      </c>
      <c r="Q124" s="2">
        <f t="shared" si="50"/>
        <v>182470</v>
      </c>
      <c r="R124" s="2">
        <f t="shared" si="51"/>
        <v>182470</v>
      </c>
      <c r="U124" s="140"/>
    </row>
    <row r="125" spans="3:21" s="1" customFormat="1" ht="16.5" customHeight="1">
      <c r="H125" s="137"/>
      <c r="I125" s="2">
        <v>3</v>
      </c>
      <c r="J125" s="2">
        <f t="shared" si="46"/>
        <v>36960</v>
      </c>
      <c r="K125" s="2">
        <f>ROUNDDOWN(Sheet2!E55*$E$113,0)</f>
        <v>66428</v>
      </c>
      <c r="L125" s="2">
        <f>INT(Sheet2!E55*9)</f>
        <v>6505</v>
      </c>
      <c r="M125" s="2">
        <f>INT(Sheet2!E55*5)</f>
        <v>3614</v>
      </c>
      <c r="N125" s="2">
        <f t="shared" si="47"/>
        <v>113507</v>
      </c>
      <c r="O125" s="2">
        <f t="shared" si="48"/>
        <v>11351</v>
      </c>
      <c r="P125" s="2">
        <f t="shared" si="49"/>
        <v>3060</v>
      </c>
      <c r="Q125" s="2">
        <f t="shared" si="50"/>
        <v>127910</v>
      </c>
      <c r="R125" s="2">
        <f t="shared" si="51"/>
        <v>127910</v>
      </c>
      <c r="U125" s="140"/>
    </row>
    <row r="126" spans="3:21" s="1" customFormat="1" ht="16.5" customHeight="1">
      <c r="H126" s="137"/>
      <c r="I126" s="2">
        <v>4</v>
      </c>
      <c r="J126" s="2">
        <f t="shared" si="46"/>
        <v>36960</v>
      </c>
      <c r="K126" s="2">
        <f>ROUNDDOWN(Sheet2!F55*$E$113,0)</f>
        <v>26893</v>
      </c>
      <c r="L126" s="2">
        <f>INT(Sheet2!F55*9)</f>
        <v>2633</v>
      </c>
      <c r="M126" s="2">
        <f>INT(Sheet2!F55*5)</f>
        <v>1463</v>
      </c>
      <c r="N126" s="2">
        <f t="shared" si="47"/>
        <v>67949</v>
      </c>
      <c r="O126" s="2">
        <f t="shared" si="48"/>
        <v>6795</v>
      </c>
      <c r="P126" s="2">
        <f t="shared" si="49"/>
        <v>1830</v>
      </c>
      <c r="Q126" s="2">
        <f t="shared" si="50"/>
        <v>76570</v>
      </c>
      <c r="R126" s="2">
        <f t="shared" si="51"/>
        <v>76570</v>
      </c>
      <c r="U126" s="140"/>
    </row>
    <row r="127" spans="3:21" s="1" customFormat="1" ht="16.5" customHeight="1">
      <c r="H127" s="137"/>
      <c r="I127" s="2">
        <v>5</v>
      </c>
      <c r="J127" s="2">
        <f t="shared" si="46"/>
        <v>36960</v>
      </c>
      <c r="K127" s="2">
        <f>ROUNDDOWN(Sheet2!G55*$E$113,0)</f>
        <v>15487</v>
      </c>
      <c r="L127" s="2">
        <f>INT(Sheet2!G55*9)</f>
        <v>1516</v>
      </c>
      <c r="M127" s="2">
        <f>INT(Sheet2!G55*5)</f>
        <v>842</v>
      </c>
      <c r="N127" s="2">
        <f t="shared" si="47"/>
        <v>54805</v>
      </c>
      <c r="O127" s="2">
        <f t="shared" si="48"/>
        <v>5481</v>
      </c>
      <c r="P127" s="2">
        <f t="shared" si="49"/>
        <v>1470</v>
      </c>
      <c r="Q127" s="2">
        <f t="shared" si="50"/>
        <v>61750</v>
      </c>
      <c r="R127" s="2">
        <f t="shared" si="51"/>
        <v>61750</v>
      </c>
      <c r="U127" s="140"/>
    </row>
    <row r="128" spans="3:21" s="1" customFormat="1" ht="16.5" customHeight="1">
      <c r="H128" s="137"/>
      <c r="I128" s="2">
        <v>6</v>
      </c>
      <c r="J128" s="2">
        <f t="shared" si="46"/>
        <v>36960</v>
      </c>
      <c r="K128" s="2">
        <f>ROUNDDOWN(Sheet2!H55*$D$113,0)</f>
        <v>15255</v>
      </c>
      <c r="L128" s="2">
        <f>INT(Sheet2!H55*9)</f>
        <v>1036</v>
      </c>
      <c r="M128" s="2">
        <f>INT(Sheet2!H55*5)</f>
        <v>576</v>
      </c>
      <c r="N128" s="2">
        <f t="shared" si="47"/>
        <v>53827</v>
      </c>
      <c r="O128" s="2">
        <f t="shared" si="48"/>
        <v>5383</v>
      </c>
      <c r="P128" s="2">
        <f t="shared" si="49"/>
        <v>1450</v>
      </c>
      <c r="Q128" s="2">
        <f t="shared" si="50"/>
        <v>60660</v>
      </c>
      <c r="R128" s="2">
        <f t="shared" si="51"/>
        <v>60660</v>
      </c>
      <c r="U128" s="140"/>
    </row>
    <row r="129" spans="8:21" s="1" customFormat="1" ht="16.5" customHeight="1">
      <c r="H129" s="137"/>
      <c r="I129" s="2">
        <v>7</v>
      </c>
      <c r="J129" s="2">
        <f t="shared" si="46"/>
        <v>36960</v>
      </c>
      <c r="K129" s="2">
        <f>ROUNDDOWN(Sheet2!I55*$D$113,0)</f>
        <v>9854</v>
      </c>
      <c r="L129" s="2">
        <f>INT(Sheet2!I55*9)</f>
        <v>669</v>
      </c>
      <c r="M129" s="2">
        <f>INT(Sheet2!I55*5)</f>
        <v>372</v>
      </c>
      <c r="N129" s="2">
        <f t="shared" si="47"/>
        <v>47855</v>
      </c>
      <c r="O129" s="2">
        <f t="shared" si="48"/>
        <v>4786</v>
      </c>
      <c r="P129" s="2">
        <f t="shared" si="49"/>
        <v>1290</v>
      </c>
      <c r="Q129" s="2">
        <f t="shared" si="50"/>
        <v>53930</v>
      </c>
      <c r="R129" s="2">
        <f t="shared" si="51"/>
        <v>53930</v>
      </c>
      <c r="U129" s="140"/>
    </row>
    <row r="130" spans="8:21" s="1" customFormat="1" ht="16.5" customHeight="1">
      <c r="H130" s="137"/>
      <c r="I130" s="2">
        <v>8</v>
      </c>
      <c r="J130" s="2">
        <f t="shared" si="46"/>
        <v>36960</v>
      </c>
      <c r="K130" s="2">
        <f>ROUNDDOWN(Sheet2!J55*$D$113,0)</f>
        <v>9793</v>
      </c>
      <c r="L130" s="2">
        <f>INT(Sheet2!J55*9)</f>
        <v>665</v>
      </c>
      <c r="M130" s="2">
        <f>INT(Sheet2!J55*5)</f>
        <v>369</v>
      </c>
      <c r="N130" s="2">
        <f t="shared" si="47"/>
        <v>47787</v>
      </c>
      <c r="O130" s="2">
        <f t="shared" si="48"/>
        <v>4779</v>
      </c>
      <c r="P130" s="2">
        <f t="shared" si="49"/>
        <v>1290</v>
      </c>
      <c r="Q130" s="2">
        <f t="shared" si="50"/>
        <v>53850</v>
      </c>
      <c r="R130" s="2">
        <f t="shared" si="51"/>
        <v>53850</v>
      </c>
      <c r="U130" s="140"/>
    </row>
    <row r="131" spans="8:21" s="1" customFormat="1" ht="16.5" customHeight="1">
      <c r="H131" s="137"/>
      <c r="I131" s="2">
        <v>9</v>
      </c>
      <c r="J131" s="2">
        <f t="shared" si="46"/>
        <v>36960</v>
      </c>
      <c r="K131" s="2">
        <f>ROUNDDOWN(Sheet2!K55*$E$113,0)</f>
        <v>12659</v>
      </c>
      <c r="L131" s="2">
        <f>INT(Sheet2!K55*9)</f>
        <v>1239</v>
      </c>
      <c r="M131" s="2">
        <f>INT(Sheet2!K55*5)</f>
        <v>688</v>
      </c>
      <c r="N131" s="2">
        <f t="shared" si="47"/>
        <v>51546</v>
      </c>
      <c r="O131" s="2">
        <f t="shared" si="48"/>
        <v>5155</v>
      </c>
      <c r="P131" s="2">
        <f t="shared" si="49"/>
        <v>1390</v>
      </c>
      <c r="Q131" s="2">
        <f t="shared" si="50"/>
        <v>58090</v>
      </c>
      <c r="R131" s="2">
        <f t="shared" si="51"/>
        <v>58090</v>
      </c>
      <c r="U131" s="140"/>
    </row>
    <row r="132" spans="8:21" s="1" customFormat="1" ht="16.5" customHeight="1">
      <c r="H132" s="137"/>
      <c r="I132" s="2">
        <v>10</v>
      </c>
      <c r="J132" s="2">
        <f t="shared" si="46"/>
        <v>36960</v>
      </c>
      <c r="K132" s="2">
        <f>ROUNDDOWN(Sheet2!L55*$E$113,0)</f>
        <v>20585</v>
      </c>
      <c r="L132" s="2">
        <f>INT(Sheet2!L55*9)</f>
        <v>2015</v>
      </c>
      <c r="M132" s="2">
        <f>INT(Sheet2!L55*5)</f>
        <v>1119</v>
      </c>
      <c r="N132" s="2">
        <f t="shared" si="47"/>
        <v>60679</v>
      </c>
      <c r="O132" s="2">
        <f t="shared" si="48"/>
        <v>6068</v>
      </c>
      <c r="P132" s="2">
        <f t="shared" si="49"/>
        <v>1630</v>
      </c>
      <c r="Q132" s="2">
        <f t="shared" si="50"/>
        <v>68370</v>
      </c>
      <c r="R132" s="2">
        <f t="shared" si="51"/>
        <v>68370</v>
      </c>
      <c r="U132" s="140"/>
    </row>
    <row r="133" spans="8:21" s="1" customFormat="1" ht="16.5" customHeight="1">
      <c r="H133" s="137"/>
      <c r="I133" s="2">
        <v>11</v>
      </c>
      <c r="J133" s="2">
        <f t="shared" si="46"/>
        <v>36960</v>
      </c>
      <c r="K133" s="2">
        <f>ROUNDDOWN(Sheet2!M55*$F$113,0)</f>
        <v>44728</v>
      </c>
      <c r="L133" s="2">
        <f>INT(Sheet2!M55*9)</f>
        <v>3382</v>
      </c>
      <c r="M133" s="2">
        <f>INT(Sheet2!M55*5)</f>
        <v>1879</v>
      </c>
      <c r="N133" s="2">
        <f t="shared" si="47"/>
        <v>86949</v>
      </c>
      <c r="O133" s="2">
        <f t="shared" si="48"/>
        <v>8695</v>
      </c>
      <c r="P133" s="2">
        <f t="shared" si="49"/>
        <v>2340</v>
      </c>
      <c r="Q133" s="2">
        <f t="shared" si="50"/>
        <v>97980</v>
      </c>
      <c r="R133" s="2">
        <f t="shared" si="51"/>
        <v>97980</v>
      </c>
      <c r="U133" s="140"/>
    </row>
    <row r="134" spans="8:21" s="1" customFormat="1" ht="16.5" customHeight="1">
      <c r="H134" s="137"/>
      <c r="I134" s="2">
        <v>12</v>
      </c>
      <c r="J134" s="2">
        <f t="shared" si="46"/>
        <v>36960</v>
      </c>
      <c r="K134" s="2">
        <f>ROUNDDOWN(Sheet2!N55*$F$113,0)</f>
        <v>81581</v>
      </c>
      <c r="L134" s="2">
        <f>INT(Sheet2!N55*9)</f>
        <v>6170</v>
      </c>
      <c r="M134" s="2">
        <f>INT(Sheet2!N55*5)</f>
        <v>3427</v>
      </c>
      <c r="N134" s="2">
        <f t="shared" si="47"/>
        <v>128138</v>
      </c>
      <c r="O134" s="2">
        <f t="shared" si="48"/>
        <v>12814</v>
      </c>
      <c r="P134" s="2">
        <f t="shared" si="49"/>
        <v>3450</v>
      </c>
      <c r="Q134" s="2">
        <f t="shared" si="50"/>
        <v>144400</v>
      </c>
      <c r="R134" s="2">
        <f t="shared" si="51"/>
        <v>144400</v>
      </c>
      <c r="U134" s="140"/>
    </row>
    <row r="135" spans="8:21" s="1" customFormat="1" ht="16.5" customHeight="1">
      <c r="H135" s="137"/>
      <c r="I135" s="150" t="s">
        <v>77</v>
      </c>
      <c r="J135" s="6" t="s">
        <v>378</v>
      </c>
      <c r="K135" s="6" t="s">
        <v>379</v>
      </c>
      <c r="L135" s="6" t="s">
        <v>380</v>
      </c>
      <c r="M135" s="6" t="s">
        <v>381</v>
      </c>
      <c r="N135" s="6" t="s">
        <v>382</v>
      </c>
      <c r="O135" s="6" t="s">
        <v>383</v>
      </c>
      <c r="P135" s="6" t="s">
        <v>384</v>
      </c>
      <c r="Q135" s="6" t="s">
        <v>385</v>
      </c>
      <c r="R135" s="2" t="s">
        <v>386</v>
      </c>
      <c r="S135" s="139">
        <f>SUM(R136:R147)</f>
        <v>967240</v>
      </c>
      <c r="T135" s="139">
        <f>Sheet2!$O$18</f>
        <v>1620551.6253430294</v>
      </c>
      <c r="U135" s="144">
        <f>(T135-S135)/T135</f>
        <v>0.40314150757445943</v>
      </c>
    </row>
    <row r="136" spans="8:21" s="1" customFormat="1" ht="16.5" customHeight="1">
      <c r="H136" s="137"/>
      <c r="I136" s="2">
        <v>1</v>
      </c>
      <c r="J136" s="2">
        <f t="shared" ref="J136:J147" si="52">$D$109*$C$113</f>
        <v>36960</v>
      </c>
      <c r="K136" s="2">
        <f>ROUNDDOWN(Sheet2!C56*$F$113,0)</f>
        <v>86558</v>
      </c>
      <c r="L136" s="2">
        <f>INT(Sheet2!C56*9)</f>
        <v>6546</v>
      </c>
      <c r="M136" s="2">
        <f>INT(Sheet2!C56*5)</f>
        <v>3636</v>
      </c>
      <c r="N136" s="2">
        <f t="shared" ref="N136:N147" si="53">SUM(J136:M136)</f>
        <v>133700</v>
      </c>
      <c r="O136" s="2">
        <f t="shared" ref="O136:O147" si="54">ROUND(N136*0.1, 0)</f>
        <v>13370</v>
      </c>
      <c r="P136" s="2">
        <f t="shared" ref="P136:P147" si="55">FLOOR(N136*0.027, 10)</f>
        <v>3600</v>
      </c>
      <c r="Q136" s="2">
        <f t="shared" ref="Q136:Q147" si="56">FLOOR(N136+O136+P136, 10)</f>
        <v>150670</v>
      </c>
      <c r="R136" s="2">
        <f t="shared" ref="R136:R147" si="57">Q136</f>
        <v>150670</v>
      </c>
      <c r="U136" s="140"/>
    </row>
    <row r="137" spans="8:21" s="1" customFormat="1" ht="16.5" customHeight="1">
      <c r="H137" s="137"/>
      <c r="I137" s="2">
        <v>2</v>
      </c>
      <c r="J137" s="2">
        <f t="shared" si="52"/>
        <v>36960</v>
      </c>
      <c r="K137" s="2">
        <f>ROUNDDOWN(Sheet2!D56*$F$113,0)</f>
        <v>75924</v>
      </c>
      <c r="L137" s="2">
        <f>INT(Sheet2!D56*9)</f>
        <v>5742</v>
      </c>
      <c r="M137" s="2">
        <f>INT(Sheet2!D56*5)</f>
        <v>3190</v>
      </c>
      <c r="N137" s="2">
        <f t="shared" si="53"/>
        <v>121816</v>
      </c>
      <c r="O137" s="2">
        <f t="shared" si="54"/>
        <v>12182</v>
      </c>
      <c r="P137" s="2">
        <f t="shared" si="55"/>
        <v>3280</v>
      </c>
      <c r="Q137" s="2">
        <f t="shared" si="56"/>
        <v>137270</v>
      </c>
      <c r="R137" s="2">
        <f t="shared" si="57"/>
        <v>137270</v>
      </c>
      <c r="U137" s="140"/>
    </row>
    <row r="138" spans="8:21" s="1" customFormat="1" ht="16.5" customHeight="1">
      <c r="H138" s="137"/>
      <c r="I138" s="2">
        <v>3</v>
      </c>
      <c r="J138" s="2">
        <f t="shared" si="52"/>
        <v>36960</v>
      </c>
      <c r="K138" s="2">
        <f>ROUNDDOWN(Sheet2!E56*$E$113,0)</f>
        <v>45113</v>
      </c>
      <c r="L138" s="2">
        <f>INT(Sheet2!E56*9)</f>
        <v>4418</v>
      </c>
      <c r="M138" s="2">
        <f>INT(Sheet2!E56*5)</f>
        <v>2454</v>
      </c>
      <c r="N138" s="2">
        <f t="shared" si="53"/>
        <v>88945</v>
      </c>
      <c r="O138" s="2">
        <f t="shared" si="54"/>
        <v>8895</v>
      </c>
      <c r="P138" s="2">
        <f t="shared" si="55"/>
        <v>2400</v>
      </c>
      <c r="Q138" s="2">
        <f t="shared" si="56"/>
        <v>100240</v>
      </c>
      <c r="R138" s="2">
        <f t="shared" si="57"/>
        <v>100240</v>
      </c>
      <c r="U138" s="140"/>
    </row>
    <row r="139" spans="8:21" s="1" customFormat="1" ht="16.5" customHeight="1">
      <c r="H139" s="137"/>
      <c r="I139" s="2">
        <v>4</v>
      </c>
      <c r="J139" s="2">
        <f t="shared" si="52"/>
        <v>36960</v>
      </c>
      <c r="K139" s="2">
        <f>ROUNDDOWN(Sheet2!F56*$E$113,0)</f>
        <v>18264</v>
      </c>
      <c r="L139" s="2">
        <f>INT(Sheet2!F56*9)</f>
        <v>1788</v>
      </c>
      <c r="M139" s="2">
        <f>INT(Sheet2!F56*5)</f>
        <v>993</v>
      </c>
      <c r="N139" s="2">
        <f t="shared" si="53"/>
        <v>58005</v>
      </c>
      <c r="O139" s="2">
        <f t="shared" si="54"/>
        <v>5801</v>
      </c>
      <c r="P139" s="2">
        <f t="shared" si="55"/>
        <v>1560</v>
      </c>
      <c r="Q139" s="2">
        <f t="shared" si="56"/>
        <v>65360</v>
      </c>
      <c r="R139" s="2">
        <f t="shared" si="57"/>
        <v>65360</v>
      </c>
      <c r="U139" s="140"/>
    </row>
    <row r="140" spans="8:21" s="1" customFormat="1" ht="16.5" customHeight="1">
      <c r="H140" s="137"/>
      <c r="I140" s="2">
        <v>5</v>
      </c>
      <c r="J140" s="2">
        <f t="shared" si="52"/>
        <v>36960</v>
      </c>
      <c r="K140" s="2">
        <f>ROUNDDOWN(Sheet2!G56*$E$113,0)</f>
        <v>10517</v>
      </c>
      <c r="L140" s="2">
        <f>INT(Sheet2!G56*9)</f>
        <v>1030</v>
      </c>
      <c r="M140" s="2">
        <f>INT(Sheet2!G56*5)</f>
        <v>572</v>
      </c>
      <c r="N140" s="2">
        <f t="shared" si="53"/>
        <v>49079</v>
      </c>
      <c r="O140" s="2">
        <f t="shared" si="54"/>
        <v>4908</v>
      </c>
      <c r="P140" s="2">
        <f t="shared" si="55"/>
        <v>1320</v>
      </c>
      <c r="Q140" s="2">
        <f t="shared" si="56"/>
        <v>55300</v>
      </c>
      <c r="R140" s="2">
        <f t="shared" si="57"/>
        <v>55300</v>
      </c>
      <c r="U140" s="140"/>
    </row>
    <row r="141" spans="8:21" s="1" customFormat="1" ht="16.5" customHeight="1">
      <c r="H141" s="137"/>
      <c r="I141" s="2">
        <v>6</v>
      </c>
      <c r="J141" s="2">
        <f t="shared" si="52"/>
        <v>36960</v>
      </c>
      <c r="K141" s="2">
        <f>ROUNDDOWN(Sheet2!H56*$D$113,0)</f>
        <v>10360</v>
      </c>
      <c r="L141" s="2">
        <f>INT(Sheet2!H56*9)</f>
        <v>704</v>
      </c>
      <c r="M141" s="2">
        <f>INT(Sheet2!H56*5)</f>
        <v>391</v>
      </c>
      <c r="N141" s="2">
        <f t="shared" si="53"/>
        <v>48415</v>
      </c>
      <c r="O141" s="2">
        <f t="shared" si="54"/>
        <v>4842</v>
      </c>
      <c r="P141" s="2">
        <f t="shared" si="55"/>
        <v>1300</v>
      </c>
      <c r="Q141" s="2">
        <f t="shared" si="56"/>
        <v>54550</v>
      </c>
      <c r="R141" s="2">
        <f t="shared" si="57"/>
        <v>54550</v>
      </c>
      <c r="U141" s="140"/>
    </row>
    <row r="142" spans="8:21" s="1" customFormat="1" ht="16.5" customHeight="1">
      <c r="H142" s="137"/>
      <c r="I142" s="2">
        <v>7</v>
      </c>
      <c r="J142" s="2">
        <f t="shared" si="52"/>
        <v>36960</v>
      </c>
      <c r="K142" s="2">
        <f>ROUNDDOWN(Sheet2!I56*$D$113,0)</f>
        <v>6692</v>
      </c>
      <c r="L142" s="2">
        <f>INT(Sheet2!I56*9)</f>
        <v>454</v>
      </c>
      <c r="M142" s="2">
        <f>INT(Sheet2!I56*5)</f>
        <v>252</v>
      </c>
      <c r="N142" s="2">
        <f t="shared" si="53"/>
        <v>44358</v>
      </c>
      <c r="O142" s="2">
        <f t="shared" si="54"/>
        <v>4436</v>
      </c>
      <c r="P142" s="2">
        <f t="shared" si="55"/>
        <v>1190</v>
      </c>
      <c r="Q142" s="2">
        <f t="shared" si="56"/>
        <v>49980</v>
      </c>
      <c r="R142" s="2">
        <f t="shared" si="57"/>
        <v>49980</v>
      </c>
      <c r="U142" s="140"/>
    </row>
    <row r="143" spans="8:21" s="1" customFormat="1" ht="16.5" customHeight="1">
      <c r="H143" s="137"/>
      <c r="I143" s="2">
        <v>8</v>
      </c>
      <c r="J143" s="2">
        <f t="shared" si="52"/>
        <v>36960</v>
      </c>
      <c r="K143" s="2">
        <f>ROUNDDOWN(Sheet2!J56*$D$113,0)</f>
        <v>6651</v>
      </c>
      <c r="L143" s="2">
        <f>INT(Sheet2!J56*9)</f>
        <v>452</v>
      </c>
      <c r="M143" s="2">
        <f>INT(Sheet2!J56*5)</f>
        <v>251</v>
      </c>
      <c r="N143" s="2">
        <f t="shared" si="53"/>
        <v>44314</v>
      </c>
      <c r="O143" s="2">
        <f t="shared" si="54"/>
        <v>4431</v>
      </c>
      <c r="P143" s="2">
        <f t="shared" si="55"/>
        <v>1190</v>
      </c>
      <c r="Q143" s="2">
        <f t="shared" si="56"/>
        <v>49930</v>
      </c>
      <c r="R143" s="2">
        <f t="shared" si="57"/>
        <v>49930</v>
      </c>
      <c r="U143" s="140"/>
    </row>
    <row r="144" spans="8:21" s="1" customFormat="1" ht="16.5" customHeight="1">
      <c r="H144" s="137"/>
      <c r="I144" s="2">
        <v>9</v>
      </c>
      <c r="J144" s="2">
        <f t="shared" si="52"/>
        <v>36960</v>
      </c>
      <c r="K144" s="2">
        <f>ROUNDDOWN(Sheet2!K56*$E$113,0)</f>
        <v>8597</v>
      </c>
      <c r="L144" s="2">
        <f>INT(Sheet2!K56*9)</f>
        <v>841</v>
      </c>
      <c r="M144" s="2">
        <f>INT(Sheet2!K56*5)</f>
        <v>467</v>
      </c>
      <c r="N144" s="2">
        <f t="shared" si="53"/>
        <v>46865</v>
      </c>
      <c r="O144" s="2">
        <f t="shared" si="54"/>
        <v>4687</v>
      </c>
      <c r="P144" s="2">
        <f t="shared" si="55"/>
        <v>1260</v>
      </c>
      <c r="Q144" s="2">
        <f t="shared" si="56"/>
        <v>52810</v>
      </c>
      <c r="R144" s="2">
        <f t="shared" si="57"/>
        <v>52810</v>
      </c>
      <c r="U144" s="140"/>
    </row>
    <row r="145" spans="8:21" s="1" customFormat="1" ht="16.5" customHeight="1">
      <c r="H145" s="137"/>
      <c r="I145" s="2">
        <v>10</v>
      </c>
      <c r="J145" s="2">
        <f t="shared" si="52"/>
        <v>36960</v>
      </c>
      <c r="K145" s="2">
        <f>ROUNDDOWN(Sheet2!L56*$E$113,0)</f>
        <v>13979</v>
      </c>
      <c r="L145" s="2">
        <f>INT(Sheet2!L56*9)</f>
        <v>1369</v>
      </c>
      <c r="M145" s="2">
        <f>INT(Sheet2!L56*5)</f>
        <v>760</v>
      </c>
      <c r="N145" s="2">
        <f t="shared" si="53"/>
        <v>53068</v>
      </c>
      <c r="O145" s="2">
        <f t="shared" si="54"/>
        <v>5307</v>
      </c>
      <c r="P145" s="2">
        <f t="shared" si="55"/>
        <v>1430</v>
      </c>
      <c r="Q145" s="2">
        <f t="shared" si="56"/>
        <v>59800</v>
      </c>
      <c r="R145" s="2">
        <f t="shared" si="57"/>
        <v>59800</v>
      </c>
      <c r="U145" s="140"/>
    </row>
    <row r="146" spans="8:21" s="1" customFormat="1" ht="16.5" customHeight="1">
      <c r="H146" s="137"/>
      <c r="I146" s="2">
        <v>11</v>
      </c>
      <c r="J146" s="2">
        <f t="shared" si="52"/>
        <v>36960</v>
      </c>
      <c r="K146" s="2">
        <f>ROUNDDOWN(Sheet2!M56*$F$113,0)</f>
        <v>30376</v>
      </c>
      <c r="L146" s="2">
        <f>INT(Sheet2!M56*9)</f>
        <v>2297</v>
      </c>
      <c r="M146" s="2">
        <f>INT(Sheet2!M56*5)</f>
        <v>1276</v>
      </c>
      <c r="N146" s="2">
        <f t="shared" si="53"/>
        <v>70909</v>
      </c>
      <c r="O146" s="2">
        <f t="shared" si="54"/>
        <v>7091</v>
      </c>
      <c r="P146" s="2">
        <f t="shared" si="55"/>
        <v>1910</v>
      </c>
      <c r="Q146" s="2">
        <f t="shared" si="56"/>
        <v>79910</v>
      </c>
      <c r="R146" s="2">
        <f t="shared" si="57"/>
        <v>79910</v>
      </c>
      <c r="U146" s="140"/>
    </row>
    <row r="147" spans="8:21" s="1" customFormat="1" ht="16.5" customHeight="1">
      <c r="H147" s="137"/>
      <c r="I147" s="2">
        <v>12</v>
      </c>
      <c r="J147" s="2">
        <f t="shared" si="52"/>
        <v>36960</v>
      </c>
      <c r="K147" s="2">
        <f>ROUNDDOWN(Sheet2!N56*$F$113,0)</f>
        <v>55403</v>
      </c>
      <c r="L147" s="2">
        <f>INT(Sheet2!N56*9)</f>
        <v>4190</v>
      </c>
      <c r="M147" s="2">
        <f>INT(Sheet2!N56*5)</f>
        <v>2327</v>
      </c>
      <c r="N147" s="2">
        <f t="shared" si="53"/>
        <v>98880</v>
      </c>
      <c r="O147" s="2">
        <f t="shared" si="54"/>
        <v>9888</v>
      </c>
      <c r="P147" s="2">
        <f t="shared" si="55"/>
        <v>2660</v>
      </c>
      <c r="Q147" s="2">
        <f t="shared" si="56"/>
        <v>111420</v>
      </c>
      <c r="R147" s="2">
        <f t="shared" si="57"/>
        <v>111420</v>
      </c>
      <c r="U147" s="140"/>
    </row>
    <row r="148" spans="8:21" s="1" customFormat="1" ht="16.5" customHeight="1">
      <c r="H148" s="137"/>
      <c r="I148" s="2" t="s">
        <v>78</v>
      </c>
      <c r="J148" s="6" t="s">
        <v>378</v>
      </c>
      <c r="K148" s="6" t="s">
        <v>379</v>
      </c>
      <c r="L148" s="6" t="s">
        <v>380</v>
      </c>
      <c r="M148" s="6" t="s">
        <v>381</v>
      </c>
      <c r="N148" s="6" t="s">
        <v>382</v>
      </c>
      <c r="O148" s="6" t="s">
        <v>383</v>
      </c>
      <c r="P148" s="6" t="s">
        <v>384</v>
      </c>
      <c r="Q148" s="6" t="s">
        <v>385</v>
      </c>
      <c r="R148" s="2" t="s">
        <v>386</v>
      </c>
      <c r="S148" s="139">
        <f>SUM(R149:R160)</f>
        <v>1156660</v>
      </c>
      <c r="T148" s="139">
        <f>Sheet2!$O$18</f>
        <v>1620551.6253430294</v>
      </c>
      <c r="U148" s="144">
        <f>(T148-S148)/T148</f>
        <v>0.28625538248115689</v>
      </c>
    </row>
    <row r="149" spans="8:21" s="1" customFormat="1" ht="16.5" customHeight="1">
      <c r="H149" s="137"/>
      <c r="I149" s="2">
        <v>1</v>
      </c>
      <c r="J149" s="2">
        <f t="shared" ref="J149:J160" si="58">$D$109*$C$113</f>
        <v>36960</v>
      </c>
      <c r="K149" s="2">
        <f>ROUNDDOWN(Sheet2!C57*$F$113,0)</f>
        <v>121629</v>
      </c>
      <c r="L149" s="2">
        <f>INT(Sheet2!C57*9)</f>
        <v>9198</v>
      </c>
      <c r="M149" s="2">
        <f>INT(Sheet2!C57*5)</f>
        <v>5110</v>
      </c>
      <c r="N149" s="2">
        <f t="shared" ref="N149:N160" si="59">SUM(J149:M149)</f>
        <v>172897</v>
      </c>
      <c r="O149" s="2">
        <f t="shared" ref="O149:O160" si="60">ROUND(N149*0.1, 0)</f>
        <v>17290</v>
      </c>
      <c r="P149" s="2">
        <f t="shared" ref="P149:P160" si="61">FLOOR(N149*0.027, 10)</f>
        <v>4660</v>
      </c>
      <c r="Q149" s="2">
        <f t="shared" ref="Q149:Q160" si="62">FLOOR(N149+O149+P149, 10)</f>
        <v>194840</v>
      </c>
      <c r="R149" s="2">
        <f t="shared" ref="R149:R160" si="63">Q149</f>
        <v>194840</v>
      </c>
      <c r="U149" s="140"/>
    </row>
    <row r="150" spans="8:21" s="1" customFormat="1" ht="16.5" customHeight="1">
      <c r="H150" s="137"/>
      <c r="I150" s="2">
        <v>2</v>
      </c>
      <c r="J150" s="2">
        <f t="shared" si="58"/>
        <v>36960</v>
      </c>
      <c r="K150" s="2">
        <f>ROUNDDOWN(Sheet2!D57*$F$113,0)</f>
        <v>106686</v>
      </c>
      <c r="L150" s="2">
        <f>INT(Sheet2!D57*9)</f>
        <v>8068</v>
      </c>
      <c r="M150" s="2">
        <f>INT(Sheet2!D57*5)</f>
        <v>4482</v>
      </c>
      <c r="N150" s="2">
        <f t="shared" si="59"/>
        <v>156196</v>
      </c>
      <c r="O150" s="2">
        <f t="shared" si="60"/>
        <v>15620</v>
      </c>
      <c r="P150" s="2">
        <f t="shared" si="61"/>
        <v>4210</v>
      </c>
      <c r="Q150" s="2">
        <f t="shared" si="62"/>
        <v>176020</v>
      </c>
      <c r="R150" s="2">
        <f t="shared" si="63"/>
        <v>176020</v>
      </c>
      <c r="U150" s="140"/>
    </row>
    <row r="151" spans="8:21" s="1" customFormat="1" ht="16.5" customHeight="1">
      <c r="H151" s="137"/>
      <c r="I151" s="2">
        <v>3</v>
      </c>
      <c r="J151" s="2">
        <f t="shared" si="58"/>
        <v>36960</v>
      </c>
      <c r="K151" s="2">
        <f>ROUNDDOWN(Sheet2!E57*$E$113,0)</f>
        <v>63391</v>
      </c>
      <c r="L151" s="2">
        <f>INT(Sheet2!E57*9)</f>
        <v>6208</v>
      </c>
      <c r="M151" s="2">
        <f>INT(Sheet2!E57*5)</f>
        <v>3448</v>
      </c>
      <c r="N151" s="2">
        <f t="shared" si="59"/>
        <v>110007</v>
      </c>
      <c r="O151" s="2">
        <f t="shared" si="60"/>
        <v>11001</v>
      </c>
      <c r="P151" s="2">
        <f t="shared" si="61"/>
        <v>2970</v>
      </c>
      <c r="Q151" s="2">
        <f t="shared" si="62"/>
        <v>123970</v>
      </c>
      <c r="R151" s="2">
        <f t="shared" si="63"/>
        <v>123970</v>
      </c>
      <c r="U151" s="140"/>
    </row>
    <row r="152" spans="8:21" s="1" customFormat="1" ht="16.5" customHeight="1">
      <c r="H152" s="137"/>
      <c r="I152" s="2">
        <v>4</v>
      </c>
      <c r="J152" s="2">
        <f t="shared" si="58"/>
        <v>36960</v>
      </c>
      <c r="K152" s="2">
        <f>ROUNDDOWN(Sheet2!F57*$E$113,0)</f>
        <v>25664</v>
      </c>
      <c r="L152" s="2">
        <f>INT(Sheet2!F57*9)</f>
        <v>2513</v>
      </c>
      <c r="M152" s="2">
        <f>INT(Sheet2!F57*5)</f>
        <v>1396</v>
      </c>
      <c r="N152" s="2">
        <f t="shared" si="59"/>
        <v>66533</v>
      </c>
      <c r="O152" s="2">
        <f t="shared" si="60"/>
        <v>6653</v>
      </c>
      <c r="P152" s="2">
        <f t="shared" si="61"/>
        <v>1790</v>
      </c>
      <c r="Q152" s="2">
        <f t="shared" si="62"/>
        <v>74970</v>
      </c>
      <c r="R152" s="2">
        <f t="shared" si="63"/>
        <v>74970</v>
      </c>
      <c r="U152" s="140"/>
    </row>
    <row r="153" spans="8:21" s="1" customFormat="1" ht="16.5" customHeight="1">
      <c r="H153" s="137"/>
      <c r="I153" s="2">
        <v>5</v>
      </c>
      <c r="J153" s="2">
        <f t="shared" si="58"/>
        <v>36960</v>
      </c>
      <c r="K153" s="2">
        <f>ROUNDDOWN(Sheet2!G57*$E$113,0)</f>
        <v>14779</v>
      </c>
      <c r="L153" s="2">
        <f>INT(Sheet2!G57*9)</f>
        <v>1447</v>
      </c>
      <c r="M153" s="2">
        <f>INT(Sheet2!G57*5)</f>
        <v>804</v>
      </c>
      <c r="N153" s="2">
        <f t="shared" si="59"/>
        <v>53990</v>
      </c>
      <c r="O153" s="2">
        <f t="shared" si="60"/>
        <v>5399</v>
      </c>
      <c r="P153" s="2">
        <f t="shared" si="61"/>
        <v>1450</v>
      </c>
      <c r="Q153" s="2">
        <f t="shared" si="62"/>
        <v>60830</v>
      </c>
      <c r="R153" s="2">
        <f t="shared" si="63"/>
        <v>60830</v>
      </c>
      <c r="U153" s="140"/>
    </row>
    <row r="154" spans="8:21" s="1" customFormat="1" ht="16.5" customHeight="1">
      <c r="H154" s="137"/>
      <c r="I154" s="2">
        <v>6</v>
      </c>
      <c r="J154" s="2">
        <f t="shared" si="58"/>
        <v>36960</v>
      </c>
      <c r="K154" s="2">
        <f>ROUNDDOWN(Sheet2!H57*$D$113,0)</f>
        <v>14557</v>
      </c>
      <c r="L154" s="2">
        <f>INT(Sheet2!H57*9)</f>
        <v>989</v>
      </c>
      <c r="M154" s="2">
        <f>INT(Sheet2!H57*5)</f>
        <v>549</v>
      </c>
      <c r="N154" s="2">
        <f t="shared" si="59"/>
        <v>53055</v>
      </c>
      <c r="O154" s="2">
        <f t="shared" si="60"/>
        <v>5306</v>
      </c>
      <c r="P154" s="2">
        <f t="shared" si="61"/>
        <v>1430</v>
      </c>
      <c r="Q154" s="2">
        <f t="shared" si="62"/>
        <v>59790</v>
      </c>
      <c r="R154" s="2">
        <f t="shared" si="63"/>
        <v>59790</v>
      </c>
      <c r="U154" s="140"/>
    </row>
    <row r="155" spans="8:21" s="1" customFormat="1" ht="16.5" customHeight="1">
      <c r="H155" s="137"/>
      <c r="I155" s="2">
        <v>7</v>
      </c>
      <c r="J155" s="2">
        <f t="shared" si="58"/>
        <v>36960</v>
      </c>
      <c r="K155" s="2">
        <f>ROUNDDOWN(Sheet2!I57*$D$113,0)</f>
        <v>9403</v>
      </c>
      <c r="L155" s="2">
        <f>INT(Sheet2!I57*9)</f>
        <v>639</v>
      </c>
      <c r="M155" s="2">
        <f>INT(Sheet2!I57*5)</f>
        <v>355</v>
      </c>
      <c r="N155" s="2">
        <f t="shared" si="59"/>
        <v>47357</v>
      </c>
      <c r="O155" s="2">
        <f t="shared" si="60"/>
        <v>4736</v>
      </c>
      <c r="P155" s="2">
        <f t="shared" si="61"/>
        <v>1270</v>
      </c>
      <c r="Q155" s="2">
        <f t="shared" si="62"/>
        <v>53360</v>
      </c>
      <c r="R155" s="2">
        <f t="shared" si="63"/>
        <v>53360</v>
      </c>
      <c r="U155" s="140"/>
    </row>
    <row r="156" spans="8:21" s="1" customFormat="1" ht="16.5" customHeight="1">
      <c r="H156" s="137"/>
      <c r="I156" s="2">
        <v>8</v>
      </c>
      <c r="J156" s="2">
        <f t="shared" si="58"/>
        <v>36960</v>
      </c>
      <c r="K156" s="2">
        <f>ROUNDDOWN(Sheet2!J57*$D$113,0)</f>
        <v>9345</v>
      </c>
      <c r="L156" s="2">
        <f>INT(Sheet2!J57*9)</f>
        <v>635</v>
      </c>
      <c r="M156" s="2">
        <f>INT(Sheet2!J57*5)</f>
        <v>352</v>
      </c>
      <c r="N156" s="2">
        <f t="shared" si="59"/>
        <v>47292</v>
      </c>
      <c r="O156" s="2">
        <f t="shared" si="60"/>
        <v>4729</v>
      </c>
      <c r="P156" s="2">
        <f t="shared" si="61"/>
        <v>1270</v>
      </c>
      <c r="Q156" s="2">
        <f t="shared" si="62"/>
        <v>53290</v>
      </c>
      <c r="R156" s="2">
        <f t="shared" si="63"/>
        <v>53290</v>
      </c>
      <c r="U156" s="140"/>
    </row>
    <row r="157" spans="8:21" s="1" customFormat="1" ht="16.5" customHeight="1">
      <c r="H157" s="137"/>
      <c r="I157" s="2">
        <v>9</v>
      </c>
      <c r="J157" s="2">
        <f t="shared" si="58"/>
        <v>36960</v>
      </c>
      <c r="K157" s="2">
        <f>ROUNDDOWN(Sheet2!K57*$E$113,0)</f>
        <v>12081</v>
      </c>
      <c r="L157" s="2">
        <f>INT(Sheet2!K57*9)</f>
        <v>1183</v>
      </c>
      <c r="M157" s="2">
        <f>INT(Sheet2!K57*5)</f>
        <v>657</v>
      </c>
      <c r="N157" s="2">
        <f t="shared" si="59"/>
        <v>50881</v>
      </c>
      <c r="O157" s="2">
        <f t="shared" si="60"/>
        <v>5088</v>
      </c>
      <c r="P157" s="2">
        <f t="shared" si="61"/>
        <v>1370</v>
      </c>
      <c r="Q157" s="2">
        <f t="shared" si="62"/>
        <v>57330</v>
      </c>
      <c r="R157" s="2">
        <f t="shared" si="63"/>
        <v>57330</v>
      </c>
      <c r="U157" s="140"/>
    </row>
    <row r="158" spans="8:21" s="1" customFormat="1" ht="16.5" customHeight="1">
      <c r="H158" s="137"/>
      <c r="I158" s="2">
        <v>10</v>
      </c>
      <c r="J158" s="2">
        <f t="shared" si="58"/>
        <v>36960</v>
      </c>
      <c r="K158" s="2">
        <f>ROUNDDOWN(Sheet2!L57*$E$113,0)</f>
        <v>19643</v>
      </c>
      <c r="L158" s="2">
        <f>INT(Sheet2!L57*9)</f>
        <v>1923</v>
      </c>
      <c r="M158" s="2">
        <f>INT(Sheet2!L57*5)</f>
        <v>1068</v>
      </c>
      <c r="N158" s="2">
        <f t="shared" si="59"/>
        <v>59594</v>
      </c>
      <c r="O158" s="2">
        <f t="shared" si="60"/>
        <v>5959</v>
      </c>
      <c r="P158" s="2">
        <f t="shared" si="61"/>
        <v>1600</v>
      </c>
      <c r="Q158" s="2">
        <f t="shared" si="62"/>
        <v>67150</v>
      </c>
      <c r="R158" s="2">
        <f t="shared" si="63"/>
        <v>67150</v>
      </c>
      <c r="U158" s="140"/>
    </row>
    <row r="159" spans="8:21" s="1" customFormat="1" ht="16.5" customHeight="1">
      <c r="H159" s="137"/>
      <c r="I159" s="2">
        <v>11</v>
      </c>
      <c r="J159" s="2">
        <f t="shared" si="58"/>
        <v>36960</v>
      </c>
      <c r="K159" s="2">
        <f>ROUNDDOWN(Sheet2!M57*$F$113,0)</f>
        <v>42683</v>
      </c>
      <c r="L159" s="2">
        <f>INT(Sheet2!M57*9)</f>
        <v>3228</v>
      </c>
      <c r="M159" s="2">
        <f>INT(Sheet2!M57*5)</f>
        <v>1793</v>
      </c>
      <c r="N159" s="2">
        <f t="shared" si="59"/>
        <v>84664</v>
      </c>
      <c r="O159" s="2">
        <f t="shared" si="60"/>
        <v>8466</v>
      </c>
      <c r="P159" s="2">
        <f t="shared" si="61"/>
        <v>2280</v>
      </c>
      <c r="Q159" s="2">
        <f t="shared" si="62"/>
        <v>95410</v>
      </c>
      <c r="R159" s="2">
        <f t="shared" si="63"/>
        <v>95410</v>
      </c>
      <c r="U159" s="140"/>
    </row>
    <row r="160" spans="8:21" s="1" customFormat="1" ht="16.5" customHeight="1">
      <c r="H160" s="152"/>
      <c r="I160" s="67">
        <v>12</v>
      </c>
      <c r="J160" s="159">
        <f t="shared" si="58"/>
        <v>36960</v>
      </c>
      <c r="K160" s="67">
        <f>ROUNDDOWN(Sheet2!N57*$F$113,0)</f>
        <v>77851</v>
      </c>
      <c r="L160" s="159">
        <f>INT(Sheet2!N57*9)</f>
        <v>5887</v>
      </c>
      <c r="M160" s="159">
        <f>INT(Sheet2!N57*5)</f>
        <v>3271</v>
      </c>
      <c r="N160" s="159">
        <f t="shared" si="59"/>
        <v>123969</v>
      </c>
      <c r="O160" s="159">
        <f t="shared" si="60"/>
        <v>12397</v>
      </c>
      <c r="P160" s="159">
        <f t="shared" si="61"/>
        <v>3340</v>
      </c>
      <c r="Q160" s="159">
        <f t="shared" si="62"/>
        <v>139700</v>
      </c>
      <c r="R160" s="159">
        <f t="shared" si="63"/>
        <v>139700</v>
      </c>
      <c r="S160" s="159"/>
      <c r="T160" s="159"/>
      <c r="U160" s="155"/>
    </row>
    <row r="161" spans="2:21" s="1" customFormat="1" ht="16.5" customHeight="1">
      <c r="B161" s="6" t="s">
        <v>423</v>
      </c>
      <c r="H161" s="59" t="s">
        <v>424</v>
      </c>
      <c r="I161" s="156" t="s">
        <v>75</v>
      </c>
      <c r="J161" s="156" t="s">
        <v>378</v>
      </c>
      <c r="K161" s="156" t="s">
        <v>379</v>
      </c>
      <c r="L161" s="156" t="s">
        <v>380</v>
      </c>
      <c r="M161" s="156" t="s">
        <v>381</v>
      </c>
      <c r="N161" s="156" t="s">
        <v>382</v>
      </c>
      <c r="O161" s="156" t="s">
        <v>383</v>
      </c>
      <c r="P161" s="156" t="s">
        <v>384</v>
      </c>
      <c r="Q161" s="156" t="s">
        <v>385</v>
      </c>
      <c r="R161" s="157" t="s">
        <v>386</v>
      </c>
      <c r="S161" s="160">
        <f>SUM(R162:R173)</f>
        <v>3769290</v>
      </c>
      <c r="T161" s="160">
        <f>Sheet2!$O$18</f>
        <v>1620551.6253430294</v>
      </c>
      <c r="U161" s="135">
        <f>(T161-S161)/T161</f>
        <v>-1.325930220953089</v>
      </c>
    </row>
    <row r="162" spans="2:21" s="1" customFormat="1" ht="16.5" customHeight="1">
      <c r="B162" s="6" t="s">
        <v>425</v>
      </c>
      <c r="H162" s="137"/>
      <c r="I162" s="2">
        <v>1</v>
      </c>
      <c r="J162" s="2">
        <f t="shared" ref="J162:J173" si="64">$C$170*($D$109+3)</f>
        <v>38790</v>
      </c>
      <c r="K162" s="2">
        <f>ROUNDDOWN(Sheet2!C54*43.37%*138.7 + Sheet2!C54*28.76%*184.7 + Sheet2!C54*27.87%*220.5 + C23*30%*138.7 + C23*30%*184.7 + C23*40%*220.5, 0)+INT(MAX((Sheet2!C54+C23)-1000,0)*(736.2-IF((Sheet2!C54+C23)=0,0,(ROUNDDOWN(Sheet2!C54*43.37%*138.7 + Sheet2!C54*28.76%*184.7 + Sheet2!C54*27.87%*220.5 + C23*30%*138.7 + C23*30%*184.7 + C23*40%*220.5, 0))/(Sheet2!C54+C23))))</f>
        <v>1422706</v>
      </c>
      <c r="L162" s="162">
        <f>INT((Sheet2!C54+C23)*9)</f>
        <v>24184</v>
      </c>
      <c r="M162" s="2">
        <f>INT((Sheet2!C54+C23)*5)</f>
        <v>13436</v>
      </c>
      <c r="N162" s="2">
        <f t="shared" ref="N162:N173" si="65">SUM(J162:M162)</f>
        <v>1499116</v>
      </c>
      <c r="O162" s="2">
        <f t="shared" ref="O162:O173" si="66">ROUND(N162*0.1, 0)</f>
        <v>149912</v>
      </c>
      <c r="P162" s="2">
        <f t="shared" ref="P162:P173" si="67">FLOOR(N162*0.027, 10)</f>
        <v>40470</v>
      </c>
      <c r="Q162" s="2">
        <f t="shared" ref="Q162:Q173" si="68">FLOOR(N162+O162+P162, 10)</f>
        <v>1689490</v>
      </c>
      <c r="R162" s="139">
        <f t="shared" ref="R162:R173" si="69">MAX(Q162-BD6,0)</f>
        <v>1027670</v>
      </c>
      <c r="U162" s="140"/>
    </row>
    <row r="163" spans="2:21" s="1" customFormat="1" ht="16.5" customHeight="1">
      <c r="B163" s="6" t="s">
        <v>426</v>
      </c>
      <c r="H163" s="137"/>
      <c r="I163" s="2">
        <v>2</v>
      </c>
      <c r="J163" s="2">
        <f t="shared" si="64"/>
        <v>38790</v>
      </c>
      <c r="K163" s="2">
        <f>ROUNDDOWN(Sheet2!D54*44.03%*138.7 + Sheet2!D54*28.8%*184.7 + Sheet2!D54*27.16%*220.5 + C24*30%*138.7 + C24*30%*184.7 + C24*40%*220.5, 0)+INT(MAX((Sheet2!D54+C24)-1000,0)*(736.2-IF((Sheet2!D54+C24)=0,0,(ROUNDDOWN(Sheet2!D54*44.03%*138.7 + Sheet2!D54*28.8%*184.7 + Sheet2!D54*27.16%*220.5 + C24*30%*138.7 + C24*30%*184.7 + C24*40%*220.5, 0))/(Sheet2!D54+C24))))</f>
        <v>1323235</v>
      </c>
      <c r="L163" s="162">
        <f>INT((Sheet2!D54+C24)*9)</f>
        <v>22967</v>
      </c>
      <c r="M163" s="2">
        <f>INT((Sheet2!D54+C24)*5)</f>
        <v>12759</v>
      </c>
      <c r="N163" s="2">
        <f t="shared" si="65"/>
        <v>1397751</v>
      </c>
      <c r="O163" s="2">
        <f t="shared" si="66"/>
        <v>139775</v>
      </c>
      <c r="P163" s="2">
        <f t="shared" si="67"/>
        <v>37730</v>
      </c>
      <c r="Q163" s="2">
        <f t="shared" si="68"/>
        <v>1575250</v>
      </c>
      <c r="R163" s="139">
        <f t="shared" si="69"/>
        <v>904490</v>
      </c>
      <c r="U163" s="140"/>
    </row>
    <row r="164" spans="2:21" s="1" customFormat="1" ht="16.5" customHeight="1">
      <c r="H164" s="137"/>
      <c r="I164" s="2">
        <v>3</v>
      </c>
      <c r="J164" s="2">
        <f t="shared" si="64"/>
        <v>38790</v>
      </c>
      <c r="K164" s="2">
        <f>ROUNDDOWN(Sheet2!E54*44.16%*125.8 + Sheet2!E54*28.26%*153.8 + Sheet2!E54*27.58%*172.4 + C25*30%*125.8 + C25*30%*153.8 + C25*40%*172.4, 0)</f>
        <v>318141</v>
      </c>
      <c r="L164" s="162">
        <f>INT((Sheet2!E54+C25)*9)</f>
        <v>19029</v>
      </c>
      <c r="M164" s="2">
        <f>INT((Sheet2!E54+C25)*5)</f>
        <v>10572</v>
      </c>
      <c r="N164" s="2">
        <f t="shared" si="65"/>
        <v>386532</v>
      </c>
      <c r="O164" s="2">
        <f t="shared" si="66"/>
        <v>38653</v>
      </c>
      <c r="P164" s="2">
        <f t="shared" si="67"/>
        <v>10430</v>
      </c>
      <c r="Q164" s="2">
        <f t="shared" si="68"/>
        <v>435610</v>
      </c>
      <c r="R164" s="139">
        <f t="shared" si="69"/>
        <v>174130</v>
      </c>
      <c r="U164" s="140"/>
    </row>
    <row r="165" spans="2:21" s="1" customFormat="1" ht="16.5" customHeight="1">
      <c r="H165" s="137"/>
      <c r="I165" s="2">
        <v>4</v>
      </c>
      <c r="J165" s="2">
        <f t="shared" si="64"/>
        <v>38790</v>
      </c>
      <c r="K165" s="2">
        <f>ROUNDDOWN(Sheet2!F54*42.51%*125.8 + Sheet2!F54*27.79%*153.8 + Sheet2!F54*29.7%*172.4 + C26*30%*125.8 + C26*30%*153.8 + C26*40%*172.4, 0)</f>
        <v>249298</v>
      </c>
      <c r="L165" s="162">
        <f>INT((Sheet2!F54+C26)*9)</f>
        <v>14783</v>
      </c>
      <c r="M165" s="2">
        <f>INT((Sheet2!F54+C26)*5)</f>
        <v>8213</v>
      </c>
      <c r="N165" s="2">
        <f t="shared" si="65"/>
        <v>311084</v>
      </c>
      <c r="O165" s="2">
        <f t="shared" si="66"/>
        <v>31108</v>
      </c>
      <c r="P165" s="2">
        <f t="shared" si="67"/>
        <v>8390</v>
      </c>
      <c r="Q165" s="2">
        <f t="shared" si="68"/>
        <v>350580</v>
      </c>
      <c r="R165" s="139">
        <f t="shared" si="69"/>
        <v>88160</v>
      </c>
      <c r="U165" s="140"/>
    </row>
    <row r="166" spans="2:21" s="1" customFormat="1" ht="16.5" customHeight="1">
      <c r="B166" s="6" t="s">
        <v>376</v>
      </c>
      <c r="C166" s="2" t="s">
        <v>427</v>
      </c>
      <c r="D166" s="2" t="s">
        <v>428</v>
      </c>
      <c r="H166" s="137"/>
      <c r="I166" s="2">
        <v>5</v>
      </c>
      <c r="J166" s="2">
        <f t="shared" si="64"/>
        <v>38790</v>
      </c>
      <c r="K166" s="2">
        <f>ROUNDDOWN(Sheet2!G54*38.44%*125.8 + Sheet2!G54*30.44%*153.8 + Sheet2!G54*31.12%*172.4 + C27*30%*125.8 + C27*30%*153.8 + C27*40%*172.4, 0)</f>
        <v>216912</v>
      </c>
      <c r="L166" s="162">
        <f>INT((Sheet2!G54+C27)*9)</f>
        <v>12817</v>
      </c>
      <c r="M166" s="2">
        <f>INT((Sheet2!G54+C27)*5)</f>
        <v>7120</v>
      </c>
      <c r="N166" s="2">
        <f t="shared" si="65"/>
        <v>275639</v>
      </c>
      <c r="O166" s="2">
        <f t="shared" si="66"/>
        <v>27564</v>
      </c>
      <c r="P166" s="2">
        <f t="shared" si="67"/>
        <v>7440</v>
      </c>
      <c r="Q166" s="2">
        <f t="shared" si="68"/>
        <v>310640</v>
      </c>
      <c r="R166" s="139">
        <f t="shared" si="69"/>
        <v>63430</v>
      </c>
      <c r="U166" s="140"/>
    </row>
    <row r="167" spans="2:21" s="1" customFormat="1" ht="16.5" customHeight="1">
      <c r="B167" s="6" t="s">
        <v>429</v>
      </c>
      <c r="C167" s="2">
        <v>125.8</v>
      </c>
      <c r="D167" s="2">
        <v>138.69999999999999</v>
      </c>
      <c r="H167" s="137"/>
      <c r="I167" s="2">
        <v>6</v>
      </c>
      <c r="J167" s="2">
        <f t="shared" si="64"/>
        <v>38790</v>
      </c>
      <c r="K167" s="2">
        <f>ROUNDDOWN(Sheet2!H54*31.92%*138.7 + Sheet2!H54*38.86%*184.7 + Sheet2!H54*29.22%*220.5 + C28*30%*138.7 + C28*30%*184.7 + C28*40%*220.5, 0)+INT(MAX((Sheet2!H54+C28)-1000,0)*(736.2-IF((Sheet2!H54+C28)=0,0,(ROUNDDOWN(Sheet2!H54*31.92%*138.7 + Sheet2!H54*38.86%*184.7 + Sheet2!H54*29.22%*220.5 + C28*30%*138.7 + C28*30%*184.7 + C28*40%*220.5, 0))/(Sheet2!H54+C28))))</f>
        <v>514099</v>
      </c>
      <c r="L167" s="162">
        <f>INT((Sheet2!H54+C28)*9)</f>
        <v>13025</v>
      </c>
      <c r="M167" s="2">
        <f>INT((Sheet2!H54+C28)*5)</f>
        <v>7236</v>
      </c>
      <c r="N167" s="2">
        <f t="shared" si="65"/>
        <v>573150</v>
      </c>
      <c r="O167" s="2">
        <f t="shared" si="66"/>
        <v>57315</v>
      </c>
      <c r="P167" s="2">
        <f t="shared" si="67"/>
        <v>15470</v>
      </c>
      <c r="Q167" s="2">
        <f t="shared" si="68"/>
        <v>645930</v>
      </c>
      <c r="R167" s="139">
        <f t="shared" si="69"/>
        <v>136650</v>
      </c>
      <c r="U167" s="140"/>
    </row>
    <row r="168" spans="2:21" s="1" customFormat="1" ht="16.5" customHeight="1">
      <c r="B168" s="6" t="s">
        <v>430</v>
      </c>
      <c r="C168" s="2">
        <v>153.80000000000001</v>
      </c>
      <c r="D168" s="2">
        <v>184.7</v>
      </c>
      <c r="H168" s="137"/>
      <c r="I168" s="2">
        <v>7</v>
      </c>
      <c r="J168" s="2">
        <f t="shared" si="64"/>
        <v>38790</v>
      </c>
      <c r="K168" s="2">
        <f>ROUNDDOWN(Sheet2!I54*26.8%*138.7 + Sheet2!I54*43.76%*184.7 + Sheet2!I54*29.44%*220.5 + C29*30%*138.7 + C29*30%*184.7 + C29*40%*220.5, 0)+INT(MAX((Sheet2!I54+C29)-1000,0)*(736.2-IF((Sheet2!I54+C29)=0,0,(ROUNDDOWN(Sheet2!I54*26.8%*138.7 + Sheet2!I54*43.76%*184.7 + Sheet2!I54*29.44%*220.5 + C29*30%*138.7 + C29*30%*184.7 + C29*40%*220.5, 0))/(Sheet2!I54+C29))))</f>
        <v>759703</v>
      </c>
      <c r="L168" s="162">
        <f>INT((Sheet2!I54+C29)*9)</f>
        <v>16024</v>
      </c>
      <c r="M168" s="2">
        <f>INT((Sheet2!I54+C29)*5)</f>
        <v>8902</v>
      </c>
      <c r="N168" s="2">
        <f t="shared" si="65"/>
        <v>823419</v>
      </c>
      <c r="O168" s="2">
        <f t="shared" si="66"/>
        <v>82342</v>
      </c>
      <c r="P168" s="2">
        <f t="shared" si="67"/>
        <v>22230</v>
      </c>
      <c r="Q168" s="2">
        <f t="shared" si="68"/>
        <v>927990</v>
      </c>
      <c r="R168" s="139">
        <f t="shared" si="69"/>
        <v>98780</v>
      </c>
      <c r="U168" s="140"/>
    </row>
    <row r="169" spans="2:21" s="1" customFormat="1" ht="16.5" customHeight="1">
      <c r="B169" s="6" t="s">
        <v>431</v>
      </c>
      <c r="C169" s="2">
        <v>172.4</v>
      </c>
      <c r="D169" s="2">
        <v>220.5</v>
      </c>
      <c r="H169" s="137"/>
      <c r="I169" s="2">
        <v>8</v>
      </c>
      <c r="J169" s="2">
        <f t="shared" si="64"/>
        <v>38790</v>
      </c>
      <c r="K169" s="2">
        <f>ROUNDDOWN(Sheet2!J54*26.88%*138.7 + Sheet2!J54*45.15%*184.7 + Sheet2!J54*27.97%*220.5 + C30*30%*138.7 + C30*30%*184.7 + C30*40%*220.5, 0)+INT(MAX((Sheet2!J54+C30)-1000,0)*(736.2-IF((Sheet2!J54+C30)=0,0,(ROUNDDOWN(Sheet2!J54*26.88%*138.7 + Sheet2!J54*45.15%*184.7 + Sheet2!J54*27.97%*220.5 + C30*30%*138.7 + C30*30%*184.7 + C30*40%*220.5, 0))/(Sheet2!J54+C30))))</f>
        <v>1079905</v>
      </c>
      <c r="L169" s="162">
        <f>INT((Sheet2!J54+C30)*9)</f>
        <v>19938</v>
      </c>
      <c r="M169" s="2">
        <f>INT((Sheet2!J54+C30)*5)</f>
        <v>11077</v>
      </c>
      <c r="N169" s="2">
        <f t="shared" si="65"/>
        <v>1149710</v>
      </c>
      <c r="O169" s="2">
        <f t="shared" si="66"/>
        <v>114971</v>
      </c>
      <c r="P169" s="2">
        <f t="shared" si="67"/>
        <v>31040</v>
      </c>
      <c r="Q169" s="2">
        <f t="shared" si="68"/>
        <v>1295720</v>
      </c>
      <c r="R169" s="139">
        <f t="shared" si="69"/>
        <v>98350</v>
      </c>
      <c r="U169" s="140"/>
    </row>
    <row r="170" spans="2:21" s="1" customFormat="1" ht="16.5" customHeight="1">
      <c r="B170" s="6" t="s">
        <v>432</v>
      </c>
      <c r="C170" s="141">
        <v>4310</v>
      </c>
      <c r="H170" s="137"/>
      <c r="I170" s="2">
        <v>9</v>
      </c>
      <c r="J170" s="2">
        <f t="shared" si="64"/>
        <v>38790</v>
      </c>
      <c r="K170" s="2">
        <f>ROUNDDOWN(Sheet2!K54*30.32%*125.8 + Sheet2!K54*40.48%*153.8 + Sheet2!K54*29.2%*172.4 + C31*30%*125.8 + C31*30%*153.8 + C31*40%*172.4, 0)</f>
        <v>323177</v>
      </c>
      <c r="L170" s="162">
        <f>INT((Sheet2!K54+C31)*9)</f>
        <v>19049</v>
      </c>
      <c r="M170" s="2">
        <f>INT((Sheet2!K54+C31)*5)</f>
        <v>10582</v>
      </c>
      <c r="N170" s="2">
        <f t="shared" si="65"/>
        <v>391598</v>
      </c>
      <c r="O170" s="2">
        <f t="shared" si="66"/>
        <v>39160</v>
      </c>
      <c r="P170" s="2">
        <f t="shared" si="67"/>
        <v>10570</v>
      </c>
      <c r="Q170" s="2">
        <f t="shared" si="68"/>
        <v>441320</v>
      </c>
      <c r="R170" s="139">
        <f t="shared" si="69"/>
        <v>57490</v>
      </c>
      <c r="U170" s="140"/>
    </row>
    <row r="171" spans="2:21" s="1" customFormat="1" ht="16.5" customHeight="1">
      <c r="H171" s="137"/>
      <c r="I171" s="2">
        <v>10</v>
      </c>
      <c r="J171" s="2">
        <f t="shared" si="64"/>
        <v>38790</v>
      </c>
      <c r="K171" s="2">
        <f>ROUNDDOWN(Sheet2!L54*42.34%*125.8 + Sheet2!L54*28.1%*153.8 + Sheet2!L54*29.56%*172.4 + C32*30%*125.8 + C32*30%*153.8 + C32*40%*172.4, 0)</f>
        <v>249135</v>
      </c>
      <c r="L171" s="162">
        <f>INT((Sheet2!L54+C32)*9)</f>
        <v>14749</v>
      </c>
      <c r="M171" s="2">
        <f>INT((Sheet2!L54+C32)*5)</f>
        <v>8194</v>
      </c>
      <c r="N171" s="2">
        <f t="shared" si="65"/>
        <v>310868</v>
      </c>
      <c r="O171" s="2">
        <f t="shared" si="66"/>
        <v>31087</v>
      </c>
      <c r="P171" s="2">
        <f t="shared" si="67"/>
        <v>8390</v>
      </c>
      <c r="Q171" s="2">
        <f t="shared" si="68"/>
        <v>350340</v>
      </c>
      <c r="R171" s="139">
        <f t="shared" si="69"/>
        <v>74320</v>
      </c>
      <c r="U171" s="140"/>
    </row>
    <row r="172" spans="2:21" s="1" customFormat="1" ht="16.5" customHeight="1">
      <c r="H172" s="137"/>
      <c r="I172" s="2">
        <v>11</v>
      </c>
      <c r="J172" s="2">
        <f t="shared" si="64"/>
        <v>38790</v>
      </c>
      <c r="K172" s="2">
        <f>ROUNDDOWN(Sheet2!M54*44.43%*138.7 + Sheet2!M54*27.22%*184.7 + Sheet2!M54*28.35%*220.5 + C33*30%*138.7 + C33*30%*184.7 + C33*40%*220.5, 0)+INT(MAX((Sheet2!M54+C33)-1000,0)*(736.2-IF((Sheet2!M54+C33)=0,0,(ROUNDDOWN(Sheet2!M54*44.43%*138.7 + Sheet2!M54*27.22%*184.7 + Sheet2!M54*28.35%*220.5 + C33*30%*138.7 + C33*30%*184.7 + C33*40%*220.5, 0))/(Sheet2!M54+C33))))</f>
        <v>728586</v>
      </c>
      <c r="L172" s="162">
        <f>INT((Sheet2!M54+C33)*9)</f>
        <v>15674</v>
      </c>
      <c r="M172" s="2">
        <f>INT((Sheet2!M54+C33)*5)</f>
        <v>8707</v>
      </c>
      <c r="N172" s="2">
        <f t="shared" si="65"/>
        <v>791757</v>
      </c>
      <c r="O172" s="2">
        <f t="shared" si="66"/>
        <v>79176</v>
      </c>
      <c r="P172" s="2">
        <f t="shared" si="67"/>
        <v>21370</v>
      </c>
      <c r="Q172" s="2">
        <f t="shared" si="68"/>
        <v>892300</v>
      </c>
      <c r="R172" s="139">
        <f t="shared" si="69"/>
        <v>378470</v>
      </c>
      <c r="U172" s="140"/>
    </row>
    <row r="173" spans="2:21" s="1" customFormat="1" ht="16.5" customHeight="1">
      <c r="B173" s="6" t="s">
        <v>433</v>
      </c>
      <c r="H173" s="137"/>
      <c r="I173" s="2">
        <v>12</v>
      </c>
      <c r="J173" s="2">
        <f t="shared" si="64"/>
        <v>38790</v>
      </c>
      <c r="K173" s="2">
        <f>ROUNDDOWN(Sheet2!N54*43.82%*138.7 + Sheet2!N54*28.18%*184.7 + Sheet2!N54*28%*220.5 + C34*30%*138.7 + C34*30%*184.7 + C34*40%*220.5, 0)+INT(MAX((Sheet2!N54+C34)-1000,0)*(736.2-IF((Sheet2!N54+C34)=0,0,(ROUNDDOWN(Sheet2!N54*43.82%*138.7 + Sheet2!N54*28.18%*184.7 + Sheet2!N54*28%*220.5 + C34*30%*138.7 + C34*30%*184.7 + C34*40%*220.5, 0))/(Sheet2!N54+C34))))</f>
        <v>1021181</v>
      </c>
      <c r="L173" s="162">
        <f>INT((Sheet2!N54+C34)*9)</f>
        <v>19265</v>
      </c>
      <c r="M173" s="2">
        <f>INT((Sheet2!N54+C34)*5)</f>
        <v>10703</v>
      </c>
      <c r="N173" s="2">
        <f t="shared" si="65"/>
        <v>1089939</v>
      </c>
      <c r="O173" s="2">
        <f t="shared" si="66"/>
        <v>108994</v>
      </c>
      <c r="P173" s="2">
        <f t="shared" si="67"/>
        <v>29420</v>
      </c>
      <c r="Q173" s="2">
        <f t="shared" si="68"/>
        <v>1228350</v>
      </c>
      <c r="R173" s="139">
        <f t="shared" si="69"/>
        <v>667350</v>
      </c>
      <c r="U173" s="140"/>
    </row>
    <row r="174" spans="2:21" s="1" customFormat="1" ht="61.9" customHeight="1">
      <c r="B174" s="163" t="s">
        <v>434</v>
      </c>
      <c r="H174" s="137"/>
      <c r="I174" s="6" t="s">
        <v>76</v>
      </c>
      <c r="J174" s="6" t="s">
        <v>378</v>
      </c>
      <c r="K174" s="6" t="s">
        <v>379</v>
      </c>
      <c r="L174" s="6" t="s">
        <v>380</v>
      </c>
      <c r="M174" s="6" t="s">
        <v>381</v>
      </c>
      <c r="N174" s="6" t="s">
        <v>382</v>
      </c>
      <c r="O174" s="6" t="s">
        <v>383</v>
      </c>
      <c r="P174" s="6" t="s">
        <v>384</v>
      </c>
      <c r="Q174" s="6" t="s">
        <v>385</v>
      </c>
      <c r="R174" s="2" t="s">
        <v>386</v>
      </c>
      <c r="S174" s="139">
        <f>SUM(R175:R186)</f>
        <v>3434160</v>
      </c>
      <c r="T174" s="139">
        <f>Sheet2!$O$18</f>
        <v>1620551.6253430294</v>
      </c>
      <c r="U174" s="144">
        <f>(T174-S174)/T174</f>
        <v>-1.1191302679253283</v>
      </c>
    </row>
    <row r="175" spans="2:21" s="1" customFormat="1" ht="16.5" customHeight="1">
      <c r="B175" s="6" t="s">
        <v>435</v>
      </c>
      <c r="H175" s="137"/>
      <c r="I175" s="2">
        <v>1</v>
      </c>
      <c r="J175" s="2">
        <f t="shared" ref="J175:J186" si="70">$C$170*($D$109+3)</f>
        <v>38790</v>
      </c>
      <c r="K175" s="2">
        <f>ROUNDDOWN(Sheet2!C55*43.37%*138.7 + Sheet2!C55*28.76%*184.7 + Sheet2!C55*27.87%*220.5 + C23*30%*138.7 + C23*30%*184.7 + C23*40%*220.5, 0)+INT(MAX((Sheet2!C55+C23)-1000,0)*(736.2-IF((Sheet2!C55+C23)=0,0,(ROUNDDOWN(Sheet2!C55*43.37%*138.7 + Sheet2!C55*28.76%*184.7 + Sheet2!C55*27.87%*220.5 + C23*30%*138.7 + C23*30%*184.7 + C23*40%*220.5, 0))/(Sheet2!C55+C23))))</f>
        <v>1337468</v>
      </c>
      <c r="L175" s="162">
        <f>INT((Sheet2!C55+C23)*9)</f>
        <v>23139</v>
      </c>
      <c r="M175" s="2">
        <f>INT((Sheet2!C55+C23)*5)</f>
        <v>12855</v>
      </c>
      <c r="N175" s="2">
        <f t="shared" ref="N175:N186" si="71">SUM(J175:M175)</f>
        <v>1412252</v>
      </c>
      <c r="O175" s="2">
        <f t="shared" ref="O175:O186" si="72">ROUND(N175*0.1, 0)</f>
        <v>141225</v>
      </c>
      <c r="P175" s="2">
        <f t="shared" ref="P175:P186" si="73">FLOOR(N175*0.027, 10)</f>
        <v>38130</v>
      </c>
      <c r="Q175" s="2">
        <f t="shared" ref="Q175:Q186" si="74">FLOOR(N175+O175+P175, 10)</f>
        <v>1591600</v>
      </c>
      <c r="R175" s="139">
        <f t="shared" ref="R175:R186" si="75">MAX(Q175-BD6,0)</f>
        <v>929780</v>
      </c>
      <c r="U175" s="140"/>
    </row>
    <row r="176" spans="2:21" s="1" customFormat="1" ht="16.5" customHeight="1">
      <c r="H176" s="137"/>
      <c r="I176" s="2">
        <v>2</v>
      </c>
      <c r="J176" s="2">
        <f t="shared" si="70"/>
        <v>38790</v>
      </c>
      <c r="K176" s="2">
        <f>ROUNDDOWN(Sheet2!D55*44.03%*138.7 + Sheet2!D55*28.8%*184.7 + Sheet2!D55*27.16%*220.5 + C24*30%*138.7 + C24*30%*184.7 + C24*40%*220.5, 0)+INT(MAX((Sheet2!D55+C24)-1000,0)*(736.2-IF((Sheet2!D55+C24)=0,0,(ROUNDDOWN(Sheet2!D55*44.03%*138.7 + Sheet2!D55*28.8%*184.7 + Sheet2!D55*27.16%*220.5 + C24*30%*138.7 + C24*30%*184.7 + C24*40%*220.5, 0))/(Sheet2!D55+C24))))</f>
        <v>1248509</v>
      </c>
      <c r="L176" s="162">
        <f>INT((Sheet2!D55+C24)*9)</f>
        <v>22050</v>
      </c>
      <c r="M176" s="2">
        <f>INT((Sheet2!D55+C24)*5)</f>
        <v>12250</v>
      </c>
      <c r="N176" s="2">
        <f t="shared" si="71"/>
        <v>1321599</v>
      </c>
      <c r="O176" s="2">
        <f t="shared" si="72"/>
        <v>132160</v>
      </c>
      <c r="P176" s="2">
        <f t="shared" si="73"/>
        <v>35680</v>
      </c>
      <c r="Q176" s="2">
        <f t="shared" si="74"/>
        <v>1489430</v>
      </c>
      <c r="R176" s="139">
        <f t="shared" si="75"/>
        <v>818670</v>
      </c>
      <c r="U176" s="140"/>
    </row>
    <row r="177" spans="2:21" s="1" customFormat="1" ht="16.5" customHeight="1">
      <c r="B177" s="164"/>
      <c r="H177" s="137"/>
      <c r="I177" s="2">
        <v>3</v>
      </c>
      <c r="J177" s="2">
        <f t="shared" si="70"/>
        <v>38790</v>
      </c>
      <c r="K177" s="2">
        <f>ROUNDDOWN(Sheet2!E55*44.16%*125.8 + Sheet2!E55*28.26%*153.8 + Sheet2!E55*27.58%*172.4 + C25*30%*125.8 + C25*30%*153.8 + C25*40%*172.4, 0)</f>
        <v>306654</v>
      </c>
      <c r="L177" s="162">
        <f>INT((Sheet2!E55+C25)*9)</f>
        <v>18324</v>
      </c>
      <c r="M177" s="2">
        <f>INT((Sheet2!E55+C25)*5)</f>
        <v>10180</v>
      </c>
      <c r="N177" s="2">
        <f t="shared" si="71"/>
        <v>373948</v>
      </c>
      <c r="O177" s="2">
        <f t="shared" si="72"/>
        <v>37395</v>
      </c>
      <c r="P177" s="2">
        <f t="shared" si="73"/>
        <v>10090</v>
      </c>
      <c r="Q177" s="2">
        <f t="shared" si="74"/>
        <v>421430</v>
      </c>
      <c r="R177" s="139">
        <f t="shared" si="75"/>
        <v>159950</v>
      </c>
      <c r="U177" s="140"/>
    </row>
    <row r="178" spans="2:21" s="1" customFormat="1" ht="16.5" customHeight="1">
      <c r="B178" s="164"/>
      <c r="H178" s="137"/>
      <c r="I178" s="2">
        <v>4</v>
      </c>
      <c r="J178" s="2">
        <f t="shared" si="70"/>
        <v>38790</v>
      </c>
      <c r="K178" s="2">
        <f>ROUNDDOWN(Sheet2!F55*42.51%*125.8 + Sheet2!F55*27.79%*153.8 + Sheet2!F55*29.7%*172.4 + C26*30%*125.8 + C26*30%*153.8 + C26*40%*172.4, 0)</f>
        <v>244620</v>
      </c>
      <c r="L178" s="162">
        <f>INT((Sheet2!F55+C26)*9)</f>
        <v>14497</v>
      </c>
      <c r="M178" s="2">
        <f>INT((Sheet2!F55+C26)*5)</f>
        <v>8054</v>
      </c>
      <c r="N178" s="2">
        <f t="shared" si="71"/>
        <v>305961</v>
      </c>
      <c r="O178" s="2">
        <f t="shared" si="72"/>
        <v>30596</v>
      </c>
      <c r="P178" s="2">
        <f t="shared" si="73"/>
        <v>8260</v>
      </c>
      <c r="Q178" s="2">
        <f t="shared" si="74"/>
        <v>344810</v>
      </c>
      <c r="R178" s="139">
        <f t="shared" si="75"/>
        <v>82390</v>
      </c>
      <c r="U178" s="140"/>
    </row>
    <row r="179" spans="2:21" s="1" customFormat="1" ht="16.5" customHeight="1">
      <c r="B179" s="164"/>
      <c r="H179" s="137"/>
      <c r="I179" s="2">
        <v>5</v>
      </c>
      <c r="J179" s="2">
        <f t="shared" si="70"/>
        <v>38790</v>
      </c>
      <c r="K179" s="2">
        <f>ROUNDDOWN(Sheet2!G55*38.44%*125.8 + Sheet2!G55*30.44%*153.8 + Sheet2!G55*31.12%*172.4 + C27*30%*125.8 + C27*30%*153.8 + C27*40%*172.4, 0)</f>
        <v>214193</v>
      </c>
      <c r="L179" s="162">
        <f>INT((Sheet2!G55+C27)*9)</f>
        <v>12652</v>
      </c>
      <c r="M179" s="2">
        <f>INT((Sheet2!G55+C27)*5)</f>
        <v>7029</v>
      </c>
      <c r="N179" s="2">
        <f t="shared" si="71"/>
        <v>272664</v>
      </c>
      <c r="O179" s="2">
        <f t="shared" si="72"/>
        <v>27266</v>
      </c>
      <c r="P179" s="2">
        <f t="shared" si="73"/>
        <v>7360</v>
      </c>
      <c r="Q179" s="2">
        <f t="shared" si="74"/>
        <v>307290</v>
      </c>
      <c r="R179" s="139">
        <f t="shared" si="75"/>
        <v>60080</v>
      </c>
      <c r="U179" s="140"/>
    </row>
    <row r="180" spans="2:21" s="1" customFormat="1" ht="16.5" customHeight="1">
      <c r="B180" s="164"/>
      <c r="H180" s="137"/>
      <c r="I180" s="2">
        <v>6</v>
      </c>
      <c r="J180" s="2">
        <f t="shared" si="70"/>
        <v>38790</v>
      </c>
      <c r="K180" s="2">
        <f>ROUNDDOWN(Sheet2!H55*31.92%*138.7 + Sheet2!H55*38.86%*184.7 + Sheet2!H55*29.22%*220.5 + C28*30%*138.7 + C28*30%*184.7 + C28*40%*220.5, 0)+INT(MAX((Sheet2!H55+C28)-1000,0)*(736.2-IF((Sheet2!H55+C28)=0,0,(ROUNDDOWN(Sheet2!H55*31.92%*138.7 + Sheet2!H55*38.86%*184.7 + Sheet2!H55*29.22%*220.5 + C28*30%*138.7 + C28*30%*184.7 + C28*40%*220.5, 0))/(Sheet2!H55+C28))))</f>
        <v>504938</v>
      </c>
      <c r="L180" s="162">
        <f>INT((Sheet2!H55+C28)*9)</f>
        <v>12913</v>
      </c>
      <c r="M180" s="2">
        <f>INT((Sheet2!H55+C28)*5)</f>
        <v>7174</v>
      </c>
      <c r="N180" s="2">
        <f t="shared" si="71"/>
        <v>563815</v>
      </c>
      <c r="O180" s="2">
        <f t="shared" si="72"/>
        <v>56382</v>
      </c>
      <c r="P180" s="2">
        <f t="shared" si="73"/>
        <v>15220</v>
      </c>
      <c r="Q180" s="2">
        <f t="shared" si="74"/>
        <v>635410</v>
      </c>
      <c r="R180" s="139">
        <f t="shared" si="75"/>
        <v>126130</v>
      </c>
      <c r="U180" s="140"/>
    </row>
    <row r="181" spans="2:21" s="1" customFormat="1" ht="16.5" customHeight="1">
      <c r="B181" s="164"/>
      <c r="H181" s="137"/>
      <c r="I181" s="2">
        <v>7</v>
      </c>
      <c r="J181" s="2">
        <f t="shared" si="70"/>
        <v>38790</v>
      </c>
      <c r="K181" s="2">
        <f>ROUNDDOWN(Sheet2!I55*26.8%*138.7 + Sheet2!I55*43.76%*184.7 + Sheet2!I55*29.44%*220.5 + C29*30%*138.7 + C29*30%*184.7 + C29*40%*220.5, 0)+INT(MAX((Sheet2!I55+C29)-1000,0)*(736.2-IF((Sheet2!I55+C29)=0,0,(ROUNDDOWN(Sheet2!I55*26.8%*138.7 + Sheet2!I55*43.76%*184.7 + Sheet2!I55*29.44%*220.5 + C29*30%*138.7 + C29*30%*184.7 + C29*40%*220.5, 0))/(Sheet2!I55+C29))))</f>
        <v>753772</v>
      </c>
      <c r="L181" s="162">
        <f>INT((Sheet2!I55+C29)*9)</f>
        <v>15951</v>
      </c>
      <c r="M181" s="2">
        <f>INT((Sheet2!I55+C29)*5)</f>
        <v>8862</v>
      </c>
      <c r="N181" s="2">
        <f t="shared" si="71"/>
        <v>817375</v>
      </c>
      <c r="O181" s="2">
        <f t="shared" si="72"/>
        <v>81738</v>
      </c>
      <c r="P181" s="2">
        <f t="shared" si="73"/>
        <v>22060</v>
      </c>
      <c r="Q181" s="2">
        <f t="shared" si="74"/>
        <v>921170</v>
      </c>
      <c r="R181" s="139">
        <f t="shared" si="75"/>
        <v>91960</v>
      </c>
      <c r="U181" s="140"/>
    </row>
    <row r="182" spans="2:21" s="1" customFormat="1" ht="16.5" customHeight="1">
      <c r="B182" s="164"/>
      <c r="H182" s="137"/>
      <c r="I182" s="2">
        <v>8</v>
      </c>
      <c r="J182" s="2">
        <f t="shared" si="70"/>
        <v>38790</v>
      </c>
      <c r="K182" s="2">
        <f>ROUNDDOWN(Sheet2!J55*26.88%*138.7 + Sheet2!J55*45.15%*184.7 + Sheet2!J55*27.97%*220.5 + C30*30%*138.7 + C30*30%*184.7 + C30*40%*220.5, 0)+INT(MAX((Sheet2!J55+C30)-1000,0)*(736.2-IF((Sheet2!J55+C30)=0,0,(ROUNDDOWN(Sheet2!J55*26.88%*138.7 + Sheet2!J55*45.15%*184.7 + Sheet2!J55*27.97%*220.5 + C30*30%*138.7 + C30*30%*184.7 + C30*40%*220.5, 0))/(Sheet2!J55+C30))))</f>
        <v>1074011</v>
      </c>
      <c r="L182" s="162">
        <f>INT((Sheet2!J55+C30)*9)</f>
        <v>19866</v>
      </c>
      <c r="M182" s="2">
        <f>INT((Sheet2!J55+C30)*5)</f>
        <v>11036</v>
      </c>
      <c r="N182" s="2">
        <f t="shared" si="71"/>
        <v>1143703</v>
      </c>
      <c r="O182" s="2">
        <f t="shared" si="72"/>
        <v>114370</v>
      </c>
      <c r="P182" s="2">
        <f t="shared" si="73"/>
        <v>30870</v>
      </c>
      <c r="Q182" s="2">
        <f t="shared" si="74"/>
        <v>1288940</v>
      </c>
      <c r="R182" s="139">
        <f t="shared" si="75"/>
        <v>91570</v>
      </c>
      <c r="U182" s="140"/>
    </row>
    <row r="183" spans="2:21" s="1" customFormat="1" ht="16.5" customHeight="1">
      <c r="B183" s="164"/>
      <c r="H183" s="137"/>
      <c r="I183" s="2">
        <v>9</v>
      </c>
      <c r="J183" s="2">
        <f t="shared" si="70"/>
        <v>38790</v>
      </c>
      <c r="K183" s="2">
        <f>ROUNDDOWN(Sheet2!K55*30.32%*125.8 + Sheet2!K55*40.48%*153.8 + Sheet2!K55*29.2%*172.4 + C31*30%*125.8 + C31*30%*153.8 + C31*40%*172.4, 0)</f>
        <v>320925</v>
      </c>
      <c r="L183" s="162">
        <f>INT((Sheet2!K55+C31)*9)</f>
        <v>18914</v>
      </c>
      <c r="M183" s="2">
        <f>INT((Sheet2!K55+C31)*5)</f>
        <v>10508</v>
      </c>
      <c r="N183" s="2">
        <f t="shared" si="71"/>
        <v>389137</v>
      </c>
      <c r="O183" s="2">
        <f t="shared" si="72"/>
        <v>38914</v>
      </c>
      <c r="P183" s="2">
        <f t="shared" si="73"/>
        <v>10500</v>
      </c>
      <c r="Q183" s="2">
        <f t="shared" si="74"/>
        <v>438550</v>
      </c>
      <c r="R183" s="139">
        <f t="shared" si="75"/>
        <v>54720</v>
      </c>
      <c r="U183" s="140"/>
    </row>
    <row r="184" spans="2:21" s="1" customFormat="1" ht="16.5" customHeight="1">
      <c r="B184" s="164"/>
      <c r="H184" s="137"/>
      <c r="I184" s="2">
        <v>10</v>
      </c>
      <c r="J184" s="2">
        <f t="shared" si="70"/>
        <v>38790</v>
      </c>
      <c r="K184" s="2">
        <f>ROUNDDOWN(Sheet2!L55*42.34%*125.8 + Sheet2!L55*28.1%*153.8 + Sheet2!L55*29.56%*172.4 + C32*30%*125.8 + C32*30%*153.8 + C32*40%*172.4, 0)</f>
        <v>245554</v>
      </c>
      <c r="L184" s="162">
        <f>INT((Sheet2!L55+C32)*9)</f>
        <v>14530</v>
      </c>
      <c r="M184" s="2">
        <f>INT((Sheet2!L55+C32)*5)</f>
        <v>8072</v>
      </c>
      <c r="N184" s="2">
        <f t="shared" si="71"/>
        <v>306946</v>
      </c>
      <c r="O184" s="2">
        <f t="shared" si="72"/>
        <v>30695</v>
      </c>
      <c r="P184" s="2">
        <f t="shared" si="73"/>
        <v>8280</v>
      </c>
      <c r="Q184" s="2">
        <f t="shared" si="74"/>
        <v>345920</v>
      </c>
      <c r="R184" s="139">
        <f t="shared" si="75"/>
        <v>69900</v>
      </c>
      <c r="U184" s="140"/>
    </row>
    <row r="185" spans="2:21" s="1" customFormat="1" ht="16.5" customHeight="1">
      <c r="B185" s="164"/>
      <c r="H185" s="137"/>
      <c r="I185" s="2">
        <v>11</v>
      </c>
      <c r="J185" s="2">
        <f t="shared" si="70"/>
        <v>38790</v>
      </c>
      <c r="K185" s="2">
        <f>ROUNDDOWN(Sheet2!M55*44.43%*138.7 + Sheet2!M55*27.22%*184.7 + Sheet2!M55*28.35%*220.5 + C33*30%*138.7 + C33*30%*184.7 + C33*40%*220.5, 0)+INT(MAX((Sheet2!M55+C33)-1000,0)*(736.2-IF((Sheet2!M55+C33)=0,0,(ROUNDDOWN(Sheet2!M55*44.43%*138.7 + Sheet2!M55*27.22%*184.7 + Sheet2!M55*28.35%*220.5 + C33*30%*138.7 + C33*30%*184.7 + C33*40%*220.5, 0))/(Sheet2!M55+C33))))</f>
        <v>698778</v>
      </c>
      <c r="L185" s="162">
        <f>INT((Sheet2!M55+C33)*9)</f>
        <v>15307</v>
      </c>
      <c r="M185" s="2">
        <f>INT((Sheet2!M55+C33)*5)</f>
        <v>8504</v>
      </c>
      <c r="N185" s="2">
        <f t="shared" si="71"/>
        <v>761379</v>
      </c>
      <c r="O185" s="2">
        <f t="shared" si="72"/>
        <v>76138</v>
      </c>
      <c r="P185" s="2">
        <f t="shared" si="73"/>
        <v>20550</v>
      </c>
      <c r="Q185" s="2">
        <f t="shared" si="74"/>
        <v>858060</v>
      </c>
      <c r="R185" s="139">
        <f t="shared" si="75"/>
        <v>344230</v>
      </c>
      <c r="U185" s="140"/>
    </row>
    <row r="186" spans="2:21" s="1" customFormat="1" ht="16.5" customHeight="1">
      <c r="B186" s="164"/>
      <c r="H186" s="137"/>
      <c r="I186" s="2">
        <v>12</v>
      </c>
      <c r="J186" s="2">
        <f t="shared" si="70"/>
        <v>38790</v>
      </c>
      <c r="K186" s="2">
        <f>ROUNDDOWN(Sheet2!N55*43.82%*138.7 + Sheet2!N55*28.18%*184.7 + Sheet2!N55*28%*220.5 + C34*30%*138.7 + C34*30%*184.7 + C34*40%*220.5, 0)+INT(MAX((Sheet2!N55+C34)-1000,0)*(736.2-IF((Sheet2!N55+C34)=0,0,(ROUNDDOWN(Sheet2!N55*43.82%*138.7 + Sheet2!N55*28.18%*184.7 + Sheet2!N55*28%*220.5 + C34*30%*138.7 + C34*30%*184.7 + C34*40%*220.5, 0))/(Sheet2!N55+C34))))</f>
        <v>966701</v>
      </c>
      <c r="L186" s="162">
        <f>INT((Sheet2!N55+C34)*9)</f>
        <v>18596</v>
      </c>
      <c r="M186" s="2">
        <f>INT((Sheet2!N55+C34)*5)</f>
        <v>10331</v>
      </c>
      <c r="N186" s="2">
        <f t="shared" si="71"/>
        <v>1034418</v>
      </c>
      <c r="O186" s="2">
        <f t="shared" si="72"/>
        <v>103442</v>
      </c>
      <c r="P186" s="2">
        <f t="shared" si="73"/>
        <v>27920</v>
      </c>
      <c r="Q186" s="2">
        <f t="shared" si="74"/>
        <v>1165780</v>
      </c>
      <c r="R186" s="139">
        <f t="shared" si="75"/>
        <v>604780</v>
      </c>
      <c r="U186" s="140"/>
    </row>
    <row r="187" spans="2:21" s="1" customFormat="1" ht="16.5" customHeight="1">
      <c r="B187" s="164"/>
      <c r="H187" s="137"/>
      <c r="I187" s="150" t="s">
        <v>77</v>
      </c>
      <c r="J187" s="6" t="s">
        <v>378</v>
      </c>
      <c r="K187" s="6" t="s">
        <v>379</v>
      </c>
      <c r="L187" s="6" t="s">
        <v>380</v>
      </c>
      <c r="M187" s="6" t="s">
        <v>381</v>
      </c>
      <c r="N187" s="6" t="s">
        <v>382</v>
      </c>
      <c r="O187" s="6" t="s">
        <v>383</v>
      </c>
      <c r="P187" s="6" t="s">
        <v>384</v>
      </c>
      <c r="Q187" s="6" t="s">
        <v>385</v>
      </c>
      <c r="R187" s="2" t="s">
        <v>386</v>
      </c>
      <c r="S187" s="139">
        <f>SUM(R188:R199)</f>
        <v>2443000</v>
      </c>
      <c r="T187" s="139">
        <f>Sheet2!$O$18</f>
        <v>1620551.6253430294</v>
      </c>
      <c r="U187" s="144">
        <f>(T187-S187)/T187</f>
        <v>-0.50751136945907493</v>
      </c>
    </row>
    <row r="188" spans="2:21" s="1" customFormat="1" ht="16.5" customHeight="1">
      <c r="B188" s="164"/>
      <c r="H188" s="137"/>
      <c r="I188" s="2">
        <v>1</v>
      </c>
      <c r="J188" s="2">
        <f t="shared" ref="J188:J199" si="76">$C$170*($D$109+3)</f>
        <v>38790</v>
      </c>
      <c r="K188" s="2">
        <f>ROUNDDOWN(Sheet2!C56*43.37%*138.7 + Sheet2!C56*28.76%*184.7 + Sheet2!C56*27.87%*220.5 + C23*30%*138.7 + C23*30%*184.7 + C23*40%*220.5, 0)+INT(MAX((Sheet2!C56+C23)-1000,0)*(736.2-IF((Sheet2!C56+C23)=0,0,(ROUNDDOWN(Sheet2!C56*43.37%*138.7 + Sheet2!C56*28.76%*184.7 + Sheet2!C56*27.87%*220.5 + C23*30%*138.7 + C23*30%*184.7 + C23*40%*220.5, 0))/(Sheet2!C56+C23))))</f>
        <v>1085392</v>
      </c>
      <c r="L188" s="162">
        <f>INT((Sheet2!C56+C23)*9)</f>
        <v>20046</v>
      </c>
      <c r="M188" s="2">
        <f>INT((Sheet2!C56+C23)*5)</f>
        <v>11136</v>
      </c>
      <c r="N188" s="2">
        <f t="shared" ref="N188:N199" si="77">SUM(J188:M188)</f>
        <v>1155364</v>
      </c>
      <c r="O188" s="2">
        <f t="shared" ref="O188:O199" si="78">ROUND(N188*0.1, 0)</f>
        <v>115536</v>
      </c>
      <c r="P188" s="2">
        <f t="shared" ref="P188:P199" si="79">FLOOR(N188*0.027, 10)</f>
        <v>31190</v>
      </c>
      <c r="Q188" s="2">
        <f t="shared" ref="Q188:Q199" si="80">FLOOR(N188+O188+P188, 10)</f>
        <v>1302090</v>
      </c>
      <c r="R188" s="139">
        <f t="shared" ref="R188:R199" si="81">MAX(Q188-BD6,0)</f>
        <v>640270</v>
      </c>
      <c r="U188" s="140"/>
    </row>
    <row r="189" spans="2:21" s="1" customFormat="1" ht="16.5" customHeight="1">
      <c r="H189" s="137"/>
      <c r="I189" s="2">
        <v>2</v>
      </c>
      <c r="J189" s="2">
        <f t="shared" si="76"/>
        <v>38790</v>
      </c>
      <c r="K189" s="2">
        <f>ROUNDDOWN(Sheet2!D56*44.03%*138.7 + Sheet2!D56*28.8%*184.7 + Sheet2!D56*27.16%*220.5 + C24*30%*138.7 + C24*30%*184.7 + C24*40%*220.5, 0)+INT(MAX((Sheet2!D56+C24)-1000,0)*(736.2-IF((Sheet2!D56+C24)=0,0,(ROUNDDOWN(Sheet2!D56*44.03%*138.7 + Sheet2!D56*28.8%*184.7 + Sheet2!D56*27.16%*220.5 + C24*30%*138.7 + C24*30%*184.7 + C24*40%*220.5, 0))/(Sheet2!D56+C24))))</f>
        <v>1027531</v>
      </c>
      <c r="L189" s="162">
        <f>INT((Sheet2!D56+C24)*9)</f>
        <v>19337</v>
      </c>
      <c r="M189" s="2">
        <f>INT((Sheet2!D56+C24)*5)</f>
        <v>10742</v>
      </c>
      <c r="N189" s="2">
        <f t="shared" si="77"/>
        <v>1096400</v>
      </c>
      <c r="O189" s="2">
        <f t="shared" si="78"/>
        <v>109640</v>
      </c>
      <c r="P189" s="2">
        <f t="shared" si="79"/>
        <v>29600</v>
      </c>
      <c r="Q189" s="2">
        <f t="shared" si="80"/>
        <v>1235640</v>
      </c>
      <c r="R189" s="139">
        <f t="shared" si="81"/>
        <v>564880</v>
      </c>
      <c r="U189" s="140"/>
    </row>
    <row r="190" spans="2:21" s="1" customFormat="1" ht="16.5" customHeight="1">
      <c r="H190" s="137"/>
      <c r="I190" s="2">
        <v>3</v>
      </c>
      <c r="J190" s="2">
        <f t="shared" si="76"/>
        <v>38790</v>
      </c>
      <c r="K190" s="2">
        <f>ROUNDDOWN(Sheet2!E56*44.16%*125.8 + Sheet2!E56*28.26%*153.8 + Sheet2!E56*27.58%*172.4 + C25*30%*125.8 + C25*30%*153.8 + C25*40%*172.4, 0)</f>
        <v>272659</v>
      </c>
      <c r="L190" s="162">
        <f>INT((Sheet2!E56+C25)*9)</f>
        <v>16236</v>
      </c>
      <c r="M190" s="2">
        <f>INT((Sheet2!E56+C25)*5)</f>
        <v>9020</v>
      </c>
      <c r="N190" s="2">
        <f t="shared" si="77"/>
        <v>336705</v>
      </c>
      <c r="O190" s="2">
        <f t="shared" si="78"/>
        <v>33671</v>
      </c>
      <c r="P190" s="2">
        <f t="shared" si="79"/>
        <v>9090</v>
      </c>
      <c r="Q190" s="2">
        <f t="shared" si="80"/>
        <v>379460</v>
      </c>
      <c r="R190" s="139">
        <f t="shared" si="81"/>
        <v>117980</v>
      </c>
      <c r="U190" s="140"/>
    </row>
    <row r="191" spans="2:21" s="1" customFormat="1" ht="16.5" customHeight="1">
      <c r="H191" s="137"/>
      <c r="I191" s="2">
        <v>4</v>
      </c>
      <c r="J191" s="2">
        <f t="shared" si="76"/>
        <v>38790</v>
      </c>
      <c r="K191" s="2">
        <f>ROUNDDOWN(Sheet2!F56*42.51%*125.8 + Sheet2!F56*27.79%*153.8 + Sheet2!F56*29.7%*172.4 + C26*30%*125.8 + C26*30%*153.8 + C26*40%*172.4, 0)</f>
        <v>230776</v>
      </c>
      <c r="L191" s="162">
        <f>INT((Sheet2!F56+C26)*9)</f>
        <v>13652</v>
      </c>
      <c r="M191" s="2">
        <f>INT((Sheet2!F56+C26)*5)</f>
        <v>7584</v>
      </c>
      <c r="N191" s="2">
        <f t="shared" si="77"/>
        <v>290802</v>
      </c>
      <c r="O191" s="2">
        <f t="shared" si="78"/>
        <v>29080</v>
      </c>
      <c r="P191" s="2">
        <f t="shared" si="79"/>
        <v>7850</v>
      </c>
      <c r="Q191" s="2">
        <f t="shared" si="80"/>
        <v>327730</v>
      </c>
      <c r="R191" s="139">
        <f t="shared" si="81"/>
        <v>65310</v>
      </c>
      <c r="U191" s="140"/>
    </row>
    <row r="192" spans="2:21" s="1" customFormat="1" ht="16.5" customHeight="1">
      <c r="H192" s="137"/>
      <c r="I192" s="2">
        <v>5</v>
      </c>
      <c r="J192" s="2">
        <f t="shared" si="76"/>
        <v>38790</v>
      </c>
      <c r="K192" s="2">
        <f>ROUNDDOWN(Sheet2!G56*38.44%*125.8 + Sheet2!G56*30.44%*153.8 + Sheet2!G56*31.12%*172.4 + C27*30%*125.8 + C27*30%*153.8 + C27*40%*172.4, 0)</f>
        <v>206145</v>
      </c>
      <c r="L192" s="162">
        <f>INT((Sheet2!G56+C27)*9)</f>
        <v>12165</v>
      </c>
      <c r="M192" s="2">
        <f>INT((Sheet2!G56+C27)*5)</f>
        <v>6758</v>
      </c>
      <c r="N192" s="2">
        <f t="shared" si="77"/>
        <v>263858</v>
      </c>
      <c r="O192" s="2">
        <f t="shared" si="78"/>
        <v>26386</v>
      </c>
      <c r="P192" s="2">
        <f t="shared" si="79"/>
        <v>7120</v>
      </c>
      <c r="Q192" s="2">
        <f t="shared" si="80"/>
        <v>297360</v>
      </c>
      <c r="R192" s="139">
        <f t="shared" si="81"/>
        <v>50150</v>
      </c>
      <c r="U192" s="140"/>
    </row>
    <row r="193" spans="8:21" s="1" customFormat="1" ht="16.5" customHeight="1">
      <c r="H193" s="137"/>
      <c r="I193" s="2">
        <v>6</v>
      </c>
      <c r="J193" s="2">
        <f t="shared" si="76"/>
        <v>38790</v>
      </c>
      <c r="K193" s="2">
        <f>ROUNDDOWN(Sheet2!H56*31.92%*138.7 + Sheet2!H56*38.86%*184.7 + Sheet2!H56*29.22%*220.5 + C28*30%*138.7 + C28*30%*184.7 + C28*40%*220.5, 0)+INT(MAX((Sheet2!H56+C28)-1000,0)*(736.2-IF((Sheet2!H56+C28)=0,0,(ROUNDDOWN(Sheet2!H56*31.92%*138.7 + Sheet2!H56*38.86%*184.7 + Sheet2!H56*29.22%*220.5 + C28*30%*138.7 + C28*30%*184.7 + C28*40%*220.5, 0))/(Sheet2!H56+C28))))</f>
        <v>477835</v>
      </c>
      <c r="L193" s="162">
        <f>INT((Sheet2!H56+C28)*9)</f>
        <v>12580</v>
      </c>
      <c r="M193" s="2">
        <f>INT((Sheet2!H56+C28)*5)</f>
        <v>6989</v>
      </c>
      <c r="N193" s="2">
        <f t="shared" si="77"/>
        <v>536194</v>
      </c>
      <c r="O193" s="2">
        <f t="shared" si="78"/>
        <v>53619</v>
      </c>
      <c r="P193" s="2">
        <f t="shared" si="79"/>
        <v>14470</v>
      </c>
      <c r="Q193" s="2">
        <f t="shared" si="80"/>
        <v>604280</v>
      </c>
      <c r="R193" s="139">
        <f t="shared" si="81"/>
        <v>95000</v>
      </c>
      <c r="U193" s="140"/>
    </row>
    <row r="194" spans="8:21" s="1" customFormat="1" ht="16.5" customHeight="1">
      <c r="H194" s="137"/>
      <c r="I194" s="2">
        <v>7</v>
      </c>
      <c r="J194" s="2">
        <f t="shared" si="76"/>
        <v>38790</v>
      </c>
      <c r="K194" s="2">
        <f>ROUNDDOWN(Sheet2!I56*26.8%*138.7 + Sheet2!I56*43.76%*184.7 + Sheet2!I56*29.44%*220.5 + C29*30%*138.7 + C29*30%*184.7 + C29*40%*220.5, 0)+INT(MAX((Sheet2!I56+C29)-1000,0)*(736.2-IF((Sheet2!I56+C29)=0,0,(ROUNDDOWN(Sheet2!I56*26.8%*138.7 + Sheet2!I56*43.76%*184.7 + Sheet2!I56*29.44%*220.5 + C29*30%*138.7 + C29*30%*184.7 + C29*40%*220.5, 0))/(Sheet2!I56+C29))))</f>
        <v>736219</v>
      </c>
      <c r="L194" s="162">
        <f>INT((Sheet2!I56+C29)*9)</f>
        <v>15736</v>
      </c>
      <c r="M194" s="2">
        <f>INT((Sheet2!I56+C29)*5)</f>
        <v>8742</v>
      </c>
      <c r="N194" s="2">
        <f t="shared" si="77"/>
        <v>799487</v>
      </c>
      <c r="O194" s="2">
        <f t="shared" si="78"/>
        <v>79949</v>
      </c>
      <c r="P194" s="2">
        <f t="shared" si="79"/>
        <v>21580</v>
      </c>
      <c r="Q194" s="2">
        <f t="shared" si="80"/>
        <v>901010</v>
      </c>
      <c r="R194" s="139">
        <f t="shared" si="81"/>
        <v>71800</v>
      </c>
      <c r="U194" s="140"/>
    </row>
    <row r="195" spans="8:21" s="1" customFormat="1" ht="16.5" customHeight="1">
      <c r="H195" s="137"/>
      <c r="I195" s="2">
        <v>8</v>
      </c>
      <c r="J195" s="2">
        <f t="shared" si="76"/>
        <v>38790</v>
      </c>
      <c r="K195" s="2">
        <f>ROUNDDOWN(Sheet2!J56*26.88%*138.7 + Sheet2!J56*45.15%*184.7 + Sheet2!J56*27.97%*220.5 + C30*30%*138.7 + C30*30%*184.7 + C30*40%*220.5, 0)+INT(MAX((Sheet2!J56+C30)-1000,0)*(736.2-IF((Sheet2!J56+C30)=0,0,(ROUNDDOWN(Sheet2!J56*26.88%*138.7 + Sheet2!J56*45.15%*184.7 + Sheet2!J56*27.97%*220.5 + C30*30%*138.7 + C30*30%*184.7 + C30*40%*220.5, 0))/(Sheet2!J56+C30))))</f>
        <v>1056566</v>
      </c>
      <c r="L195" s="162">
        <f>INT((Sheet2!J56+C30)*9)</f>
        <v>19652</v>
      </c>
      <c r="M195" s="2">
        <f>INT((Sheet2!J56+C30)*5)</f>
        <v>10918</v>
      </c>
      <c r="N195" s="2">
        <f t="shared" si="77"/>
        <v>1125926</v>
      </c>
      <c r="O195" s="2">
        <f t="shared" si="78"/>
        <v>112593</v>
      </c>
      <c r="P195" s="2">
        <f t="shared" si="79"/>
        <v>30400</v>
      </c>
      <c r="Q195" s="2">
        <f t="shared" si="80"/>
        <v>1268910</v>
      </c>
      <c r="R195" s="139">
        <f t="shared" si="81"/>
        <v>71540</v>
      </c>
      <c r="U195" s="140"/>
    </row>
    <row r="196" spans="8:21" s="1" customFormat="1" ht="16.5" customHeight="1">
      <c r="H196" s="137"/>
      <c r="I196" s="2">
        <v>9</v>
      </c>
      <c r="J196" s="2">
        <f t="shared" si="76"/>
        <v>38790</v>
      </c>
      <c r="K196" s="2">
        <f>ROUNDDOWN(Sheet2!K56*30.32%*125.8 + Sheet2!K56*40.48%*153.8 + Sheet2!K56*29.2%*172.4 + C31*30%*125.8 + C31*30%*153.8 + C31*40%*172.4, 0)</f>
        <v>314262</v>
      </c>
      <c r="L196" s="162">
        <f>INT((Sheet2!K56+C31)*9)</f>
        <v>18516</v>
      </c>
      <c r="M196" s="2">
        <f>INT((Sheet2!K56+C31)*5)</f>
        <v>10287</v>
      </c>
      <c r="N196" s="2">
        <f t="shared" si="77"/>
        <v>381855</v>
      </c>
      <c r="O196" s="2">
        <f t="shared" si="78"/>
        <v>38186</v>
      </c>
      <c r="P196" s="2">
        <f t="shared" si="79"/>
        <v>10310</v>
      </c>
      <c r="Q196" s="2">
        <f t="shared" si="80"/>
        <v>430350</v>
      </c>
      <c r="R196" s="139">
        <f t="shared" si="81"/>
        <v>46520</v>
      </c>
      <c r="U196" s="140"/>
    </row>
    <row r="197" spans="8:21" s="1" customFormat="1" ht="16.5" customHeight="1">
      <c r="H197" s="137"/>
      <c r="I197" s="2">
        <v>10</v>
      </c>
      <c r="J197" s="2">
        <f t="shared" si="76"/>
        <v>38790</v>
      </c>
      <c r="K197" s="2">
        <f>ROUNDDOWN(Sheet2!L56*42.34%*125.8 + Sheet2!L56*28.1%*153.8 + Sheet2!L56*29.56%*172.4 + C32*30%*125.8 + C32*30%*153.8 + C32*40%*172.4, 0)</f>
        <v>234957</v>
      </c>
      <c r="L197" s="162">
        <f>INT((Sheet2!L56+C32)*9)</f>
        <v>13883</v>
      </c>
      <c r="M197" s="2">
        <f>INT((Sheet2!L56+C32)*5)</f>
        <v>7713</v>
      </c>
      <c r="N197" s="2">
        <f t="shared" si="77"/>
        <v>295343</v>
      </c>
      <c r="O197" s="2">
        <f t="shared" si="78"/>
        <v>29534</v>
      </c>
      <c r="P197" s="2">
        <f t="shared" si="79"/>
        <v>7970</v>
      </c>
      <c r="Q197" s="2">
        <f t="shared" si="80"/>
        <v>332840</v>
      </c>
      <c r="R197" s="139">
        <f t="shared" si="81"/>
        <v>56820</v>
      </c>
      <c r="U197" s="140"/>
    </row>
    <row r="198" spans="8:21" s="1" customFormat="1" ht="16.5" customHeight="1">
      <c r="H198" s="137"/>
      <c r="I198" s="2">
        <v>11</v>
      </c>
      <c r="J198" s="2">
        <f t="shared" si="76"/>
        <v>38790</v>
      </c>
      <c r="K198" s="2">
        <f>ROUNDDOWN(Sheet2!M56*44.43%*138.7 + Sheet2!M56*27.22%*184.7 + Sheet2!M56*28.35%*220.5 + C33*30%*138.7 + C33*30%*184.7 + C33*40%*220.5, 0)+INT(MAX((Sheet2!M56+C33)-1000,0)*(736.2-IF((Sheet2!M56+C33)=0,0,(ROUNDDOWN(Sheet2!M56*44.43%*138.7 + Sheet2!M56*27.22%*184.7 + Sheet2!M56*28.35%*220.5 + C33*30%*138.7 + C33*30%*184.7 + C33*40%*220.5, 0))/(Sheet2!M56+C33))))</f>
        <v>610627</v>
      </c>
      <c r="L198" s="162">
        <f>INT((Sheet2!M56+C33)*9)</f>
        <v>14221</v>
      </c>
      <c r="M198" s="2">
        <f>INT((Sheet2!M56+C33)*5)</f>
        <v>7901</v>
      </c>
      <c r="N198" s="2">
        <f t="shared" si="77"/>
        <v>671539</v>
      </c>
      <c r="O198" s="2">
        <f t="shared" si="78"/>
        <v>67154</v>
      </c>
      <c r="P198" s="2">
        <f t="shared" si="79"/>
        <v>18130</v>
      </c>
      <c r="Q198" s="2">
        <f t="shared" si="80"/>
        <v>756820</v>
      </c>
      <c r="R198" s="139">
        <f t="shared" si="81"/>
        <v>242990</v>
      </c>
      <c r="U198" s="140"/>
    </row>
    <row r="199" spans="8:21" s="1" customFormat="1" ht="16.5" customHeight="1">
      <c r="H199" s="137"/>
      <c r="I199" s="2">
        <v>12</v>
      </c>
      <c r="J199" s="2">
        <f t="shared" si="76"/>
        <v>38790</v>
      </c>
      <c r="K199" s="2">
        <f>ROUNDDOWN(Sheet2!N56*43.82%*138.7 + Sheet2!N56*28.18%*184.7 + Sheet2!N56*28%*220.5 + C34*30%*138.7 + C34*30%*184.7 + C34*40%*220.5, 0)+INT(MAX((Sheet2!N56+C34)-1000,0)*(736.2-IF((Sheet2!N56+C34)=0,0,(ROUNDDOWN(Sheet2!N56*43.82%*138.7 + Sheet2!N56*28.18%*184.7 + Sheet2!N56*28%*220.5 + C34*30%*138.7 + C34*30%*184.7 + C34*40%*220.5, 0))/(Sheet2!N56+C34))))</f>
        <v>805597</v>
      </c>
      <c r="L199" s="162">
        <f>INT((Sheet2!N56+C34)*9)</f>
        <v>16616</v>
      </c>
      <c r="M199" s="2">
        <f>INT((Sheet2!N56+C34)*5)</f>
        <v>9231</v>
      </c>
      <c r="N199" s="2">
        <f t="shared" si="77"/>
        <v>870234</v>
      </c>
      <c r="O199" s="2">
        <f t="shared" si="78"/>
        <v>87023</v>
      </c>
      <c r="P199" s="2">
        <f t="shared" si="79"/>
        <v>23490</v>
      </c>
      <c r="Q199" s="2">
        <f t="shared" si="80"/>
        <v>980740</v>
      </c>
      <c r="R199" s="139">
        <f t="shared" si="81"/>
        <v>419740</v>
      </c>
      <c r="U199" s="140"/>
    </row>
    <row r="200" spans="8:21" s="1" customFormat="1" ht="16.5" customHeight="1">
      <c r="H200" s="137"/>
      <c r="I200" s="2" t="s">
        <v>78</v>
      </c>
      <c r="J200" s="6" t="s">
        <v>378</v>
      </c>
      <c r="K200" s="6" t="s">
        <v>379</v>
      </c>
      <c r="L200" s="6" t="s">
        <v>380</v>
      </c>
      <c r="M200" s="6" t="s">
        <v>381</v>
      </c>
      <c r="N200" s="6" t="s">
        <v>382</v>
      </c>
      <c r="O200" s="6" t="s">
        <v>383</v>
      </c>
      <c r="P200" s="6" t="s">
        <v>384</v>
      </c>
      <c r="Q200" s="6" t="s">
        <v>385</v>
      </c>
      <c r="R200" s="2" t="s">
        <v>386</v>
      </c>
      <c r="S200" s="139">
        <f>SUM(R201:R212)</f>
        <v>3292880</v>
      </c>
      <c r="T200" s="139">
        <f>Sheet2!$O$18</f>
        <v>1620551.6253430294</v>
      </c>
      <c r="U200" s="144">
        <f>(T200-S200)/T200</f>
        <v>-1.0319500770627912</v>
      </c>
    </row>
    <row r="201" spans="8:21" s="1" customFormat="1" ht="16.5" customHeight="1">
      <c r="H201" s="137"/>
      <c r="I201" s="2">
        <v>1</v>
      </c>
      <c r="J201" s="2">
        <f t="shared" ref="J201:J212" si="82">$C$170*($D$109+3)</f>
        <v>38790</v>
      </c>
      <c r="K201" s="2">
        <f>ROUNDDOWN(Sheet2!C57*43.37%*138.7 + Sheet2!C57*28.76%*184.7 + Sheet2!C57*27.87%*220.5 + C23*30%*138.7 + C23*30%*184.7 + C23*40%*220.5, 0)+INT(MAX((Sheet2!C57+C23)-1000,0)*(736.2-IF((Sheet2!C57+C23)=0,0,(ROUNDDOWN(Sheet2!C57*43.37%*138.7 + Sheet2!C57*28.76%*184.7 + Sheet2!C57*27.87%*220.5 + C23*30%*138.7 + C23*30%*184.7 + C23*40%*220.5, 0))/(Sheet2!C57+C23))))</f>
        <v>1301534</v>
      </c>
      <c r="L201" s="162">
        <f>INT((Sheet2!C57+C23)*9)</f>
        <v>22698</v>
      </c>
      <c r="M201" s="2">
        <f>INT((Sheet2!C57+C23)*5)</f>
        <v>12610</v>
      </c>
      <c r="N201" s="2">
        <f t="shared" ref="N201:N212" si="83">SUM(J201:M201)</f>
        <v>1375632</v>
      </c>
      <c r="O201" s="2">
        <f t="shared" ref="O201:O212" si="84">ROUND(N201*0.1, 0)</f>
        <v>137563</v>
      </c>
      <c r="P201" s="2">
        <f t="shared" ref="P201:P212" si="85">FLOOR(N201*0.027, 10)</f>
        <v>37140</v>
      </c>
      <c r="Q201" s="2">
        <f t="shared" ref="Q201:Q212" si="86">FLOOR(N201+O201+P201, 10)</f>
        <v>1550330</v>
      </c>
      <c r="R201" s="139">
        <f t="shared" ref="R201:R212" si="87">MAX(Q201-BD6,0)</f>
        <v>888510</v>
      </c>
      <c r="U201" s="140"/>
    </row>
    <row r="202" spans="8:21" s="1" customFormat="1" ht="16.5" customHeight="1">
      <c r="H202" s="137"/>
      <c r="I202" s="2">
        <v>2</v>
      </c>
      <c r="J202" s="2">
        <f t="shared" si="82"/>
        <v>38790</v>
      </c>
      <c r="K202" s="2">
        <f>ROUNDDOWN(Sheet2!D57*44.03%*138.7 + Sheet2!D57*28.8%*184.7 + Sheet2!D57*27.16%*220.5 + C24*30%*138.7 + C24*30%*184.7 + C24*40%*220.5, 0)+INT(MAX((Sheet2!D57+C24)-1000,0)*(736.2-IF((Sheet2!D57+C24)=0,0,(ROUNDDOWN(Sheet2!D57*44.03%*138.7 + Sheet2!D57*28.8%*184.7 + Sheet2!D57*27.16%*220.5 + C24*30%*138.7 + C24*30%*184.7 + C24*40%*220.5, 0))/(Sheet2!D57+C24))))</f>
        <v>1217007</v>
      </c>
      <c r="L202" s="162">
        <f>INT((Sheet2!D57+C24)*9)</f>
        <v>21663</v>
      </c>
      <c r="M202" s="2">
        <f>INT((Sheet2!D57+C24)*5)</f>
        <v>12035</v>
      </c>
      <c r="N202" s="2">
        <f t="shared" si="83"/>
        <v>1289495</v>
      </c>
      <c r="O202" s="2">
        <f t="shared" si="84"/>
        <v>128950</v>
      </c>
      <c r="P202" s="2">
        <f t="shared" si="85"/>
        <v>34810</v>
      </c>
      <c r="Q202" s="2">
        <f t="shared" si="86"/>
        <v>1453250</v>
      </c>
      <c r="R202" s="139">
        <f t="shared" si="87"/>
        <v>782490</v>
      </c>
      <c r="U202" s="140"/>
    </row>
    <row r="203" spans="8:21" s="1" customFormat="1" ht="16.5" customHeight="1">
      <c r="H203" s="137"/>
      <c r="I203" s="2">
        <v>3</v>
      </c>
      <c r="J203" s="2">
        <f t="shared" si="82"/>
        <v>38790</v>
      </c>
      <c r="K203" s="2">
        <f>ROUNDDOWN(Sheet2!E57*44.16%*125.8 + Sheet2!E57*28.26%*153.8 + Sheet2!E57*27.58%*172.4 + C25*30%*125.8 + C25*30%*153.8 + C25*40%*172.4, 0)</f>
        <v>301810</v>
      </c>
      <c r="L203" s="162">
        <f>INT((Sheet2!E57+C25)*9)</f>
        <v>18026</v>
      </c>
      <c r="M203" s="2">
        <f>INT((Sheet2!E57+C25)*5)</f>
        <v>10014</v>
      </c>
      <c r="N203" s="2">
        <f t="shared" si="83"/>
        <v>368640</v>
      </c>
      <c r="O203" s="2">
        <f t="shared" si="84"/>
        <v>36864</v>
      </c>
      <c r="P203" s="2">
        <f t="shared" si="85"/>
        <v>9950</v>
      </c>
      <c r="Q203" s="2">
        <f t="shared" si="86"/>
        <v>415450</v>
      </c>
      <c r="R203" s="139">
        <f t="shared" si="87"/>
        <v>153970</v>
      </c>
      <c r="U203" s="140"/>
    </row>
    <row r="204" spans="8:21" s="1" customFormat="1" ht="16.5" customHeight="1">
      <c r="H204" s="137"/>
      <c r="I204" s="2">
        <v>4</v>
      </c>
      <c r="J204" s="2">
        <f t="shared" si="82"/>
        <v>38790</v>
      </c>
      <c r="K204" s="2">
        <f>ROUNDDOWN(Sheet2!F57*42.51%*125.8 + Sheet2!F57*27.79%*153.8 + Sheet2!F57*29.7%*172.4 + C26*30%*125.8 + C26*30%*153.8 + C26*40%*172.4, 0)</f>
        <v>242647</v>
      </c>
      <c r="L204" s="162">
        <f>INT((Sheet2!F57+C26)*9)</f>
        <v>14377</v>
      </c>
      <c r="M204" s="2">
        <f>INT((Sheet2!F57+C26)*5)</f>
        <v>7987</v>
      </c>
      <c r="N204" s="2">
        <f t="shared" si="83"/>
        <v>303801</v>
      </c>
      <c r="O204" s="2">
        <f t="shared" si="84"/>
        <v>30380</v>
      </c>
      <c r="P204" s="2">
        <f t="shared" si="85"/>
        <v>8200</v>
      </c>
      <c r="Q204" s="2">
        <f t="shared" si="86"/>
        <v>342380</v>
      </c>
      <c r="R204" s="139">
        <f t="shared" si="87"/>
        <v>79960</v>
      </c>
      <c r="U204" s="140"/>
    </row>
    <row r="205" spans="8:21" s="1" customFormat="1" ht="16.5" customHeight="1">
      <c r="H205" s="137"/>
      <c r="I205" s="2">
        <v>5</v>
      </c>
      <c r="J205" s="2">
        <f t="shared" si="82"/>
        <v>38790</v>
      </c>
      <c r="K205" s="2">
        <f>ROUNDDOWN(Sheet2!G57*38.44%*125.8 + Sheet2!G57*30.44%*153.8 + Sheet2!G57*31.12%*172.4 + C27*30%*125.8 + C27*30%*153.8 + C27*40%*172.4, 0)</f>
        <v>213046</v>
      </c>
      <c r="L205" s="162">
        <f>INT((Sheet2!G57+C27)*9)</f>
        <v>12583</v>
      </c>
      <c r="M205" s="2">
        <f>INT((Sheet2!G57+C27)*5)</f>
        <v>6990</v>
      </c>
      <c r="N205" s="2">
        <f t="shared" si="83"/>
        <v>271409</v>
      </c>
      <c r="O205" s="2">
        <f t="shared" si="84"/>
        <v>27141</v>
      </c>
      <c r="P205" s="2">
        <f t="shared" si="85"/>
        <v>7320</v>
      </c>
      <c r="Q205" s="2">
        <f t="shared" si="86"/>
        <v>305870</v>
      </c>
      <c r="R205" s="139">
        <f t="shared" si="87"/>
        <v>58660</v>
      </c>
      <c r="U205" s="140"/>
    </row>
    <row r="206" spans="8:21" s="1" customFormat="1" ht="16.5" customHeight="1">
      <c r="H206" s="137"/>
      <c r="I206" s="2">
        <v>6</v>
      </c>
      <c r="J206" s="2">
        <f t="shared" si="82"/>
        <v>38790</v>
      </c>
      <c r="K206" s="2">
        <f>ROUNDDOWN(Sheet2!H57*31.92%*138.7 + Sheet2!H57*38.86%*184.7 + Sheet2!H57*29.22%*220.5 + C28*30%*138.7 + C28*30%*184.7 + C28*40%*220.5, 0)+INT(MAX((Sheet2!H57+C28)-1000,0)*(736.2-IF((Sheet2!H57+C28)=0,0,(ROUNDDOWN(Sheet2!H57*31.92%*138.7 + Sheet2!H57*38.86%*184.7 + Sheet2!H57*29.22%*220.5 + C28*30%*138.7 + C28*30%*184.7 + C28*40%*220.5, 0))/(Sheet2!H57+C28))))</f>
        <v>501076</v>
      </c>
      <c r="L206" s="162">
        <f>INT((Sheet2!H57+C28)*9)</f>
        <v>12865</v>
      </c>
      <c r="M206" s="2">
        <f>INT((Sheet2!H57+C28)*5)</f>
        <v>7147</v>
      </c>
      <c r="N206" s="2">
        <f t="shared" si="83"/>
        <v>559878</v>
      </c>
      <c r="O206" s="2">
        <f t="shared" si="84"/>
        <v>55988</v>
      </c>
      <c r="P206" s="2">
        <f t="shared" si="85"/>
        <v>15110</v>
      </c>
      <c r="Q206" s="2">
        <f t="shared" si="86"/>
        <v>630970</v>
      </c>
      <c r="R206" s="139">
        <f t="shared" si="87"/>
        <v>121690</v>
      </c>
      <c r="U206" s="140"/>
    </row>
    <row r="207" spans="8:21" s="1" customFormat="1" ht="16.5" customHeight="1">
      <c r="H207" s="137"/>
      <c r="I207" s="2">
        <v>7</v>
      </c>
      <c r="J207" s="2">
        <f t="shared" si="82"/>
        <v>38790</v>
      </c>
      <c r="K207" s="2">
        <f>ROUNDDOWN(Sheet2!I57*26.8%*138.7 + Sheet2!I57*43.76%*184.7 + Sheet2!I57*29.44%*220.5 + C29*30%*138.7 + C29*30%*184.7 + C29*40%*220.5, 0)+INT(MAX((Sheet2!I57+C29)-1000,0)*(736.2-IF((Sheet2!I57+C29)=0,0,(ROUNDDOWN(Sheet2!I57*26.8%*138.7 + Sheet2!I57*43.76%*184.7 + Sheet2!I57*29.44%*220.5 + C29*30%*138.7 + C29*30%*184.7 + C29*40%*220.5, 0))/(Sheet2!I57+C29))))</f>
        <v>751270</v>
      </c>
      <c r="L207" s="162">
        <f>INT((Sheet2!I57+C29)*9)</f>
        <v>15921</v>
      </c>
      <c r="M207" s="2">
        <f>INT((Sheet2!I57+C29)*5)</f>
        <v>8845</v>
      </c>
      <c r="N207" s="2">
        <f t="shared" si="83"/>
        <v>814826</v>
      </c>
      <c r="O207" s="2">
        <f t="shared" si="84"/>
        <v>81483</v>
      </c>
      <c r="P207" s="2">
        <f t="shared" si="85"/>
        <v>22000</v>
      </c>
      <c r="Q207" s="2">
        <f t="shared" si="86"/>
        <v>918300</v>
      </c>
      <c r="R207" s="139">
        <f t="shared" si="87"/>
        <v>89090</v>
      </c>
      <c r="U207" s="140"/>
    </row>
    <row r="208" spans="8:21" s="1" customFormat="1" ht="16.5" customHeight="1">
      <c r="H208" s="137"/>
      <c r="I208" s="2">
        <v>8</v>
      </c>
      <c r="J208" s="2">
        <f t="shared" si="82"/>
        <v>38790</v>
      </c>
      <c r="K208" s="2">
        <f>ROUNDDOWN(Sheet2!J57*26.88%*138.7 + Sheet2!J57*45.15%*184.7 + Sheet2!J57*27.97%*220.5 + C30*30%*138.7 + C30*30%*184.7 + C30*40%*220.5, 0)+INT(MAX((Sheet2!J57+C30)-1000,0)*(736.2-IF((Sheet2!J57+C30)=0,0,(ROUNDDOWN(Sheet2!J57*26.88%*138.7 + Sheet2!J57*45.15%*184.7 + Sheet2!J57*27.97%*220.5 + C30*30%*138.7 + C30*30%*184.7 + C30*40%*220.5, 0))/(Sheet2!J57+C30))))</f>
        <v>1071525</v>
      </c>
      <c r="L208" s="162">
        <f>INT((Sheet2!J57+C30)*9)</f>
        <v>19836</v>
      </c>
      <c r="M208" s="2">
        <f>INT((Sheet2!J57+C30)*5)</f>
        <v>11020</v>
      </c>
      <c r="N208" s="2">
        <f t="shared" si="83"/>
        <v>1141171</v>
      </c>
      <c r="O208" s="2">
        <f t="shared" si="84"/>
        <v>114117</v>
      </c>
      <c r="P208" s="2">
        <f t="shared" si="85"/>
        <v>30810</v>
      </c>
      <c r="Q208" s="2">
        <f t="shared" si="86"/>
        <v>1286090</v>
      </c>
      <c r="R208" s="139">
        <f t="shared" si="87"/>
        <v>88720</v>
      </c>
      <c r="U208" s="140"/>
    </row>
    <row r="209" spans="8:21" s="1" customFormat="1" ht="16.5" customHeight="1">
      <c r="H209" s="137"/>
      <c r="I209" s="2">
        <v>9</v>
      </c>
      <c r="J209" s="2">
        <f t="shared" si="82"/>
        <v>38790</v>
      </c>
      <c r="K209" s="2">
        <f>ROUNDDOWN(Sheet2!K57*30.32%*125.8 + Sheet2!K57*40.48%*153.8 + Sheet2!K57*29.2%*172.4 + C31*30%*125.8 + C31*30%*153.8 + C31*40%*172.4, 0)</f>
        <v>319976</v>
      </c>
      <c r="L209" s="162">
        <f>INT((Sheet2!K57+C31)*9)</f>
        <v>18858</v>
      </c>
      <c r="M209" s="2">
        <f>INT((Sheet2!K57+C31)*5)</f>
        <v>10476</v>
      </c>
      <c r="N209" s="2">
        <f t="shared" si="83"/>
        <v>388100</v>
      </c>
      <c r="O209" s="2">
        <f t="shared" si="84"/>
        <v>38810</v>
      </c>
      <c r="P209" s="2">
        <f t="shared" si="85"/>
        <v>10470</v>
      </c>
      <c r="Q209" s="2">
        <f t="shared" si="86"/>
        <v>437380</v>
      </c>
      <c r="R209" s="139">
        <f t="shared" si="87"/>
        <v>53550</v>
      </c>
      <c r="U209" s="140"/>
    </row>
    <row r="210" spans="8:21" s="1" customFormat="1" ht="16.5" customHeight="1">
      <c r="H210" s="137"/>
      <c r="I210" s="2">
        <v>10</v>
      </c>
      <c r="J210" s="2">
        <f t="shared" si="82"/>
        <v>38790</v>
      </c>
      <c r="K210" s="2">
        <f>ROUNDDOWN(Sheet2!L57*42.34%*125.8 + Sheet2!L57*28.1%*153.8 + Sheet2!L57*29.56%*172.4 + C32*30%*125.8 + C32*30%*153.8 + C32*40%*172.4, 0)</f>
        <v>244044</v>
      </c>
      <c r="L210" s="162">
        <f>INT((Sheet2!L57+C32)*9)</f>
        <v>14438</v>
      </c>
      <c r="M210" s="2">
        <f>INT((Sheet2!L57+C32)*5)</f>
        <v>8021</v>
      </c>
      <c r="N210" s="2">
        <f t="shared" si="83"/>
        <v>305293</v>
      </c>
      <c r="O210" s="2">
        <f t="shared" si="84"/>
        <v>30529</v>
      </c>
      <c r="P210" s="2">
        <f t="shared" si="85"/>
        <v>8240</v>
      </c>
      <c r="Q210" s="2">
        <f t="shared" si="86"/>
        <v>344060</v>
      </c>
      <c r="R210" s="139">
        <f t="shared" si="87"/>
        <v>68040</v>
      </c>
      <c r="U210" s="140"/>
    </row>
    <row r="211" spans="8:21" s="1" customFormat="1" ht="16.5" customHeight="1">
      <c r="H211" s="137"/>
      <c r="I211" s="2">
        <v>11</v>
      </c>
      <c r="J211" s="2">
        <f t="shared" si="82"/>
        <v>38790</v>
      </c>
      <c r="K211" s="2">
        <f>ROUNDDOWN(Sheet2!M57*44.43%*138.7 + Sheet2!M57*27.22%*184.7 + Sheet2!M57*28.35%*220.5 + C33*30%*138.7 + C33*30%*184.7 + C33*40%*220.5, 0)+INT(MAX((Sheet2!M57+C33)-1000,0)*(736.2-IF((Sheet2!M57+C33)=0,0,(ROUNDDOWN(Sheet2!M57*44.43%*138.7 + Sheet2!M57*27.22%*184.7 + Sheet2!M57*28.35%*220.5 + C33*30%*138.7 + C33*30%*184.7 + C33*40%*220.5, 0))/(Sheet2!M57+C33))))</f>
        <v>686211</v>
      </c>
      <c r="L211" s="162">
        <f>INT((Sheet2!M57+C33)*9)</f>
        <v>15152</v>
      </c>
      <c r="M211" s="2">
        <f>INT((Sheet2!M57+C33)*5)</f>
        <v>8418</v>
      </c>
      <c r="N211" s="2">
        <f t="shared" si="83"/>
        <v>748571</v>
      </c>
      <c r="O211" s="2">
        <f t="shared" si="84"/>
        <v>74857</v>
      </c>
      <c r="P211" s="2">
        <f t="shared" si="85"/>
        <v>20210</v>
      </c>
      <c r="Q211" s="2">
        <f t="shared" si="86"/>
        <v>843630</v>
      </c>
      <c r="R211" s="139">
        <f t="shared" si="87"/>
        <v>329800</v>
      </c>
      <c r="U211" s="140"/>
    </row>
    <row r="212" spans="8:21" s="1" customFormat="1" ht="16.5" customHeight="1">
      <c r="H212" s="152"/>
      <c r="I212" s="67">
        <v>12</v>
      </c>
      <c r="J212" s="159">
        <f t="shared" si="82"/>
        <v>38790</v>
      </c>
      <c r="K212" s="159">
        <f>ROUNDDOWN(Sheet2!N57*43.82%*138.7 + Sheet2!N57*28.18%*184.7 + Sheet2!N57*28%*220.5 + C34*30%*138.7 + C34*30%*184.7 + C34*40%*220.5, 0)+INT(MAX((Sheet2!N57+C34)-1000,0)*(736.2-IF((Sheet2!N57+C34)=0,0,(ROUNDDOWN(Sheet2!N57*43.82%*138.7 + Sheet2!N57*28.18%*184.7 + Sheet2!N57*28%*220.5 + C34*30%*138.7 + C34*30%*184.7 + C34*40%*220.5, 0))/(Sheet2!N57+C34))))</f>
        <v>943734</v>
      </c>
      <c r="L212" s="165">
        <f>INT((Sheet2!N57+C34)*9)</f>
        <v>18314</v>
      </c>
      <c r="M212" s="159">
        <f>INT((Sheet2!N57+C34)*5)</f>
        <v>10174</v>
      </c>
      <c r="N212" s="159">
        <f t="shared" si="83"/>
        <v>1011012</v>
      </c>
      <c r="O212" s="159">
        <f t="shared" si="84"/>
        <v>101101</v>
      </c>
      <c r="P212" s="159">
        <f t="shared" si="85"/>
        <v>27290</v>
      </c>
      <c r="Q212" s="159">
        <f t="shared" si="86"/>
        <v>1139400</v>
      </c>
      <c r="R212" s="154">
        <f t="shared" si="87"/>
        <v>578400</v>
      </c>
      <c r="S212" s="159"/>
      <c r="T212" s="159"/>
      <c r="U212" s="155"/>
    </row>
    <row r="213" spans="8:21" s="1" customFormat="1" ht="16.5" customHeight="1">
      <c r="H213" s="59" t="s">
        <v>436</v>
      </c>
      <c r="I213" s="156" t="s">
        <v>75</v>
      </c>
      <c r="J213" s="156" t="s">
        <v>378</v>
      </c>
      <c r="K213" s="156" t="s">
        <v>379</v>
      </c>
      <c r="L213" s="156" t="s">
        <v>380</v>
      </c>
      <c r="M213" s="156" t="s">
        <v>381</v>
      </c>
      <c r="N213" s="156" t="s">
        <v>382</v>
      </c>
      <c r="O213" s="156" t="s">
        <v>383</v>
      </c>
      <c r="P213" s="156" t="s">
        <v>384</v>
      </c>
      <c r="Q213" s="156" t="s">
        <v>385</v>
      </c>
      <c r="R213" s="157" t="s">
        <v>386</v>
      </c>
      <c r="S213" s="160">
        <f>SUM(R214:R225)</f>
        <v>3769290</v>
      </c>
      <c r="T213" s="160">
        <f>Sheet2!$O$18</f>
        <v>1620551.6253430294</v>
      </c>
      <c r="U213" s="135">
        <f>(T213-S213)/T213</f>
        <v>-1.325930220953089</v>
      </c>
    </row>
    <row r="214" spans="8:21" s="1" customFormat="1" ht="16.5" customHeight="1">
      <c r="H214" s="137"/>
      <c r="I214" s="2">
        <v>1</v>
      </c>
      <c r="J214" s="2">
        <f t="shared" ref="J214:J225" si="88">$C$170*($D$109+3)</f>
        <v>38790</v>
      </c>
      <c r="K214" s="2">
        <f>ROUNDDOWN(MAX(Sheet2!C54*43.37% + C23*30% - C37*0.0062%,0)*138.7 + MAX(Sheet2!C54*28.76% + C23*30% - C37*95.4981%,0)*184.7 + MAX(Sheet2!C54*27.87% + C23*40% - C37*4.4957%,0)*220.5,0)+INT(MAX(MAX(Sheet2!C54+C23-C37,0)-1000,0)*(736.2-IF(MAX(Sheet2!C54+C23-C37,0)=0,0,(ROUNDDOWN(MAX(Sheet2!C54*43.37% + C23*30% - C37*0.0062%,0)*138.7 + MAX(Sheet2!C54*28.76% + C23*30% - C37*95.4981%,0)*184.7 + MAX(Sheet2!C54*27.87% + C23*40% - C37*4.4957%,0)*220.5,0))/MAX(Sheet2!C54+C23-C37,0))))</f>
        <v>1422706</v>
      </c>
      <c r="L214" s="2">
        <f>INT(MAX(Sheet2!C54+C23-C37,0)*9)</f>
        <v>24184</v>
      </c>
      <c r="M214" s="166">
        <f>INT(MAX(Sheet2!C54+C23-C37,0)*5)</f>
        <v>13436</v>
      </c>
      <c r="N214" s="2">
        <f t="shared" ref="N214:N225" si="89">SUM(J214:M214)</f>
        <v>1499116</v>
      </c>
      <c r="O214" s="2">
        <f t="shared" ref="O214:O225" si="90">ROUND(N214*0.1, 0)</f>
        <v>149912</v>
      </c>
      <c r="P214" s="2">
        <f t="shared" ref="P214:P225" si="91">FLOOR(N214*0.027, 10)</f>
        <v>40470</v>
      </c>
      <c r="Q214" s="2">
        <f t="shared" ref="Q214:Q225" si="92">FLOOR(N214+O214+P214, 10)</f>
        <v>1689490</v>
      </c>
      <c r="R214" s="139">
        <f t="shared" ref="R214:R225" si="93">MAX(Q214-BE6,0)</f>
        <v>1027670</v>
      </c>
      <c r="U214" s="140"/>
    </row>
    <row r="215" spans="8:21" s="1" customFormat="1" ht="16.5" customHeight="1">
      <c r="H215" s="137"/>
      <c r="I215" s="2">
        <v>2</v>
      </c>
      <c r="J215" s="2">
        <f t="shared" si="88"/>
        <v>38790</v>
      </c>
      <c r="K215" s="2">
        <f>ROUNDDOWN(MAX(Sheet2!D54*44.03% + C24*30% - C38*0.1791%,0)*138.7 + MAX(Sheet2!D54*28.8% + C24*30% - C38*92.1596%,0)*184.7 + MAX(Sheet2!D54*27.16% + C24*40% - C38*7.6613%,0)*220.5,0)+INT(MAX(MAX(Sheet2!D54+C24-C38,0)-1000,0)*(736.2-IF(MAX(Sheet2!D54+C24-C38,0)=0,0,(ROUNDDOWN(MAX(Sheet2!D54*44.03% + C24*30% - C38*0.1791%,0)*138.7 + MAX(Sheet2!D54*28.8% + C24*30% - C38*92.1596%,0)*184.7 + MAX(Sheet2!D54*27.16% + C24*40% - C38*7.6613%,0)*220.5,0))/MAX(Sheet2!D54+C24-C38,0))))</f>
        <v>1323235</v>
      </c>
      <c r="L215" s="166">
        <f>INT(MAX(Sheet2!D54+C24-C38,0)*9)</f>
        <v>22967</v>
      </c>
      <c r="M215" s="166">
        <f>INT(MAX(Sheet2!D54+C24-C38,0)*5)</f>
        <v>12759</v>
      </c>
      <c r="N215" s="2">
        <f t="shared" si="89"/>
        <v>1397751</v>
      </c>
      <c r="O215" s="2">
        <f t="shared" si="90"/>
        <v>139775</v>
      </c>
      <c r="P215" s="2">
        <f t="shared" si="91"/>
        <v>37730</v>
      </c>
      <c r="Q215" s="2">
        <f t="shared" si="92"/>
        <v>1575250</v>
      </c>
      <c r="R215" s="139">
        <f t="shared" si="93"/>
        <v>904490</v>
      </c>
      <c r="U215" s="140"/>
    </row>
    <row r="216" spans="8:21" s="1" customFormat="1" ht="16.5" customHeight="1">
      <c r="H216" s="137"/>
      <c r="I216" s="2">
        <v>3</v>
      </c>
      <c r="J216" s="2">
        <f t="shared" si="88"/>
        <v>38790</v>
      </c>
      <c r="K216" s="2">
        <f>ROUNDDOWN(MAX(Sheet2!E54*44.16% + C25*30% - C39*1.149%,0)*125.8 + MAX(Sheet2!E54*28.26% + C25*30% - C39*89.637%,0)*153.8 + MAX(Sheet2!E54*27.58% + C25*40% - C39*9.2139%,0)*172.4,0)</f>
        <v>318141</v>
      </c>
      <c r="L216" s="166">
        <f>INT(MAX(Sheet2!E54+C25-C39,0)*9)</f>
        <v>19029</v>
      </c>
      <c r="M216" s="166">
        <f>INT(MAX(Sheet2!E54+C25-C39,0)*5)</f>
        <v>10572</v>
      </c>
      <c r="N216" s="2">
        <f t="shared" si="89"/>
        <v>386532</v>
      </c>
      <c r="O216" s="2">
        <f t="shared" si="90"/>
        <v>38653</v>
      </c>
      <c r="P216" s="2">
        <f t="shared" si="91"/>
        <v>10430</v>
      </c>
      <c r="Q216" s="2">
        <f t="shared" si="92"/>
        <v>435610</v>
      </c>
      <c r="R216" s="139">
        <f t="shared" si="93"/>
        <v>174130</v>
      </c>
      <c r="U216" s="140"/>
    </row>
    <row r="217" spans="8:21" s="1" customFormat="1" ht="16.5" customHeight="1">
      <c r="H217" s="137"/>
      <c r="I217" s="2">
        <v>4</v>
      </c>
      <c r="J217" s="2">
        <f t="shared" si="88"/>
        <v>38790</v>
      </c>
      <c r="K217" s="2">
        <f>ROUNDDOWN(MAX(Sheet2!F54*42.51% + C26*30% - C40*2.6448%,0)*125.8 + MAX(Sheet2!F54*27.79% + C26*30% - C40*86.8176%,0)*153.8 + MAX(Sheet2!F54*29.7% + C26*40% - C40*10.5375%,0)*172.4,0)</f>
        <v>249298</v>
      </c>
      <c r="L217" s="166">
        <f>INT(MAX(Sheet2!F54+C26-C40,0)*9)</f>
        <v>14783</v>
      </c>
      <c r="M217" s="166">
        <f>INT(MAX(Sheet2!F54+C26-C40,0)*5)</f>
        <v>8213</v>
      </c>
      <c r="N217" s="2">
        <f t="shared" si="89"/>
        <v>311084</v>
      </c>
      <c r="O217" s="2">
        <f t="shared" si="90"/>
        <v>31108</v>
      </c>
      <c r="P217" s="2">
        <f t="shared" si="91"/>
        <v>8390</v>
      </c>
      <c r="Q217" s="2">
        <f t="shared" si="92"/>
        <v>350580</v>
      </c>
      <c r="R217" s="139">
        <f t="shared" si="93"/>
        <v>88160</v>
      </c>
      <c r="U217" s="140"/>
    </row>
    <row r="218" spans="8:21" s="1" customFormat="1" ht="16.5" customHeight="1">
      <c r="H218" s="137"/>
      <c r="I218" s="2">
        <v>5</v>
      </c>
      <c r="J218" s="2">
        <f t="shared" si="88"/>
        <v>38790</v>
      </c>
      <c r="K218" s="2">
        <f>ROUNDDOWN(MAX(Sheet2!G54*38.44% + C27*30% - C41*4.1831%,0)*125.8 + MAX(Sheet2!G54*30.44% + C27*30% - C41*84.4735%,0)*153.8 + MAX(Sheet2!G54*31.12% + C27*40% - C41*11.3434%,0)*172.4,0)</f>
        <v>216912</v>
      </c>
      <c r="L218" s="166">
        <f>INT(MAX(Sheet2!G54+C27-C41,0)*9)</f>
        <v>12817</v>
      </c>
      <c r="M218" s="166">
        <f>INT(MAX(Sheet2!G54+C27-C41,0)*5)</f>
        <v>7120</v>
      </c>
      <c r="N218" s="2">
        <f t="shared" si="89"/>
        <v>275639</v>
      </c>
      <c r="O218" s="2">
        <f t="shared" si="90"/>
        <v>27564</v>
      </c>
      <c r="P218" s="2">
        <f t="shared" si="91"/>
        <v>7440</v>
      </c>
      <c r="Q218" s="2">
        <f t="shared" si="92"/>
        <v>310640</v>
      </c>
      <c r="R218" s="139">
        <f t="shared" si="93"/>
        <v>63430</v>
      </c>
      <c r="U218" s="140"/>
    </row>
    <row r="219" spans="8:21" s="1" customFormat="1" ht="16.5" customHeight="1">
      <c r="H219" s="137"/>
      <c r="I219" s="2">
        <v>6</v>
      </c>
      <c r="J219" s="2">
        <f t="shared" si="88"/>
        <v>38790</v>
      </c>
      <c r="K219" s="2">
        <f>ROUNDDOWN(MAX(Sheet2!H54*31.92% + C28*30% - C42*4.7395%,0)*138.7 + MAX(Sheet2!H54*38.86% + C28*30% - C42*81.6742%,0)*184.7 + MAX(Sheet2!H54*29.22% + C28*40% - C42*13.5862%,0)*220.5,0)+INT(MAX(MAX(Sheet2!H54+C28-C42,0)-1000,0)*(736.2-IF(MAX(Sheet2!H54+C28-C42,0)=0,0,(ROUNDDOWN(MAX(Sheet2!H54*31.92% + C28*30% - C42*4.7395%,0)*138.7 + MAX(Sheet2!H54*38.86% + C28*30% - C42*81.6742%,0)*184.7 + MAX(Sheet2!H54*29.22% + C28*40% - C42*13.5862%,0)*220.5,0))/MAX(Sheet2!H54+C28-C42,0))))</f>
        <v>514099</v>
      </c>
      <c r="L219" s="166">
        <f>INT(MAX(Sheet2!H54+C28-C42,0)*9)</f>
        <v>13025</v>
      </c>
      <c r="M219" s="166">
        <f>INT(MAX(Sheet2!H54+C28-C42,0)*5)</f>
        <v>7236</v>
      </c>
      <c r="N219" s="2">
        <f t="shared" si="89"/>
        <v>573150</v>
      </c>
      <c r="O219" s="2">
        <f t="shared" si="90"/>
        <v>57315</v>
      </c>
      <c r="P219" s="2">
        <f t="shared" si="91"/>
        <v>15470</v>
      </c>
      <c r="Q219" s="2">
        <f t="shared" si="92"/>
        <v>645930</v>
      </c>
      <c r="R219" s="139">
        <f t="shared" si="93"/>
        <v>136650</v>
      </c>
      <c r="U219" s="140"/>
    </row>
    <row r="220" spans="8:21" s="1" customFormat="1" ht="16.5" customHeight="1">
      <c r="H220" s="137"/>
      <c r="I220" s="2">
        <v>7</v>
      </c>
      <c r="J220" s="2">
        <f t="shared" si="88"/>
        <v>38790</v>
      </c>
      <c r="K220" s="2">
        <f>ROUNDDOWN(MAX(Sheet2!I54*26.8% + C29*30% - C43*3.6986%,0)*138.7 + MAX(Sheet2!I54*43.76% + C29*30% - C43*81.8888%,0)*184.7 + MAX(Sheet2!I54*29.44% + C29*40% - C43*14.4126%,0)*220.5,0)+INT(MAX(MAX(Sheet2!I54+C29-C43,0)-1000,0)*(736.2-IF(MAX(Sheet2!I54+C29-C43,0)=0,0,(ROUNDDOWN(MAX(Sheet2!I54*26.8% + C29*30% - C43*3.6986%,0)*138.7 + MAX(Sheet2!I54*43.76% + C29*30% - C43*81.8888%,0)*184.7 + MAX(Sheet2!I54*29.44% + C29*40% - C43*14.4126%,0)*220.5,0))/MAX(Sheet2!I54+C29-C43,0))))</f>
        <v>759703</v>
      </c>
      <c r="L220" s="166">
        <f>INT(MAX(Sheet2!I54+C29-C43,0)*9)</f>
        <v>16024</v>
      </c>
      <c r="M220" s="166">
        <f>INT(MAX(Sheet2!I54+C29-C43,0)*5)</f>
        <v>8902</v>
      </c>
      <c r="N220" s="2">
        <f t="shared" si="89"/>
        <v>823419</v>
      </c>
      <c r="O220" s="2">
        <f t="shared" si="90"/>
        <v>82342</v>
      </c>
      <c r="P220" s="2">
        <f t="shared" si="91"/>
        <v>22230</v>
      </c>
      <c r="Q220" s="2">
        <f t="shared" si="92"/>
        <v>927990</v>
      </c>
      <c r="R220" s="139">
        <f t="shared" si="93"/>
        <v>98780</v>
      </c>
      <c r="U220" s="140"/>
    </row>
    <row r="221" spans="8:21" s="1" customFormat="1" ht="16.5" customHeight="1">
      <c r="H221" s="137"/>
      <c r="I221" s="2">
        <v>8</v>
      </c>
      <c r="J221" s="2">
        <f t="shared" si="88"/>
        <v>38790</v>
      </c>
      <c r="K221" s="2">
        <f>ROUNDDOWN(MAX(Sheet2!J54*26.88% + C30*30% - C44*3.2913%,0)*138.7 + MAX(Sheet2!J54*45.15% + C30*30% - C44*85.89%,0)*184.7 + MAX(Sheet2!J54*27.97% + C30*40% - C44*10.8187%,0)*220.5,0)+INT(MAX(MAX(Sheet2!J54+C30-C44,0)-1000,0)*(736.2-IF(MAX(Sheet2!J54+C30-C44,0)=0,0,(ROUNDDOWN(MAX(Sheet2!J54*26.88% + C30*30% - C44*3.2913%,0)*138.7 + MAX(Sheet2!J54*45.15% + C30*30% - C44*85.89%,0)*184.7 + MAX(Sheet2!J54*27.97% + C30*40% - C44*10.8187%,0)*220.5,0))/MAX(Sheet2!J54+C30-C44,0))))</f>
        <v>1079905</v>
      </c>
      <c r="L221" s="166">
        <f>INT(MAX(Sheet2!J54+C30-C44,0)*9)</f>
        <v>19938</v>
      </c>
      <c r="M221" s="166">
        <f>INT(MAX(Sheet2!J54+C30-C44,0)*5)</f>
        <v>11077</v>
      </c>
      <c r="N221" s="2">
        <f t="shared" si="89"/>
        <v>1149710</v>
      </c>
      <c r="O221" s="2">
        <f t="shared" si="90"/>
        <v>114971</v>
      </c>
      <c r="P221" s="2">
        <f t="shared" si="91"/>
        <v>31040</v>
      </c>
      <c r="Q221" s="2">
        <f t="shared" si="92"/>
        <v>1295720</v>
      </c>
      <c r="R221" s="139">
        <f t="shared" si="93"/>
        <v>98350</v>
      </c>
      <c r="U221" s="140"/>
    </row>
    <row r="222" spans="8:21" s="1" customFormat="1" ht="16.5" customHeight="1">
      <c r="H222" s="137"/>
      <c r="I222" s="2">
        <v>9</v>
      </c>
      <c r="J222" s="2">
        <f t="shared" si="88"/>
        <v>38790</v>
      </c>
      <c r="K222" s="2">
        <f>ROUNDDOWN(MAX(Sheet2!K54*30.32% + C31*30% - C45*2.4481%,0)*125.8 + MAX(Sheet2!K54*40.48% + C31*30% - C45*89.5608%,0)*153.8 + MAX(Sheet2!K54*29.2% + C31*40% - C45*7.9911%,0)*172.4,0)</f>
        <v>323177</v>
      </c>
      <c r="L222" s="166">
        <f>INT(MAX(Sheet2!K54+C31-C45,0)*9)</f>
        <v>19049</v>
      </c>
      <c r="M222" s="166">
        <f>INT(MAX(Sheet2!K54+C31-C45,0)*5)</f>
        <v>10582</v>
      </c>
      <c r="N222" s="2">
        <f t="shared" si="89"/>
        <v>391598</v>
      </c>
      <c r="O222" s="2">
        <f t="shared" si="90"/>
        <v>39160</v>
      </c>
      <c r="P222" s="2">
        <f t="shared" si="91"/>
        <v>10570</v>
      </c>
      <c r="Q222" s="2">
        <f t="shared" si="92"/>
        <v>441320</v>
      </c>
      <c r="R222" s="139">
        <f t="shared" si="93"/>
        <v>57490</v>
      </c>
      <c r="U222" s="140"/>
    </row>
    <row r="223" spans="8:21" s="1" customFormat="1" ht="16.5" customHeight="1">
      <c r="H223" s="137"/>
      <c r="I223" s="2">
        <v>10</v>
      </c>
      <c r="J223" s="2">
        <f t="shared" si="88"/>
        <v>38790</v>
      </c>
      <c r="K223" s="2">
        <f>ROUNDDOWN(MAX(Sheet2!L54*42.34% + C32*30% - C46*1.3153%,0)*125.8 + MAX(Sheet2!L54*28.1% + C32*30% - C46*93.9251%,0)*153.8 + MAX(Sheet2!L54*29.56% + C32*40% - C46*4.7596%,0)*172.4,0)</f>
        <v>249135</v>
      </c>
      <c r="L223" s="166">
        <f>INT(MAX(Sheet2!L54+C32-C46,0)*9)</f>
        <v>14749</v>
      </c>
      <c r="M223" s="166">
        <f>INT(MAX(Sheet2!L54+C32-C46,0)*5)</f>
        <v>8194</v>
      </c>
      <c r="N223" s="2">
        <f t="shared" si="89"/>
        <v>310868</v>
      </c>
      <c r="O223" s="2">
        <f t="shared" si="90"/>
        <v>31087</v>
      </c>
      <c r="P223" s="2">
        <f t="shared" si="91"/>
        <v>8390</v>
      </c>
      <c r="Q223" s="2">
        <f t="shared" si="92"/>
        <v>350340</v>
      </c>
      <c r="R223" s="139">
        <f t="shared" si="93"/>
        <v>74320</v>
      </c>
      <c r="U223" s="140"/>
    </row>
    <row r="224" spans="8:21" s="1" customFormat="1" ht="16.5" customHeight="1">
      <c r="H224" s="137"/>
      <c r="I224" s="2">
        <v>11</v>
      </c>
      <c r="J224" s="2">
        <f t="shared" si="88"/>
        <v>38790</v>
      </c>
      <c r="K224" s="2">
        <f>ROUNDDOWN(MAX(Sheet2!M54*44.43% + C33*30% - C47*0.3291%,0)*138.7 + MAX(Sheet2!M54*27.22% + C33*30% - C47*97.1714%,0)*184.7 + MAX(Sheet2!M54*28.35% + C33*40% - C47*2.4994%,0)*220.5,0)+INT(MAX(MAX(Sheet2!M54+C33-C47,0)-1000,0)*(736.2-IF(MAX(Sheet2!M54+C33-C47,0)=0,0,(ROUNDDOWN(MAX(Sheet2!M54*44.43% + C33*30% - C47*0.3291%,0)*138.7 + MAX(Sheet2!M54*27.22% + C33*30% - C47*97.1714%,0)*184.7 + MAX(Sheet2!M54*28.35% + C33*40% - C47*2.4994%,0)*220.5,0))/MAX(Sheet2!M54+C33-C47,0))))</f>
        <v>728586</v>
      </c>
      <c r="L224" s="166">
        <f>INT(MAX(Sheet2!M54+C33-C47,0)*9)</f>
        <v>15674</v>
      </c>
      <c r="M224" s="166">
        <f>INT(MAX(Sheet2!M54+C33-C47,0)*5)</f>
        <v>8707</v>
      </c>
      <c r="N224" s="2">
        <f t="shared" si="89"/>
        <v>791757</v>
      </c>
      <c r="O224" s="2">
        <f t="shared" si="90"/>
        <v>79176</v>
      </c>
      <c r="P224" s="2">
        <f t="shared" si="91"/>
        <v>21370</v>
      </c>
      <c r="Q224" s="2">
        <f t="shared" si="92"/>
        <v>892300</v>
      </c>
      <c r="R224" s="139">
        <f t="shared" si="93"/>
        <v>378470</v>
      </c>
      <c r="U224" s="140"/>
    </row>
    <row r="225" spans="8:21" s="1" customFormat="1" ht="16.5" customHeight="1">
      <c r="H225" s="137"/>
      <c r="I225" s="2">
        <v>12</v>
      </c>
      <c r="J225" s="2">
        <f t="shared" si="88"/>
        <v>38790</v>
      </c>
      <c r="K225" s="2">
        <f>ROUNDDOWN(MAX(Sheet2!N54*43.82% + C34*30% - C48*0.0353%,0)*138.7 + MAX(Sheet2!N54*28.18% + C34*30% - C48*97.784%,0)*184.7 + MAX(Sheet2!N54*28% + C34*40% - C48*2.1807%,0)*220.5,0)+INT(MAX(MAX(Sheet2!N54+C34-C48,0)-1000,0)*(736.2-IF(MAX(Sheet2!N54+C34-C48,0)=0,0,(ROUNDDOWN(MAX(Sheet2!N54*43.82% + C34*30% - C48*0.0353%,0)*138.7 + MAX(Sheet2!N54*28.18% + C34*30% - C48*97.784%,0)*184.7 + MAX(Sheet2!N54*28% + C34*40% - C48*2.1807%,0)*220.5,0))/MAX(Sheet2!N54+C34-C48,0))))</f>
        <v>1021181</v>
      </c>
      <c r="L225" s="166">
        <f>INT(MAX(Sheet2!N54+C34-C48,0)*9)</f>
        <v>19265</v>
      </c>
      <c r="M225" s="166">
        <f>INT(MAX(Sheet2!N54+C34-C48,0)*5)</f>
        <v>10703</v>
      </c>
      <c r="N225" s="2">
        <f t="shared" si="89"/>
        <v>1089939</v>
      </c>
      <c r="O225" s="2">
        <f t="shared" si="90"/>
        <v>108994</v>
      </c>
      <c r="P225" s="2">
        <f t="shared" si="91"/>
        <v>29420</v>
      </c>
      <c r="Q225" s="2">
        <f t="shared" si="92"/>
        <v>1228350</v>
      </c>
      <c r="R225" s="139">
        <f t="shared" si="93"/>
        <v>667350</v>
      </c>
      <c r="U225" s="140"/>
    </row>
    <row r="226" spans="8:21" s="1" customFormat="1" ht="16.5" customHeight="1">
      <c r="H226" s="137"/>
      <c r="I226" s="6" t="s">
        <v>76</v>
      </c>
      <c r="J226" s="6" t="s">
        <v>378</v>
      </c>
      <c r="K226" s="6" t="s">
        <v>379</v>
      </c>
      <c r="L226" s="6" t="s">
        <v>380</v>
      </c>
      <c r="M226" s="6" t="s">
        <v>381</v>
      </c>
      <c r="N226" s="6" t="s">
        <v>382</v>
      </c>
      <c r="O226" s="6" t="s">
        <v>383</v>
      </c>
      <c r="P226" s="6" t="s">
        <v>384</v>
      </c>
      <c r="Q226" s="6" t="s">
        <v>385</v>
      </c>
      <c r="R226" s="2" t="s">
        <v>386</v>
      </c>
      <c r="S226" s="139">
        <f>SUM(R227:R238)</f>
        <v>3434160</v>
      </c>
      <c r="T226" s="139">
        <f>Sheet2!$O$18</f>
        <v>1620551.6253430294</v>
      </c>
      <c r="U226" s="144">
        <f>(T226-S226)/T226</f>
        <v>-1.1191302679253283</v>
      </c>
    </row>
    <row r="227" spans="8:21" s="1" customFormat="1" ht="16.5" customHeight="1">
      <c r="H227" s="137"/>
      <c r="I227" s="2">
        <v>1</v>
      </c>
      <c r="J227" s="2">
        <f t="shared" ref="J227:J238" si="94">$C$170*($D$109+3)</f>
        <v>38790</v>
      </c>
      <c r="K227" s="2">
        <f>ROUNDDOWN(MAX(Sheet2!C55*43.37% + C23*30% - C37*0.0062%,0)*138.7 + MAX(Sheet2!C55*28.76% + C23*30% - C37*95.4981%,0)*184.7 + MAX(Sheet2!C55*27.87% + C23*40% - C37*4.4957%,0)*220.5,0)+INT(MAX(MAX(Sheet2!C55+C23-C37,0)-1000,0)*(736.2-IF(MAX(Sheet2!C55+C23-C37,0)=0,0,(ROUNDDOWN(MAX(Sheet2!C55*43.37% + C23*30% - C37*0.0062%,0)*138.7 + MAX(Sheet2!C55*28.76% + C23*30% - C37*95.4981%,0)*184.7 + MAX(Sheet2!C55*27.87% + C23*40% - C37*4.4957%,0)*220.5,0))/MAX(Sheet2!C55+C23-C37,0))))</f>
        <v>1337468</v>
      </c>
      <c r="L227" s="166">
        <f>INT(MAX(Sheet2!C55+C23-C37,0)*9)</f>
        <v>23139</v>
      </c>
      <c r="M227" s="166">
        <f>INT(MAX(Sheet2!C55+C23-C37,0)*5)</f>
        <v>12855</v>
      </c>
      <c r="N227" s="2">
        <f t="shared" ref="N227:N238" si="95">SUM(J227:M227)</f>
        <v>1412252</v>
      </c>
      <c r="O227" s="2">
        <f t="shared" ref="O227:O238" si="96">ROUND(N227*0.1, 0)</f>
        <v>141225</v>
      </c>
      <c r="P227" s="2">
        <f t="shared" ref="P227:P238" si="97">FLOOR(N227*0.027, 10)</f>
        <v>38130</v>
      </c>
      <c r="Q227" s="2">
        <f t="shared" ref="Q227:Q238" si="98">FLOOR(N227+O227+P227, 10)</f>
        <v>1591600</v>
      </c>
      <c r="R227" s="166">
        <f t="shared" ref="R227:R238" si="99">MAX(Q227-BE6,0)</f>
        <v>929780</v>
      </c>
      <c r="U227" s="140"/>
    </row>
    <row r="228" spans="8:21" s="1" customFormat="1" ht="16.5" customHeight="1">
      <c r="H228" s="137"/>
      <c r="I228" s="2">
        <v>2</v>
      </c>
      <c r="J228" s="2">
        <f t="shared" si="94"/>
        <v>38790</v>
      </c>
      <c r="K228" s="2">
        <f>ROUNDDOWN(MAX(Sheet2!D55*44.03% + C24*30% - C38*0.1791%,0)*138.7 + MAX(Sheet2!D55*28.8% + C24*30% - C38*92.1596%,0)*184.7 + MAX(Sheet2!D55*27.16% + C24*40% - C38*7.6613%,0)*220.5,0)+INT(MAX(MAX(Sheet2!D55+C24-C38,0)-1000,0)*(736.2-IF(MAX(Sheet2!D55+C24-C38,0)=0,0,(ROUNDDOWN(MAX(Sheet2!D55*44.03% + C24*30% - C38*0.1791%,0)*138.7 + MAX(Sheet2!D55*28.8% + C24*30% - C38*92.1596%,0)*184.7 + MAX(Sheet2!D55*27.16% + C24*40% - C38*7.6613%,0)*220.5,0))/MAX(Sheet2!D55+C24-C38,0))))</f>
        <v>1248509</v>
      </c>
      <c r="L228" s="166">
        <f>INT(MAX(Sheet2!D55+C24-C38,0)*9)</f>
        <v>22050</v>
      </c>
      <c r="M228" s="166">
        <f>INT(MAX(Sheet2!D55+C24-C38,0)*5)</f>
        <v>12250</v>
      </c>
      <c r="N228" s="2">
        <f t="shared" si="95"/>
        <v>1321599</v>
      </c>
      <c r="O228" s="2">
        <f t="shared" si="96"/>
        <v>132160</v>
      </c>
      <c r="P228" s="2">
        <f t="shared" si="97"/>
        <v>35680</v>
      </c>
      <c r="Q228" s="2">
        <f t="shared" si="98"/>
        <v>1489430</v>
      </c>
      <c r="R228" s="166">
        <f t="shared" si="99"/>
        <v>818670</v>
      </c>
      <c r="U228" s="140"/>
    </row>
    <row r="229" spans="8:21" s="1" customFormat="1" ht="16.5" customHeight="1">
      <c r="H229" s="137"/>
      <c r="I229" s="2">
        <v>3</v>
      </c>
      <c r="J229" s="2">
        <f t="shared" si="94"/>
        <v>38790</v>
      </c>
      <c r="K229" s="2">
        <f>ROUNDDOWN(MAX(Sheet2!E55*44.16% + C25*30% - C39*1.149%,0)*125.8 + MAX(Sheet2!E55*28.26% + C25*30% - C39*89.637%,0)*153.8 + MAX(Sheet2!E55*27.58% + C25*40% - C39*9.2139%,0)*172.4,0)</f>
        <v>306654</v>
      </c>
      <c r="L229" s="166">
        <f>INT(MAX(Sheet2!E55+C25-C39,0)*9)</f>
        <v>18324</v>
      </c>
      <c r="M229" s="166">
        <f>INT(MAX(Sheet2!E55+C25-C39,0)*5)</f>
        <v>10180</v>
      </c>
      <c r="N229" s="2">
        <f t="shared" si="95"/>
        <v>373948</v>
      </c>
      <c r="O229" s="2">
        <f t="shared" si="96"/>
        <v>37395</v>
      </c>
      <c r="P229" s="2">
        <f t="shared" si="97"/>
        <v>10090</v>
      </c>
      <c r="Q229" s="2">
        <f t="shared" si="98"/>
        <v>421430</v>
      </c>
      <c r="R229" s="166">
        <f t="shared" si="99"/>
        <v>159950</v>
      </c>
      <c r="U229" s="140"/>
    </row>
    <row r="230" spans="8:21" s="1" customFormat="1" ht="16.5" customHeight="1">
      <c r="H230" s="137"/>
      <c r="I230" s="2">
        <v>4</v>
      </c>
      <c r="J230" s="2">
        <f t="shared" si="94"/>
        <v>38790</v>
      </c>
      <c r="K230" s="2">
        <f>ROUNDDOWN(MAX(Sheet2!F55*42.51% + C26*30% - C40*2.6448%,0)*125.8 + MAX(Sheet2!F55*27.79% + C26*30% - C40*86.8176%,0)*153.8 + MAX(Sheet2!F55*29.7% + C26*40% - C40*10.5375%,0)*172.4,0)</f>
        <v>244620</v>
      </c>
      <c r="L230" s="166">
        <f>INT(MAX(Sheet2!F55+C26-C40,0)*9)</f>
        <v>14497</v>
      </c>
      <c r="M230" s="166">
        <f>INT(MAX(Sheet2!F55+C26-C40,0)*5)</f>
        <v>8054</v>
      </c>
      <c r="N230" s="2">
        <f t="shared" si="95"/>
        <v>305961</v>
      </c>
      <c r="O230" s="2">
        <f t="shared" si="96"/>
        <v>30596</v>
      </c>
      <c r="P230" s="2">
        <f t="shared" si="97"/>
        <v>8260</v>
      </c>
      <c r="Q230" s="2">
        <f t="shared" si="98"/>
        <v>344810</v>
      </c>
      <c r="R230" s="166">
        <f t="shared" si="99"/>
        <v>82390</v>
      </c>
      <c r="U230" s="140"/>
    </row>
    <row r="231" spans="8:21" s="1" customFormat="1" ht="16.5" customHeight="1">
      <c r="H231" s="137"/>
      <c r="I231" s="2">
        <v>5</v>
      </c>
      <c r="J231" s="2">
        <f t="shared" si="94"/>
        <v>38790</v>
      </c>
      <c r="K231" s="2">
        <f>ROUNDDOWN(MAX(Sheet2!G55*38.44% + C27*30% - C41*4.1831%,0)*125.8 + MAX(Sheet2!G55*30.44% + C27*30% - C41*84.4735%,0)*153.8 + MAX(Sheet2!G55*31.12% + C27*40% - C41*11.3434%,0)*172.4,0)</f>
        <v>214193</v>
      </c>
      <c r="L231" s="166">
        <f>INT(MAX(Sheet2!G55+C27-C41,0)*9)</f>
        <v>12652</v>
      </c>
      <c r="M231" s="166">
        <f>INT(MAX(Sheet2!G55+C27-C41,0)*5)</f>
        <v>7029</v>
      </c>
      <c r="N231" s="2">
        <f t="shared" si="95"/>
        <v>272664</v>
      </c>
      <c r="O231" s="2">
        <f t="shared" si="96"/>
        <v>27266</v>
      </c>
      <c r="P231" s="2">
        <f t="shared" si="97"/>
        <v>7360</v>
      </c>
      <c r="Q231" s="2">
        <f t="shared" si="98"/>
        <v>307290</v>
      </c>
      <c r="R231" s="166">
        <f t="shared" si="99"/>
        <v>60080</v>
      </c>
      <c r="U231" s="140"/>
    </row>
    <row r="232" spans="8:21" s="1" customFormat="1" ht="16.5" customHeight="1">
      <c r="H232" s="137"/>
      <c r="I232" s="2">
        <v>6</v>
      </c>
      <c r="J232" s="2">
        <f t="shared" si="94"/>
        <v>38790</v>
      </c>
      <c r="K232" s="2">
        <f>ROUNDDOWN(MAX(Sheet2!H55*31.92% + C28*30% - C42*4.7395%,0)*138.7 + MAX(Sheet2!H55*38.86% + C28*30% - C42*81.6742%,0)*184.7 + MAX(Sheet2!H55*29.22% + C28*40% - C42*13.5862%,0)*220.5,0)+INT(MAX(MAX(Sheet2!H55+C28-C42,0)-1000,0)*(736.2-IF(MAX(Sheet2!H55+C28-C42,0)=0,0,(ROUNDDOWN(MAX(Sheet2!H55*31.92% + C28*30% - C42*4.7395%,0)*138.7 + MAX(Sheet2!H55*38.86% + C28*30% - C42*81.6742%,0)*184.7 + MAX(Sheet2!H55*29.22% + C28*40% - C42*13.5862%,0)*220.5,0))/MAX(Sheet2!H55+C28-C42,0))))</f>
        <v>504938</v>
      </c>
      <c r="L232" s="166">
        <f>INT(MAX(Sheet2!H55+C28-C42,0)*9)</f>
        <v>12913</v>
      </c>
      <c r="M232" s="166">
        <f>INT(MAX(Sheet2!H55+C28-C42,0)*5)</f>
        <v>7174</v>
      </c>
      <c r="N232" s="2">
        <f t="shared" si="95"/>
        <v>563815</v>
      </c>
      <c r="O232" s="2">
        <f t="shared" si="96"/>
        <v>56382</v>
      </c>
      <c r="P232" s="2">
        <f t="shared" si="97"/>
        <v>15220</v>
      </c>
      <c r="Q232" s="2">
        <f t="shared" si="98"/>
        <v>635410</v>
      </c>
      <c r="R232" s="166">
        <f t="shared" si="99"/>
        <v>126130</v>
      </c>
      <c r="U232" s="140"/>
    </row>
    <row r="233" spans="8:21" s="1" customFormat="1" ht="16.5" customHeight="1">
      <c r="H233" s="137"/>
      <c r="I233" s="2">
        <v>7</v>
      </c>
      <c r="J233" s="2">
        <f t="shared" si="94"/>
        <v>38790</v>
      </c>
      <c r="K233" s="2">
        <f>ROUNDDOWN(MAX(Sheet2!I55*26.8% + C29*30% - C43*3.6986%,0)*138.7 + MAX(Sheet2!I55*43.76% + C29*30% - C43*81.8888%,0)*184.7 + MAX(Sheet2!I55*29.44% + C29*40% - C43*14.4126%,0)*220.5,0)+INT(MAX(MAX(Sheet2!I55+C29-C43,0)-1000,0)*(736.2-IF(MAX(Sheet2!I55+C29-C43,0)=0,0,(ROUNDDOWN(MAX(Sheet2!I55*26.8% + C29*30% - C43*3.6986%,0)*138.7 + MAX(Sheet2!I55*43.76% + C29*30% - C43*81.8888%,0)*184.7 + MAX(Sheet2!I55*29.44% + C29*40% - C43*14.4126%,0)*220.5,0))/MAX(Sheet2!I55+C29-C43,0))))</f>
        <v>753772</v>
      </c>
      <c r="L233" s="166">
        <f>INT(MAX(Sheet2!I55+C29-C43,0)*9)</f>
        <v>15951</v>
      </c>
      <c r="M233" s="166">
        <f>INT(MAX(Sheet2!I55+C29-C43,0)*5)</f>
        <v>8862</v>
      </c>
      <c r="N233" s="2">
        <f t="shared" si="95"/>
        <v>817375</v>
      </c>
      <c r="O233" s="2">
        <f t="shared" si="96"/>
        <v>81738</v>
      </c>
      <c r="P233" s="2">
        <f t="shared" si="97"/>
        <v>22060</v>
      </c>
      <c r="Q233" s="2">
        <f t="shared" si="98"/>
        <v>921170</v>
      </c>
      <c r="R233" s="166">
        <f t="shared" si="99"/>
        <v>91960</v>
      </c>
      <c r="U233" s="140"/>
    </row>
    <row r="234" spans="8:21" s="1" customFormat="1" ht="16.5" customHeight="1">
      <c r="H234" s="137"/>
      <c r="I234" s="2">
        <v>8</v>
      </c>
      <c r="J234" s="2">
        <f t="shared" si="94"/>
        <v>38790</v>
      </c>
      <c r="K234" s="2">
        <f>ROUNDDOWN(MAX(Sheet2!J55*26.88% + C30*30% - C44*3.2913%,0)*138.7 + MAX(Sheet2!J55*45.15% + C30*30% - C44*85.89%,0)*184.7 + MAX(Sheet2!J55*27.97% + C30*40% - C44*10.8187%,0)*220.5,0)+INT(MAX(MAX(Sheet2!J55+C30-C44,0)-1000,0)*(736.2-IF(MAX(Sheet2!J55+C30-C44,0)=0,0,(ROUNDDOWN(MAX(Sheet2!J55*26.88% + C30*30% - C44*3.2913%,0)*138.7 + MAX(Sheet2!J55*45.15% + C30*30% - C44*85.89%,0)*184.7 + MAX(Sheet2!J55*27.97% + C30*40% - C44*10.8187%,0)*220.5,0))/MAX(Sheet2!J55+C30-C44,0))))</f>
        <v>1074011</v>
      </c>
      <c r="L234" s="166">
        <f>INT(MAX(Sheet2!J55+C30-C44,0)*9)</f>
        <v>19866</v>
      </c>
      <c r="M234" s="166">
        <f>INT(MAX(Sheet2!J55+C30-C44,0)*5)</f>
        <v>11036</v>
      </c>
      <c r="N234" s="2">
        <f t="shared" si="95"/>
        <v>1143703</v>
      </c>
      <c r="O234" s="2">
        <f t="shared" si="96"/>
        <v>114370</v>
      </c>
      <c r="P234" s="2">
        <f t="shared" si="97"/>
        <v>30870</v>
      </c>
      <c r="Q234" s="2">
        <f t="shared" si="98"/>
        <v>1288940</v>
      </c>
      <c r="R234" s="166">
        <f t="shared" si="99"/>
        <v>91570</v>
      </c>
      <c r="U234" s="140"/>
    </row>
    <row r="235" spans="8:21" s="1" customFormat="1" ht="16.5" customHeight="1">
      <c r="H235" s="137"/>
      <c r="I235" s="2">
        <v>9</v>
      </c>
      <c r="J235" s="2">
        <f t="shared" si="94"/>
        <v>38790</v>
      </c>
      <c r="K235" s="2">
        <f>ROUNDDOWN(MAX(Sheet2!K55*30.32% + C31*30% - C45*2.4481%,0)*125.8 + MAX(Sheet2!K55*40.48% + C31*30% - C45*89.5608%,0)*153.8 + MAX(Sheet2!K55*29.2% + C31*40% - C45*7.9911%,0)*172.4,0)</f>
        <v>320925</v>
      </c>
      <c r="L235" s="166">
        <f>INT(MAX(Sheet2!K55+C31-C45,0)*9)</f>
        <v>18914</v>
      </c>
      <c r="M235" s="166">
        <f>INT(MAX(Sheet2!K55+C31-C45,0)*5)</f>
        <v>10508</v>
      </c>
      <c r="N235" s="2">
        <f t="shared" si="95"/>
        <v>389137</v>
      </c>
      <c r="O235" s="2">
        <f t="shared" si="96"/>
        <v>38914</v>
      </c>
      <c r="P235" s="2">
        <f t="shared" si="97"/>
        <v>10500</v>
      </c>
      <c r="Q235" s="2">
        <f t="shared" si="98"/>
        <v>438550</v>
      </c>
      <c r="R235" s="166">
        <f t="shared" si="99"/>
        <v>54720</v>
      </c>
      <c r="U235" s="140"/>
    </row>
    <row r="236" spans="8:21" s="1" customFormat="1" ht="16.5" customHeight="1">
      <c r="H236" s="137"/>
      <c r="I236" s="2">
        <v>10</v>
      </c>
      <c r="J236" s="2">
        <f t="shared" si="94"/>
        <v>38790</v>
      </c>
      <c r="K236" s="2">
        <f>ROUNDDOWN(MAX(Sheet2!L55*42.34% + C32*30% - C46*1.3153%,0)*125.8 + MAX(Sheet2!L55*28.1% + C32*30% - C46*93.9251%,0)*153.8 + MAX(Sheet2!L55*29.56% + C32*40% - C46*4.7596%,0)*172.4,0)</f>
        <v>245554</v>
      </c>
      <c r="L236" s="166">
        <f>INT(MAX(Sheet2!L55+C32-C46,0)*9)</f>
        <v>14530</v>
      </c>
      <c r="M236" s="166">
        <f>INT(MAX(Sheet2!L55+C32-C46,0)*5)</f>
        <v>8072</v>
      </c>
      <c r="N236" s="2">
        <f t="shared" si="95"/>
        <v>306946</v>
      </c>
      <c r="O236" s="2">
        <f t="shared" si="96"/>
        <v>30695</v>
      </c>
      <c r="P236" s="2">
        <f t="shared" si="97"/>
        <v>8280</v>
      </c>
      <c r="Q236" s="2">
        <f t="shared" si="98"/>
        <v>345920</v>
      </c>
      <c r="R236" s="166">
        <f t="shared" si="99"/>
        <v>69900</v>
      </c>
      <c r="U236" s="140"/>
    </row>
    <row r="237" spans="8:21" s="1" customFormat="1" ht="16.5" customHeight="1">
      <c r="H237" s="137"/>
      <c r="I237" s="2">
        <v>11</v>
      </c>
      <c r="J237" s="2">
        <f t="shared" si="94"/>
        <v>38790</v>
      </c>
      <c r="K237" s="2">
        <f>ROUNDDOWN(MAX(Sheet2!M55*44.43% + C33*30% - C47*0.3291%,0)*138.7 + MAX(Sheet2!M55*27.22% + C33*30% - C47*97.1714%,0)*184.7 + MAX(Sheet2!M55*28.35% + C33*40% - C47*2.4994%,0)*220.5,0)+INT(MAX(MAX(Sheet2!M55+C33-C47,0)-1000,0)*(736.2-IF(MAX(Sheet2!M55+C33-C47,0)=0,0,(ROUNDDOWN(MAX(Sheet2!M55*44.43% + C33*30% - C47*0.3291%,0)*138.7 + MAX(Sheet2!M55*27.22% + C33*30% - C47*97.1714%,0)*184.7 + MAX(Sheet2!M55*28.35% + C33*40% - C47*2.4994%,0)*220.5,0))/MAX(Sheet2!M55+C33-C47,0))))</f>
        <v>698778</v>
      </c>
      <c r="L237" s="166">
        <f>INT(MAX(Sheet2!M55+C33-C47,0)*9)</f>
        <v>15307</v>
      </c>
      <c r="M237" s="166">
        <f>INT(MAX(Sheet2!M55+C33-C47,0)*5)</f>
        <v>8504</v>
      </c>
      <c r="N237" s="2">
        <f t="shared" si="95"/>
        <v>761379</v>
      </c>
      <c r="O237" s="2">
        <f t="shared" si="96"/>
        <v>76138</v>
      </c>
      <c r="P237" s="2">
        <f t="shared" si="97"/>
        <v>20550</v>
      </c>
      <c r="Q237" s="2">
        <f t="shared" si="98"/>
        <v>858060</v>
      </c>
      <c r="R237" s="166">
        <f t="shared" si="99"/>
        <v>344230</v>
      </c>
      <c r="U237" s="140"/>
    </row>
    <row r="238" spans="8:21" s="1" customFormat="1" ht="16.5" customHeight="1">
      <c r="H238" s="137"/>
      <c r="I238" s="2">
        <v>12</v>
      </c>
      <c r="J238" s="2">
        <f t="shared" si="94"/>
        <v>38790</v>
      </c>
      <c r="K238" s="2">
        <f>ROUNDDOWN(MAX(Sheet2!N55*43.82% + C34*30% - C48*0.0353%,0)*138.7 + MAX(Sheet2!N55*28.18% + C34*30% - C48*97.784%,0)*184.7 + MAX(Sheet2!N55*28% + C34*40% - C48*2.1807%,0)*220.5,0)+INT(MAX(MAX(Sheet2!N55+C34-C48,0)-1000,0)*(736.2-IF(MAX(Sheet2!N55+C34-C48,0)=0,0,(ROUNDDOWN(MAX(Sheet2!N55*43.82% + C34*30% - C48*0.0353%,0)*138.7 + MAX(Sheet2!N55*28.18% + C34*30% - C48*97.784%,0)*184.7 + MAX(Sheet2!N55*28% + C34*40% - C48*2.1807%,0)*220.5,0))/MAX(Sheet2!N55+C34-C48,0))))</f>
        <v>966701</v>
      </c>
      <c r="L238" s="166">
        <f>INT(MAX(Sheet2!N55+C34-C48,0)*9)</f>
        <v>18596</v>
      </c>
      <c r="M238" s="166">
        <f>INT(MAX(Sheet2!N55+C34-C48,0)*5)</f>
        <v>10331</v>
      </c>
      <c r="N238" s="2">
        <f t="shared" si="95"/>
        <v>1034418</v>
      </c>
      <c r="O238" s="2">
        <f t="shared" si="96"/>
        <v>103442</v>
      </c>
      <c r="P238" s="2">
        <f t="shared" si="97"/>
        <v>27920</v>
      </c>
      <c r="Q238" s="2">
        <f t="shared" si="98"/>
        <v>1165780</v>
      </c>
      <c r="R238" s="166">
        <f t="shared" si="99"/>
        <v>604780</v>
      </c>
      <c r="U238" s="140"/>
    </row>
    <row r="239" spans="8:21" s="1" customFormat="1" ht="16.5" customHeight="1">
      <c r="H239" s="137"/>
      <c r="I239" s="150" t="s">
        <v>77</v>
      </c>
      <c r="J239" s="6" t="s">
        <v>378</v>
      </c>
      <c r="K239" s="6" t="s">
        <v>379</v>
      </c>
      <c r="L239" s="6" t="s">
        <v>380</v>
      </c>
      <c r="M239" s="6" t="s">
        <v>381</v>
      </c>
      <c r="N239" s="6" t="s">
        <v>382</v>
      </c>
      <c r="O239" s="6" t="s">
        <v>383</v>
      </c>
      <c r="P239" s="6" t="s">
        <v>384</v>
      </c>
      <c r="Q239" s="6" t="s">
        <v>385</v>
      </c>
      <c r="R239" s="2" t="s">
        <v>386</v>
      </c>
      <c r="S239" s="139">
        <f>SUM(R240:R251)</f>
        <v>2443000</v>
      </c>
      <c r="T239" s="139">
        <f>Sheet2!$O$18</f>
        <v>1620551.6253430294</v>
      </c>
      <c r="U239" s="144">
        <f>(T239-S239)/T239</f>
        <v>-0.50751136945907493</v>
      </c>
    </row>
    <row r="240" spans="8:21" s="1" customFormat="1" ht="16.5" customHeight="1">
      <c r="H240" s="137"/>
      <c r="I240" s="2">
        <v>1</v>
      </c>
      <c r="J240" s="2">
        <f t="shared" ref="J240:J251" si="100">$C$170*($D$109+3)</f>
        <v>38790</v>
      </c>
      <c r="K240" s="2">
        <f>ROUNDDOWN(MAX(Sheet2!C56*43.37% + C23*30% - C37*0.0062%,0)*138.7 + MAX(Sheet2!C56*28.76% + C23*30% - C37*95.4981%,0)*184.7 + MAX(Sheet2!C56*27.87% + C23*40% - C37*4.4957%,0)*220.5,0)+INT(MAX(MAX(Sheet2!C56+C23-C37,0)-1000,0)*(736.2-IF(MAX(Sheet2!C56+C23-C37,0)=0,0,(ROUNDDOWN(MAX(Sheet2!C56*43.37% + C23*30% - C37*0.0062%,0)*138.7 + MAX(Sheet2!C56*28.76% + C23*30% - C37*95.4981%,0)*184.7 + MAX(Sheet2!C56*27.87% + C23*40% - C37*4.4957%,0)*220.5,0))/MAX(Sheet2!C56+C23-C37,0))))</f>
        <v>1085392</v>
      </c>
      <c r="L240" s="166">
        <f>INT(MAX(Sheet2!C56+C23-C37,0)*9)</f>
        <v>20046</v>
      </c>
      <c r="M240" s="166">
        <f>INT(MAX(Sheet2!C56+C23-C37,0)*5)</f>
        <v>11136</v>
      </c>
      <c r="N240" s="2">
        <f t="shared" ref="N240:N251" si="101">SUM(J240:M240)</f>
        <v>1155364</v>
      </c>
      <c r="O240" s="2">
        <f t="shared" ref="O240:O251" si="102">ROUND(N240*0.1, 0)</f>
        <v>115536</v>
      </c>
      <c r="P240" s="2">
        <f t="shared" ref="P240:P251" si="103">FLOOR(N240*0.027, 10)</f>
        <v>31190</v>
      </c>
      <c r="Q240" s="2">
        <f t="shared" ref="Q240:Q251" si="104">FLOOR(N240+O240+P240, 10)</f>
        <v>1302090</v>
      </c>
      <c r="R240" s="166">
        <f t="shared" ref="R240:R251" si="105">MAX(Q240-BE6,0)</f>
        <v>640270</v>
      </c>
      <c r="U240" s="140"/>
    </row>
    <row r="241" spans="8:21" s="1" customFormat="1" ht="16.5" customHeight="1">
      <c r="H241" s="137"/>
      <c r="I241" s="2">
        <v>2</v>
      </c>
      <c r="J241" s="2">
        <f t="shared" si="100"/>
        <v>38790</v>
      </c>
      <c r="K241" s="2">
        <f>ROUNDDOWN(MAX(Sheet2!D56*44.03% + C24*30% - C38*0.1791%,0)*138.7 + MAX(Sheet2!D56*28.8% + C24*30% - C38*92.1596%,0)*184.7 + MAX(Sheet2!D56*27.16% + C24*40% - C38*7.6613%,0)*220.5,0)+INT(MAX(MAX(Sheet2!D56+C24-C38,0)-1000,0)*(736.2-IF(MAX(Sheet2!D56+C24-C38,0)=0,0,(ROUNDDOWN(MAX(Sheet2!D56*44.03% + C24*30% - C38*0.1791%,0)*138.7 + MAX(Sheet2!D56*28.8% + C24*30% - C38*92.1596%,0)*184.7 + MAX(Sheet2!D56*27.16% + C24*40% - C38*7.6613%,0)*220.5,0))/MAX(Sheet2!D56+C24-C38,0))))</f>
        <v>1027531</v>
      </c>
      <c r="L241" s="166">
        <f>INT(MAX(Sheet2!D56+C24-C38,0)*9)</f>
        <v>19337</v>
      </c>
      <c r="M241" s="166">
        <f>INT(MAX(Sheet2!D56+C24-C38,0)*5)</f>
        <v>10742</v>
      </c>
      <c r="N241" s="2">
        <f t="shared" si="101"/>
        <v>1096400</v>
      </c>
      <c r="O241" s="2">
        <f t="shared" si="102"/>
        <v>109640</v>
      </c>
      <c r="P241" s="2">
        <f t="shared" si="103"/>
        <v>29600</v>
      </c>
      <c r="Q241" s="2">
        <f t="shared" si="104"/>
        <v>1235640</v>
      </c>
      <c r="R241" s="166">
        <f t="shared" si="105"/>
        <v>564880</v>
      </c>
      <c r="U241" s="140"/>
    </row>
    <row r="242" spans="8:21" s="1" customFormat="1" ht="16.5" customHeight="1">
      <c r="H242" s="137"/>
      <c r="I242" s="2">
        <v>3</v>
      </c>
      <c r="J242" s="2">
        <f t="shared" si="100"/>
        <v>38790</v>
      </c>
      <c r="K242" s="2">
        <f>ROUNDDOWN(MAX(Sheet2!E56*44.16% + C25*30% - C39*1.149%,0)*125.8 + MAX(Sheet2!E56*28.26% + C25*30% - C39*89.637%,0)*153.8 + MAX(Sheet2!E56*27.58% + C25*40% - C39*9.2139%,0)*172.4,0)</f>
        <v>272659</v>
      </c>
      <c r="L242" s="166">
        <f>INT(MAX(Sheet2!E56+C25-C39,0)*9)</f>
        <v>16236</v>
      </c>
      <c r="M242" s="166">
        <f>INT(MAX(Sheet2!E56+C25-C39,0)*5)</f>
        <v>9020</v>
      </c>
      <c r="N242" s="2">
        <f t="shared" si="101"/>
        <v>336705</v>
      </c>
      <c r="O242" s="2">
        <f t="shared" si="102"/>
        <v>33671</v>
      </c>
      <c r="P242" s="2">
        <f t="shared" si="103"/>
        <v>9090</v>
      </c>
      <c r="Q242" s="2">
        <f t="shared" si="104"/>
        <v>379460</v>
      </c>
      <c r="R242" s="166">
        <f t="shared" si="105"/>
        <v>117980</v>
      </c>
      <c r="U242" s="140"/>
    </row>
    <row r="243" spans="8:21" s="1" customFormat="1" ht="16.5" customHeight="1">
      <c r="H243" s="137"/>
      <c r="I243" s="2">
        <v>4</v>
      </c>
      <c r="J243" s="2">
        <f t="shared" si="100"/>
        <v>38790</v>
      </c>
      <c r="K243" s="2">
        <f>ROUNDDOWN(MAX(Sheet2!F56*42.51% + C26*30% - C40*2.6448%,0)*125.8 + MAX(Sheet2!F56*27.79% + C26*30% - C40*86.8176%,0)*153.8 + MAX(Sheet2!F56*29.7% + C26*40% - C40*10.5375%,0)*172.4,0)</f>
        <v>230776</v>
      </c>
      <c r="L243" s="166">
        <f>INT(MAX(Sheet2!F56+C26-C40,0)*9)</f>
        <v>13652</v>
      </c>
      <c r="M243" s="166">
        <f>INT(MAX(Sheet2!F56+C26-C40,0)*5)</f>
        <v>7584</v>
      </c>
      <c r="N243" s="2">
        <f t="shared" si="101"/>
        <v>290802</v>
      </c>
      <c r="O243" s="2">
        <f t="shared" si="102"/>
        <v>29080</v>
      </c>
      <c r="P243" s="2">
        <f t="shared" si="103"/>
        <v>7850</v>
      </c>
      <c r="Q243" s="2">
        <f t="shared" si="104"/>
        <v>327730</v>
      </c>
      <c r="R243" s="166">
        <f t="shared" si="105"/>
        <v>65310</v>
      </c>
      <c r="U243" s="140"/>
    </row>
    <row r="244" spans="8:21" s="1" customFormat="1" ht="16.5" customHeight="1">
      <c r="H244" s="137"/>
      <c r="I244" s="2">
        <v>5</v>
      </c>
      <c r="J244" s="2">
        <f t="shared" si="100"/>
        <v>38790</v>
      </c>
      <c r="K244" s="2">
        <f>ROUNDDOWN(MAX(Sheet2!G56*38.44% + C27*30% - C41*4.1831%,0)*125.8 + MAX(Sheet2!G56*30.44% + C27*30% - C41*84.4735%,0)*153.8 + MAX(Sheet2!G56*31.12% + C27*40% - C41*11.3434%,0)*172.4,0)</f>
        <v>206145</v>
      </c>
      <c r="L244" s="166">
        <f>INT(MAX(Sheet2!G56+C27-C41,0)*9)</f>
        <v>12165</v>
      </c>
      <c r="M244" s="166">
        <f>INT(MAX(Sheet2!G56+C27-C41,0)*5)</f>
        <v>6758</v>
      </c>
      <c r="N244" s="2">
        <f t="shared" si="101"/>
        <v>263858</v>
      </c>
      <c r="O244" s="2">
        <f t="shared" si="102"/>
        <v>26386</v>
      </c>
      <c r="P244" s="2">
        <f t="shared" si="103"/>
        <v>7120</v>
      </c>
      <c r="Q244" s="2">
        <f t="shared" si="104"/>
        <v>297360</v>
      </c>
      <c r="R244" s="166">
        <f t="shared" si="105"/>
        <v>50150</v>
      </c>
      <c r="U244" s="140"/>
    </row>
    <row r="245" spans="8:21" s="1" customFormat="1" ht="16.5" customHeight="1">
      <c r="H245" s="137"/>
      <c r="I245" s="2">
        <v>6</v>
      </c>
      <c r="J245" s="2">
        <f t="shared" si="100"/>
        <v>38790</v>
      </c>
      <c r="K245" s="2">
        <f>ROUNDDOWN(MAX(Sheet2!H56*31.92% + C28*30% - C42*4.7395%,0)*138.7 + MAX(Sheet2!H56*38.86% + C28*30% - C42*81.6742%,0)*184.7 + MAX(Sheet2!H56*29.22% + C28*40% - C42*13.5862%,0)*220.5,0)+INT(MAX(MAX(Sheet2!H56+C28-C42,0)-1000,0)*(736.2-IF(MAX(Sheet2!H56+C28-C42,0)=0,0,(ROUNDDOWN(MAX(Sheet2!H56*31.92% + C28*30% - C42*4.7395%,0)*138.7 + MAX(Sheet2!H56*38.86% + C28*30% - C42*81.6742%,0)*184.7 + MAX(Sheet2!H56*29.22% + C28*40% - C42*13.5862%,0)*220.5,0))/MAX(Sheet2!H56+C28-C42,0))))</f>
        <v>477835</v>
      </c>
      <c r="L245" s="166">
        <f>INT(MAX(Sheet2!H56+C28-C42,0)*9)</f>
        <v>12580</v>
      </c>
      <c r="M245" s="166">
        <f>INT(MAX(Sheet2!H56+C28-C42,0)*5)</f>
        <v>6989</v>
      </c>
      <c r="N245" s="2">
        <f t="shared" si="101"/>
        <v>536194</v>
      </c>
      <c r="O245" s="2">
        <f t="shared" si="102"/>
        <v>53619</v>
      </c>
      <c r="P245" s="2">
        <f t="shared" si="103"/>
        <v>14470</v>
      </c>
      <c r="Q245" s="2">
        <f t="shared" si="104"/>
        <v>604280</v>
      </c>
      <c r="R245" s="166">
        <f t="shared" si="105"/>
        <v>95000</v>
      </c>
      <c r="U245" s="140"/>
    </row>
    <row r="246" spans="8:21" s="1" customFormat="1" ht="16.5" customHeight="1">
      <c r="H246" s="137"/>
      <c r="I246" s="2">
        <v>7</v>
      </c>
      <c r="J246" s="2">
        <f t="shared" si="100"/>
        <v>38790</v>
      </c>
      <c r="K246" s="2">
        <f>ROUNDDOWN(MAX(Sheet2!I56*26.8% + C29*30% - C43*3.6986%,0)*138.7 + MAX(Sheet2!I56*43.76% + C29*30% - C43*81.8888%,0)*184.7 + MAX(Sheet2!I56*29.44% + C29*40% - C43*14.4126%,0)*220.5,0)+INT(MAX(MAX(Sheet2!I56+C29-C43,0)-1000,0)*(736.2-IF(MAX(Sheet2!I56+C29-C43,0)=0,0,(ROUNDDOWN(MAX(Sheet2!I56*26.8% + C29*30% - C43*3.6986%,0)*138.7 + MAX(Sheet2!I56*43.76% + C29*30% - C43*81.8888%,0)*184.7 + MAX(Sheet2!I56*29.44% + C29*40% - C43*14.4126%,0)*220.5,0))/MAX(Sheet2!I56+C29-C43,0))))</f>
        <v>736219</v>
      </c>
      <c r="L246" s="166">
        <f>INT(MAX(Sheet2!I56+C29-C43,0)*9)</f>
        <v>15736</v>
      </c>
      <c r="M246" s="166">
        <f>INT(MAX(Sheet2!I56+C29-C43,0)*5)</f>
        <v>8742</v>
      </c>
      <c r="N246" s="2">
        <f t="shared" si="101"/>
        <v>799487</v>
      </c>
      <c r="O246" s="2">
        <f t="shared" si="102"/>
        <v>79949</v>
      </c>
      <c r="P246" s="2">
        <f t="shared" si="103"/>
        <v>21580</v>
      </c>
      <c r="Q246" s="2">
        <f t="shared" si="104"/>
        <v>901010</v>
      </c>
      <c r="R246" s="166">
        <f t="shared" si="105"/>
        <v>71800</v>
      </c>
      <c r="U246" s="140"/>
    </row>
    <row r="247" spans="8:21" s="1" customFormat="1" ht="16.5" customHeight="1">
      <c r="H247" s="137"/>
      <c r="I247" s="2">
        <v>8</v>
      </c>
      <c r="J247" s="2">
        <f t="shared" si="100"/>
        <v>38790</v>
      </c>
      <c r="K247" s="2">
        <f>ROUNDDOWN(MAX(Sheet2!J56*26.88% + C30*30% - C44*3.2913%,0)*138.7 + MAX(Sheet2!J56*45.15% + C30*30% - C44*85.89%,0)*184.7 + MAX(Sheet2!J56*27.97% + C30*40% - C44*10.8187%,0)*220.5,0)+INT(MAX(MAX(Sheet2!J56+C30-C44,0)-1000,0)*(736.2-IF(MAX(Sheet2!J56+C30-C44,0)=0,0,(ROUNDDOWN(MAX(Sheet2!J56*26.88% + C30*30% - C44*3.2913%,0)*138.7 + MAX(Sheet2!J56*45.15% + C30*30% - C44*85.89%,0)*184.7 + MAX(Sheet2!J56*27.97% + C30*40% - C44*10.8187%,0)*220.5,0))/MAX(Sheet2!J56+C30-C44,0))))</f>
        <v>1056566</v>
      </c>
      <c r="L247" s="166">
        <f>INT(MAX(Sheet2!J56+C30-C44,0)*9)</f>
        <v>19652</v>
      </c>
      <c r="M247" s="166">
        <f>INT(MAX(Sheet2!J56+C30-C44,0)*5)</f>
        <v>10918</v>
      </c>
      <c r="N247" s="2">
        <f t="shared" si="101"/>
        <v>1125926</v>
      </c>
      <c r="O247" s="2">
        <f t="shared" si="102"/>
        <v>112593</v>
      </c>
      <c r="P247" s="2">
        <f t="shared" si="103"/>
        <v>30400</v>
      </c>
      <c r="Q247" s="2">
        <f t="shared" si="104"/>
        <v>1268910</v>
      </c>
      <c r="R247" s="166">
        <f t="shared" si="105"/>
        <v>71540</v>
      </c>
      <c r="U247" s="140"/>
    </row>
    <row r="248" spans="8:21" s="1" customFormat="1" ht="16.5" customHeight="1">
      <c r="H248" s="137"/>
      <c r="I248" s="2">
        <v>9</v>
      </c>
      <c r="J248" s="2">
        <f t="shared" si="100"/>
        <v>38790</v>
      </c>
      <c r="K248" s="2">
        <f>ROUNDDOWN(MAX(Sheet2!K56*30.32% + C31*30% - C45*2.4481%,0)*125.8 + MAX(Sheet2!K56*40.48% + C31*30% - C45*89.5608%,0)*153.8 + MAX(Sheet2!K56*29.2% + C31*40% - C45*7.9911%,0)*172.4,0)</f>
        <v>314262</v>
      </c>
      <c r="L248" s="166">
        <f>INT(MAX(Sheet2!K56+C31-C45,0)*9)</f>
        <v>18516</v>
      </c>
      <c r="M248" s="166">
        <f>INT(MAX(Sheet2!K56+C31-C45,0)*5)</f>
        <v>10287</v>
      </c>
      <c r="N248" s="2">
        <f t="shared" si="101"/>
        <v>381855</v>
      </c>
      <c r="O248" s="2">
        <f t="shared" si="102"/>
        <v>38186</v>
      </c>
      <c r="P248" s="2">
        <f t="shared" si="103"/>
        <v>10310</v>
      </c>
      <c r="Q248" s="2">
        <f t="shared" si="104"/>
        <v>430350</v>
      </c>
      <c r="R248" s="166">
        <f t="shared" si="105"/>
        <v>46520</v>
      </c>
      <c r="U248" s="140"/>
    </row>
    <row r="249" spans="8:21" s="1" customFormat="1" ht="16.5" customHeight="1">
      <c r="H249" s="137"/>
      <c r="I249" s="2">
        <v>10</v>
      </c>
      <c r="J249" s="2">
        <f t="shared" si="100"/>
        <v>38790</v>
      </c>
      <c r="K249" s="2">
        <f>ROUNDDOWN(MAX(Sheet2!L56*42.34% + C32*30% - C46*1.3153%,0)*125.8 + MAX(Sheet2!L56*28.1% + C32*30% - C46*93.9251%,0)*153.8 + MAX(Sheet2!L56*29.56% + C32*40% - C46*4.7596%,0)*172.4,0)</f>
        <v>234957</v>
      </c>
      <c r="L249" s="166">
        <f>INT(MAX(Sheet2!L56+C32-C46,0)*9)</f>
        <v>13883</v>
      </c>
      <c r="M249" s="166">
        <f>INT(MAX(Sheet2!L56+C32-C46,0)*5)</f>
        <v>7713</v>
      </c>
      <c r="N249" s="2">
        <f t="shared" si="101"/>
        <v>295343</v>
      </c>
      <c r="O249" s="2">
        <f t="shared" si="102"/>
        <v>29534</v>
      </c>
      <c r="P249" s="2">
        <f t="shared" si="103"/>
        <v>7970</v>
      </c>
      <c r="Q249" s="2">
        <f t="shared" si="104"/>
        <v>332840</v>
      </c>
      <c r="R249" s="166">
        <f t="shared" si="105"/>
        <v>56820</v>
      </c>
      <c r="U249" s="140"/>
    </row>
    <row r="250" spans="8:21" s="1" customFormat="1" ht="16.5" customHeight="1">
      <c r="H250" s="137"/>
      <c r="I250" s="2">
        <v>11</v>
      </c>
      <c r="J250" s="2">
        <f t="shared" si="100"/>
        <v>38790</v>
      </c>
      <c r="K250" s="2">
        <f>ROUNDDOWN(MAX(Sheet2!M56*44.43% + C33*30% - C47*0.3291%,0)*138.7 + MAX(Sheet2!M56*27.22% + C33*30% - C47*97.1714%,0)*184.7 + MAX(Sheet2!M56*28.35% + C33*40% - C47*2.4994%,0)*220.5,0)+INT(MAX(MAX(Sheet2!M56+C33-C47,0)-1000,0)*(736.2-IF(MAX(Sheet2!M56+C33-C47,0)=0,0,(ROUNDDOWN(MAX(Sheet2!M56*44.43% + C33*30% - C47*0.3291%,0)*138.7 + MAX(Sheet2!M56*27.22% + C33*30% - C47*97.1714%,0)*184.7 + MAX(Sheet2!M56*28.35% + C33*40% - C47*2.4994%,0)*220.5,0))/MAX(Sheet2!M56+C33-C47,0))))</f>
        <v>610627</v>
      </c>
      <c r="L250" s="166">
        <f>INT(MAX(Sheet2!M56+C33-C47,0)*9)</f>
        <v>14221</v>
      </c>
      <c r="M250" s="166">
        <f>INT(MAX(Sheet2!M56+C33-C47,0)*5)</f>
        <v>7901</v>
      </c>
      <c r="N250" s="2">
        <f t="shared" si="101"/>
        <v>671539</v>
      </c>
      <c r="O250" s="2">
        <f t="shared" si="102"/>
        <v>67154</v>
      </c>
      <c r="P250" s="2">
        <f t="shared" si="103"/>
        <v>18130</v>
      </c>
      <c r="Q250" s="2">
        <f t="shared" si="104"/>
        <v>756820</v>
      </c>
      <c r="R250" s="166">
        <f t="shared" si="105"/>
        <v>242990</v>
      </c>
      <c r="U250" s="140"/>
    </row>
    <row r="251" spans="8:21" s="1" customFormat="1" ht="16.5" customHeight="1">
      <c r="H251" s="137"/>
      <c r="I251" s="2">
        <v>12</v>
      </c>
      <c r="J251" s="2">
        <f t="shared" si="100"/>
        <v>38790</v>
      </c>
      <c r="K251" s="2">
        <f>ROUNDDOWN(MAX(Sheet2!N56*43.82% + C34*30% - C48*0.0353%,0)*138.7 + MAX(Sheet2!N56*28.18% + C34*30% - C48*97.784%,0)*184.7 + MAX(Sheet2!N56*28% + C34*40% - C48*2.1807%,0)*220.5,0)+INT(MAX(MAX(Sheet2!N56+C34-C48,0)-1000,0)*(736.2-IF(MAX(Sheet2!N56+C34-C48,0)=0,0,(ROUNDDOWN(MAX(Sheet2!N56*43.82% + C34*30% - C48*0.0353%,0)*138.7 + MAX(Sheet2!N56*28.18% + C34*30% - C48*97.784%,0)*184.7 + MAX(Sheet2!N56*28% + C34*40% - C48*2.1807%,0)*220.5,0))/MAX(Sheet2!N56+C34-C48,0))))</f>
        <v>805597</v>
      </c>
      <c r="L251" s="166">
        <f>INT(MAX(Sheet2!N56+C34-C48,0)*9)</f>
        <v>16616</v>
      </c>
      <c r="M251" s="166">
        <f>INT(MAX(Sheet2!N56+C34-C48,0)*5)</f>
        <v>9231</v>
      </c>
      <c r="N251" s="2">
        <f t="shared" si="101"/>
        <v>870234</v>
      </c>
      <c r="O251" s="2">
        <f t="shared" si="102"/>
        <v>87023</v>
      </c>
      <c r="P251" s="2">
        <f t="shared" si="103"/>
        <v>23490</v>
      </c>
      <c r="Q251" s="2">
        <f t="shared" si="104"/>
        <v>980740</v>
      </c>
      <c r="R251" s="166">
        <f t="shared" si="105"/>
        <v>419740</v>
      </c>
      <c r="U251" s="140"/>
    </row>
    <row r="252" spans="8:21" s="1" customFormat="1" ht="16.5" customHeight="1">
      <c r="H252" s="137"/>
      <c r="I252" s="2" t="s">
        <v>78</v>
      </c>
      <c r="J252" s="6" t="s">
        <v>378</v>
      </c>
      <c r="K252" s="6" t="s">
        <v>379</v>
      </c>
      <c r="L252" s="6" t="s">
        <v>380</v>
      </c>
      <c r="M252" s="6" t="s">
        <v>381</v>
      </c>
      <c r="N252" s="6" t="s">
        <v>382</v>
      </c>
      <c r="O252" s="6" t="s">
        <v>383</v>
      </c>
      <c r="P252" s="6" t="s">
        <v>384</v>
      </c>
      <c r="Q252" s="6" t="s">
        <v>385</v>
      </c>
      <c r="R252" s="2" t="s">
        <v>386</v>
      </c>
      <c r="S252" s="139">
        <f>SUM(R253:R264)</f>
        <v>3292880</v>
      </c>
      <c r="T252" s="139">
        <f>Sheet2!$O$18</f>
        <v>1620551.6253430294</v>
      </c>
      <c r="U252" s="144">
        <f>(T252-S252)/T252</f>
        <v>-1.0319500770627912</v>
      </c>
    </row>
    <row r="253" spans="8:21" s="1" customFormat="1" ht="16.5" customHeight="1">
      <c r="H253" s="137"/>
      <c r="I253" s="2">
        <v>1</v>
      </c>
      <c r="J253" s="2">
        <f t="shared" ref="J253:J264" si="106">$C$170*($D$109+3)</f>
        <v>38790</v>
      </c>
      <c r="K253" s="2">
        <f>ROUNDDOWN(MAX(Sheet2!C57*43.37% + C23*30% - C37*0.0062%,0)*138.7 + MAX(Sheet2!C57*28.76% + C23*30% - C37*95.4981%,0)*184.7 + MAX(Sheet2!C57*27.87% + C23*40% - C37*4.4957%,0)*220.5,0)+INT(MAX(MAX(Sheet2!C57+C23-C37,0)-1000,0)*(736.2-IF(MAX(Sheet2!C57+C23-C37,0)=0,0,(ROUNDDOWN(MAX(Sheet2!C57*43.37% + C23*30% - C37*0.0062%,0)*138.7 + MAX(Sheet2!C57*28.76% + C23*30% - C37*95.4981%,0)*184.7 + MAX(Sheet2!C57*27.87% + C23*40% - C37*4.4957%,0)*220.5,0))/MAX(Sheet2!C57+C23-C37,0))))</f>
        <v>1301534</v>
      </c>
      <c r="L253" s="166">
        <f>INT(MAX(Sheet2!C57+C23-C37,0)*9)</f>
        <v>22698</v>
      </c>
      <c r="M253" s="166">
        <f>INT(MAX(Sheet2!C57+C23-C37,0)*5)</f>
        <v>12610</v>
      </c>
      <c r="N253" s="2">
        <f t="shared" ref="N253:N264" si="107">SUM(J253:M253)</f>
        <v>1375632</v>
      </c>
      <c r="O253" s="2">
        <f t="shared" ref="O253:O264" si="108">ROUND(N253*0.1, 0)</f>
        <v>137563</v>
      </c>
      <c r="P253" s="2">
        <f t="shared" ref="P253:P264" si="109">FLOOR(N253*0.027, 10)</f>
        <v>37140</v>
      </c>
      <c r="Q253" s="2">
        <f t="shared" ref="Q253:Q264" si="110">FLOOR(N253+O253+P253, 10)</f>
        <v>1550330</v>
      </c>
      <c r="R253" s="166">
        <f t="shared" ref="R253:R264" si="111">MAX(Q253-BE6,0)</f>
        <v>888510</v>
      </c>
      <c r="U253" s="140"/>
    </row>
    <row r="254" spans="8:21" s="1" customFormat="1" ht="16.5" customHeight="1">
      <c r="H254" s="137"/>
      <c r="I254" s="2">
        <v>2</v>
      </c>
      <c r="J254" s="2">
        <f t="shared" si="106"/>
        <v>38790</v>
      </c>
      <c r="K254" s="2">
        <f>ROUNDDOWN(MAX(Sheet2!D57*44.03% + C24*30% - C38*0.1791%,0)*138.7 + MAX(Sheet2!D57*28.8% + C24*30% - C38*92.1596%,0)*184.7 + MAX(Sheet2!D57*27.16% + C24*40% - C38*7.6613%,0)*220.5,0)+INT(MAX(MAX(Sheet2!D57+C24-C38,0)-1000,0)*(736.2-IF(MAX(Sheet2!D57+C24-C38,0)=0,0,(ROUNDDOWN(MAX(Sheet2!D57*44.03% + C24*30% - C38*0.1791%,0)*138.7 + MAX(Sheet2!D57*28.8% + C24*30% - C38*92.1596%,0)*184.7 + MAX(Sheet2!D57*27.16% + C24*40% - C38*7.6613%,0)*220.5,0))/MAX(Sheet2!D57+C24-C38,0))))</f>
        <v>1217007</v>
      </c>
      <c r="L254" s="166">
        <f>INT(MAX(Sheet2!D57+C24-C38,0)*9)</f>
        <v>21663</v>
      </c>
      <c r="M254" s="166">
        <f>INT(MAX(Sheet2!D57+C24-C38,0)*5)</f>
        <v>12035</v>
      </c>
      <c r="N254" s="2">
        <f t="shared" si="107"/>
        <v>1289495</v>
      </c>
      <c r="O254" s="2">
        <f t="shared" si="108"/>
        <v>128950</v>
      </c>
      <c r="P254" s="2">
        <f t="shared" si="109"/>
        <v>34810</v>
      </c>
      <c r="Q254" s="2">
        <f t="shared" si="110"/>
        <v>1453250</v>
      </c>
      <c r="R254" s="166">
        <f t="shared" si="111"/>
        <v>782490</v>
      </c>
      <c r="U254" s="140"/>
    </row>
    <row r="255" spans="8:21" s="1" customFormat="1" ht="16.5" customHeight="1">
      <c r="H255" s="137"/>
      <c r="I255" s="2">
        <v>3</v>
      </c>
      <c r="J255" s="2">
        <f t="shared" si="106"/>
        <v>38790</v>
      </c>
      <c r="K255" s="2">
        <f>ROUNDDOWN(MAX(Sheet2!E57*44.16% + C25*30% - C39*1.149%,0)*125.8 + MAX(Sheet2!E57*28.26% + C25*30% - C39*89.637%,0)*153.8 + MAX(Sheet2!E57*27.58% + C25*40% - C39*9.2139%,0)*172.4,0)</f>
        <v>301810</v>
      </c>
      <c r="L255" s="166">
        <f>INT(MAX(Sheet2!E57+C25-C39,0)*9)</f>
        <v>18026</v>
      </c>
      <c r="M255" s="166">
        <f>INT(MAX(Sheet2!E57+C25-C39,0)*5)</f>
        <v>10014</v>
      </c>
      <c r="N255" s="2">
        <f t="shared" si="107"/>
        <v>368640</v>
      </c>
      <c r="O255" s="2">
        <f t="shared" si="108"/>
        <v>36864</v>
      </c>
      <c r="P255" s="2">
        <f t="shared" si="109"/>
        <v>9950</v>
      </c>
      <c r="Q255" s="2">
        <f t="shared" si="110"/>
        <v>415450</v>
      </c>
      <c r="R255" s="166">
        <f t="shared" si="111"/>
        <v>153970</v>
      </c>
      <c r="U255" s="140"/>
    </row>
    <row r="256" spans="8:21" s="1" customFormat="1" ht="16.5" customHeight="1">
      <c r="H256" s="137"/>
      <c r="I256" s="2">
        <v>4</v>
      </c>
      <c r="J256" s="2">
        <f t="shared" si="106"/>
        <v>38790</v>
      </c>
      <c r="K256" s="2">
        <f>ROUNDDOWN(MAX(Sheet2!F57*42.51% + C26*30% - C40*2.6448%,0)*125.8 + MAX(Sheet2!F57*27.79% + C26*30% - C40*86.8176%,0)*153.8 + MAX(Sheet2!F57*29.7% + C26*40% - C40*10.5375%,0)*172.4,0)</f>
        <v>242647</v>
      </c>
      <c r="L256" s="166">
        <f>INT(MAX(Sheet2!F57+C26-C40,0)*9)</f>
        <v>14377</v>
      </c>
      <c r="M256" s="166">
        <f>INT(MAX(Sheet2!F57+C26-C40,0)*5)</f>
        <v>7987</v>
      </c>
      <c r="N256" s="2">
        <f t="shared" si="107"/>
        <v>303801</v>
      </c>
      <c r="O256" s="2">
        <f t="shared" si="108"/>
        <v>30380</v>
      </c>
      <c r="P256" s="2">
        <f t="shared" si="109"/>
        <v>8200</v>
      </c>
      <c r="Q256" s="2">
        <f t="shared" si="110"/>
        <v>342380</v>
      </c>
      <c r="R256" s="166">
        <f t="shared" si="111"/>
        <v>79960</v>
      </c>
      <c r="U256" s="140"/>
    </row>
    <row r="257" spans="8:21" s="1" customFormat="1" ht="16.5" customHeight="1">
      <c r="H257" s="137"/>
      <c r="I257" s="2">
        <v>5</v>
      </c>
      <c r="J257" s="2">
        <f t="shared" si="106"/>
        <v>38790</v>
      </c>
      <c r="K257" s="2">
        <f>ROUNDDOWN(MAX(Sheet2!G57*38.44% + C27*30% - C41*4.1831%,0)*125.8 + MAX(Sheet2!G57*30.44% + C27*30% - C41*84.4735%,0)*153.8 + MAX(Sheet2!G57*31.12% + C27*40% - C41*11.3434%,0)*172.4,0)</f>
        <v>213046</v>
      </c>
      <c r="L257" s="166">
        <f>INT(MAX(Sheet2!G57+C27-C41,0)*9)</f>
        <v>12583</v>
      </c>
      <c r="M257" s="166">
        <f>INT(MAX(Sheet2!G57+C27-C41,0)*5)</f>
        <v>6990</v>
      </c>
      <c r="N257" s="2">
        <f t="shared" si="107"/>
        <v>271409</v>
      </c>
      <c r="O257" s="2">
        <f t="shared" si="108"/>
        <v>27141</v>
      </c>
      <c r="P257" s="2">
        <f t="shared" si="109"/>
        <v>7320</v>
      </c>
      <c r="Q257" s="2">
        <f t="shared" si="110"/>
        <v>305870</v>
      </c>
      <c r="R257" s="166">
        <f t="shared" si="111"/>
        <v>58660</v>
      </c>
      <c r="U257" s="140"/>
    </row>
    <row r="258" spans="8:21" s="1" customFormat="1" ht="16.5" customHeight="1">
      <c r="H258" s="137"/>
      <c r="I258" s="2">
        <v>6</v>
      </c>
      <c r="J258" s="2">
        <f t="shared" si="106"/>
        <v>38790</v>
      </c>
      <c r="K258" s="2">
        <f>ROUNDDOWN(MAX(Sheet2!H57*31.92% + C28*30% - C42*4.7395%,0)*138.7 + MAX(Sheet2!H57*38.86% + C28*30% - C42*81.6742%,0)*184.7 + MAX(Sheet2!H57*29.22% + C28*40% - C42*13.5862%,0)*220.5,0)+INT(MAX(MAX(Sheet2!H57+C28-C42,0)-1000,0)*(736.2-IF(MAX(Sheet2!H57+C28-C42,0)=0,0,(ROUNDDOWN(MAX(Sheet2!H57*31.92% + C28*30% - C42*4.7395%,0)*138.7 + MAX(Sheet2!H57*38.86% + C28*30% - C42*81.6742%,0)*184.7 + MAX(Sheet2!H57*29.22% + C28*40% - C42*13.5862%,0)*220.5,0))/MAX(Sheet2!H57+C28-C42,0))))</f>
        <v>501076</v>
      </c>
      <c r="L258" s="166">
        <f>INT(MAX(Sheet2!H57+C28-C42,0)*9)</f>
        <v>12865</v>
      </c>
      <c r="M258" s="166">
        <f>INT(MAX(Sheet2!H57+C28-C42,0)*5)</f>
        <v>7147</v>
      </c>
      <c r="N258" s="2">
        <f t="shared" si="107"/>
        <v>559878</v>
      </c>
      <c r="O258" s="2">
        <f t="shared" si="108"/>
        <v>55988</v>
      </c>
      <c r="P258" s="2">
        <f t="shared" si="109"/>
        <v>15110</v>
      </c>
      <c r="Q258" s="2">
        <f t="shared" si="110"/>
        <v>630970</v>
      </c>
      <c r="R258" s="166">
        <f t="shared" si="111"/>
        <v>121690</v>
      </c>
      <c r="U258" s="140"/>
    </row>
    <row r="259" spans="8:21" s="1" customFormat="1" ht="16.5" customHeight="1">
      <c r="H259" s="137"/>
      <c r="I259" s="2">
        <v>7</v>
      </c>
      <c r="J259" s="2">
        <f t="shared" si="106"/>
        <v>38790</v>
      </c>
      <c r="K259" s="2">
        <f>ROUNDDOWN(MAX(Sheet2!I57*26.8% + C29*30% - C43*3.6986%,0)*138.7 + MAX(Sheet2!I57*43.76% + C29*30% - C43*81.8888%,0)*184.7 + MAX(Sheet2!I57*29.44% + C29*40% - C43*14.4126%,0)*220.5,0)+INT(MAX(MAX(Sheet2!I57+C29-C43,0)-1000,0)*(736.2-IF(MAX(Sheet2!I57+C29-C43,0)=0,0,(ROUNDDOWN(MAX(Sheet2!I57*26.8% + C29*30% - C43*3.6986%,0)*138.7 + MAX(Sheet2!I57*43.76% + C29*30% - C43*81.8888%,0)*184.7 + MAX(Sheet2!I57*29.44% + C29*40% - C43*14.4126%,0)*220.5,0))/MAX(Sheet2!I57+C29-C43,0))))</f>
        <v>751270</v>
      </c>
      <c r="L259" s="166">
        <f>INT(MAX(Sheet2!I57+C29-C43,0)*9)</f>
        <v>15921</v>
      </c>
      <c r="M259" s="166">
        <f>INT(MAX(Sheet2!I57+C29-C43,0)*5)</f>
        <v>8845</v>
      </c>
      <c r="N259" s="2">
        <f t="shared" si="107"/>
        <v>814826</v>
      </c>
      <c r="O259" s="2">
        <f t="shared" si="108"/>
        <v>81483</v>
      </c>
      <c r="P259" s="2">
        <f t="shared" si="109"/>
        <v>22000</v>
      </c>
      <c r="Q259" s="2">
        <f t="shared" si="110"/>
        <v>918300</v>
      </c>
      <c r="R259" s="166">
        <f t="shared" si="111"/>
        <v>89090</v>
      </c>
      <c r="U259" s="140"/>
    </row>
    <row r="260" spans="8:21" s="1" customFormat="1" ht="16.5" customHeight="1">
      <c r="H260" s="137"/>
      <c r="I260" s="2">
        <v>8</v>
      </c>
      <c r="J260" s="2">
        <f t="shared" si="106"/>
        <v>38790</v>
      </c>
      <c r="K260" s="2">
        <f>ROUNDDOWN(MAX(Sheet2!J57*26.88% + C30*30% - C44*3.2913%,0)*138.7 + MAX(Sheet2!J57*45.15% + C30*30% - C44*85.89%,0)*184.7 + MAX(Sheet2!J57*27.97% + C30*40% - C44*10.8187%,0)*220.5,0)+INT(MAX(MAX(Sheet2!J57+C30-C44,0)-1000,0)*(736.2-IF(MAX(Sheet2!J57+C30-C44,0)=0,0,(ROUNDDOWN(MAX(Sheet2!J57*26.88% + C30*30% - C44*3.2913%,0)*138.7 + MAX(Sheet2!J57*45.15% + C30*30% - C44*85.89%,0)*184.7 + MAX(Sheet2!J57*27.97% + C30*40% - C44*10.8187%,0)*220.5,0))/MAX(Sheet2!J57+C30-C44,0))))</f>
        <v>1071525</v>
      </c>
      <c r="L260" s="166">
        <f>INT(MAX(Sheet2!J57+C30-C44,0)*9)</f>
        <v>19836</v>
      </c>
      <c r="M260" s="166">
        <f>INT(MAX(Sheet2!J57+C30-C44,0)*5)</f>
        <v>11020</v>
      </c>
      <c r="N260" s="2">
        <f t="shared" si="107"/>
        <v>1141171</v>
      </c>
      <c r="O260" s="2">
        <f t="shared" si="108"/>
        <v>114117</v>
      </c>
      <c r="P260" s="2">
        <f t="shared" si="109"/>
        <v>30810</v>
      </c>
      <c r="Q260" s="2">
        <f t="shared" si="110"/>
        <v>1286090</v>
      </c>
      <c r="R260" s="166">
        <f t="shared" si="111"/>
        <v>88720</v>
      </c>
      <c r="U260" s="140"/>
    </row>
    <row r="261" spans="8:21" s="1" customFormat="1" ht="16.5" customHeight="1">
      <c r="H261" s="137"/>
      <c r="I261" s="2">
        <v>9</v>
      </c>
      <c r="J261" s="2">
        <f t="shared" si="106"/>
        <v>38790</v>
      </c>
      <c r="K261" s="2">
        <f>ROUNDDOWN(MAX(Sheet2!K57*30.32% + C31*30% - C45*2.4481%,0)*125.8 + MAX(Sheet2!K57*40.48% + C31*30% - C45*89.5608%,0)*153.8 + MAX(Sheet2!K57*29.2% + C31*40% - C45*7.9911%,0)*172.4,0)</f>
        <v>319976</v>
      </c>
      <c r="L261" s="166">
        <f>INT(MAX(Sheet2!K57+C31-C45,0)*9)</f>
        <v>18858</v>
      </c>
      <c r="M261" s="166">
        <f>INT(MAX(Sheet2!K57+C31-C45,0)*5)</f>
        <v>10476</v>
      </c>
      <c r="N261" s="2">
        <f t="shared" si="107"/>
        <v>388100</v>
      </c>
      <c r="O261" s="2">
        <f t="shared" si="108"/>
        <v>38810</v>
      </c>
      <c r="P261" s="2">
        <f t="shared" si="109"/>
        <v>10470</v>
      </c>
      <c r="Q261" s="2">
        <f t="shared" si="110"/>
        <v>437380</v>
      </c>
      <c r="R261" s="166">
        <f t="shared" si="111"/>
        <v>53550</v>
      </c>
      <c r="U261" s="140"/>
    </row>
    <row r="262" spans="8:21" s="1" customFormat="1" ht="16.5" customHeight="1">
      <c r="H262" s="137"/>
      <c r="I262" s="2">
        <v>10</v>
      </c>
      <c r="J262" s="2">
        <f t="shared" si="106"/>
        <v>38790</v>
      </c>
      <c r="K262" s="2">
        <f>ROUNDDOWN(MAX(Sheet2!L57*42.34% + C32*30% - C46*1.3153%,0)*125.8 + MAX(Sheet2!L57*28.1% + C32*30% - C46*93.9251%,0)*153.8 + MAX(Sheet2!L57*29.56% + C32*40% - C46*4.7596%,0)*172.4,0)</f>
        <v>244044</v>
      </c>
      <c r="L262" s="166">
        <f>INT(MAX(Sheet2!L57+C32-C46,0)*9)</f>
        <v>14438</v>
      </c>
      <c r="M262" s="166">
        <f>INT(MAX(Sheet2!L57+C32-C46,0)*5)</f>
        <v>8021</v>
      </c>
      <c r="N262" s="2">
        <f t="shared" si="107"/>
        <v>305293</v>
      </c>
      <c r="O262" s="2">
        <f t="shared" si="108"/>
        <v>30529</v>
      </c>
      <c r="P262" s="2">
        <f t="shared" si="109"/>
        <v>8240</v>
      </c>
      <c r="Q262" s="2">
        <f t="shared" si="110"/>
        <v>344060</v>
      </c>
      <c r="R262" s="166">
        <f t="shared" si="111"/>
        <v>68040</v>
      </c>
      <c r="U262" s="140"/>
    </row>
    <row r="263" spans="8:21" s="1" customFormat="1" ht="16.5" customHeight="1">
      <c r="H263" s="137"/>
      <c r="I263" s="2">
        <v>11</v>
      </c>
      <c r="J263" s="2">
        <f t="shared" si="106"/>
        <v>38790</v>
      </c>
      <c r="K263" s="2">
        <f>ROUNDDOWN(MAX(Sheet2!M57*44.43% + C33*30% - C47*0.3291%,0)*138.7 + MAX(Sheet2!M57*27.22% + C33*30% - C47*97.1714%,0)*184.7 + MAX(Sheet2!M57*28.35% + C33*40% - C47*2.4994%,0)*220.5,0)+INT(MAX(MAX(Sheet2!M57+C33-C47,0)-1000,0)*(736.2-IF(MAX(Sheet2!M57+C33-C47,0)=0,0,(ROUNDDOWN(MAX(Sheet2!M57*44.43% + C33*30% - C47*0.3291%,0)*138.7 + MAX(Sheet2!M57*27.22% + C33*30% - C47*97.1714%,0)*184.7 + MAX(Sheet2!M57*28.35% + C33*40% - C47*2.4994%,0)*220.5,0))/MAX(Sheet2!M57+C33-C47,0))))</f>
        <v>686211</v>
      </c>
      <c r="L263" s="166">
        <f>INT(MAX(Sheet2!M57+C33-C47,0)*9)</f>
        <v>15152</v>
      </c>
      <c r="M263" s="166">
        <f>INT(MAX(Sheet2!M57+C33-C47,0)*5)</f>
        <v>8418</v>
      </c>
      <c r="N263" s="2">
        <f t="shared" si="107"/>
        <v>748571</v>
      </c>
      <c r="O263" s="2">
        <f t="shared" si="108"/>
        <v>74857</v>
      </c>
      <c r="P263" s="2">
        <f t="shared" si="109"/>
        <v>20210</v>
      </c>
      <c r="Q263" s="2">
        <f t="shared" si="110"/>
        <v>843630</v>
      </c>
      <c r="R263" s="166">
        <f t="shared" si="111"/>
        <v>329800</v>
      </c>
      <c r="U263" s="140"/>
    </row>
    <row r="264" spans="8:21" s="1" customFormat="1" ht="16.5" customHeight="1">
      <c r="H264" s="152"/>
      <c r="I264" s="67">
        <v>12</v>
      </c>
      <c r="J264" s="159">
        <f t="shared" si="106"/>
        <v>38790</v>
      </c>
      <c r="K264" s="67">
        <f>ROUNDDOWN(MAX(Sheet2!N57*43.82% + C34*30% - C48*0.0353%,0)*138.7 + MAX(Sheet2!N57*28.18% + C34*30% - C48*97.784%,0)*184.7 + MAX(Sheet2!N57*28% + C34*40% - C48*2.1807%,0)*220.5,0)+INT(MAX(MAX(Sheet2!N57+C34-C48,0)-1000,0)*(736.2-IF(MAX(Sheet2!N57+C34-C48,0)=0,0,(ROUNDDOWN(MAX(Sheet2!N57*43.82% + C34*30% - C48*0.0353%,0)*138.7 + MAX(Sheet2!N57*28.18% + C34*30% - C48*97.784%,0)*184.7 + MAX(Sheet2!N57*28% + C34*40% - C48*2.1807%,0)*220.5,0))/MAX(Sheet2!N57+C34-C48,0))))</f>
        <v>943734</v>
      </c>
      <c r="L264" s="167">
        <f>INT(MAX(Sheet2!N57+C34-C48,0)*9)</f>
        <v>18314</v>
      </c>
      <c r="M264" s="167">
        <f>INT(MAX(Sheet2!N57+C34-C48,0)*5)</f>
        <v>10174</v>
      </c>
      <c r="N264" s="159">
        <f t="shared" si="107"/>
        <v>1011012</v>
      </c>
      <c r="O264" s="159">
        <f t="shared" si="108"/>
        <v>101101</v>
      </c>
      <c r="P264" s="159">
        <f t="shared" si="109"/>
        <v>27290</v>
      </c>
      <c r="Q264" s="159">
        <f t="shared" si="110"/>
        <v>1139400</v>
      </c>
      <c r="R264" s="167">
        <f t="shared" si="111"/>
        <v>578400</v>
      </c>
      <c r="S264" s="159"/>
      <c r="T264" s="159"/>
      <c r="U264" s="155"/>
    </row>
  </sheetData>
  <phoneticPr fontId="4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Sheet2</vt:lpstr>
      <vt:lpstr>Sheet3</vt:lpstr>
      <vt:lpstr>목록</vt:lpstr>
      <vt:lpstr>외기온도_시간분포</vt:lpstr>
      <vt:lpstr>COP_계산기</vt:lpstr>
      <vt:lpstr>전기요금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이효은</dc:creator>
  <cp:lastModifiedBy>이효은</cp:lastModifiedBy>
  <dcterms:created xsi:type="dcterms:W3CDTF">2026-06-15T05:55:38Z</dcterms:created>
  <dcterms:modified xsi:type="dcterms:W3CDTF">2026-06-15T07:01:09Z</dcterms:modified>
</cp:coreProperties>
</file>