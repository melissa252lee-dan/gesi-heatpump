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48B0BDDA-3FD4-4BD8-82B0-6854E34ECB5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" i="1" l="1"/>
  <c r="G80" i="1"/>
  <c r="G81" i="1" s="1"/>
  <c r="G82" i="1" s="1"/>
  <c r="G78" i="1"/>
  <c r="G77" i="1" a="1"/>
  <c r="G77" i="1" s="1"/>
  <c r="G65" i="1" a="1"/>
  <c r="G65" i="1" s="1"/>
  <c r="C14" i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7" i="1"/>
  <c r="B49" i="1"/>
  <c r="F42" i="1"/>
  <c r="E42" i="1"/>
  <c r="D41" i="1"/>
  <c r="D42" i="1" s="1"/>
  <c r="C41" i="1"/>
  <c r="C42" i="1" s="1"/>
  <c r="D40" i="1"/>
  <c r="C40" i="1"/>
  <c r="D37" i="1"/>
  <c r="N24" i="1"/>
  <c r="M24" i="1"/>
  <c r="L24" i="1"/>
  <c r="K24" i="1"/>
  <c r="J24" i="1"/>
  <c r="I24" i="1"/>
  <c r="H24" i="1"/>
  <c r="G24" i="1"/>
  <c r="F24" i="1"/>
  <c r="E24" i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0" i="1"/>
  <c r="H17" i="5"/>
  <c r="N21" i="5"/>
  <c r="E13" i="3"/>
  <c r="E14" i="3"/>
  <c r="D9" i="3"/>
  <c r="E15" i="3"/>
  <c r="D10" i="3"/>
  <c r="E16" i="3"/>
  <c r="N14" i="5"/>
  <c r="H26" i="5"/>
  <c r="E5" i="3"/>
  <c r="H18" i="1"/>
  <c r="E50" i="1"/>
  <c r="J17" i="5"/>
  <c r="D16" i="3"/>
  <c r="O24" i="5"/>
  <c r="D2" i="3"/>
  <c r="E7" i="3"/>
  <c r="J18" i="1"/>
  <c r="G50" i="1"/>
  <c r="F13" i="5"/>
  <c r="O13" i="5" s="1"/>
  <c r="L17" i="5"/>
  <c r="E22" i="5"/>
  <c r="O22" i="5" s="1"/>
  <c r="K26" i="5"/>
  <c r="E8" i="3"/>
  <c r="K18" i="1"/>
  <c r="H50" i="1"/>
  <c r="G13" i="5"/>
  <c r="M17" i="5"/>
  <c r="E6" i="3"/>
  <c r="I18" i="1"/>
  <c r="F50" i="1"/>
  <c r="D3" i="3"/>
  <c r="E9" i="3"/>
  <c r="L18" i="1"/>
  <c r="I50" i="1"/>
  <c r="H13" i="5"/>
  <c r="N17" i="5"/>
  <c r="I13" i="5"/>
  <c r="H22" i="5"/>
  <c r="C25" i="5"/>
  <c r="N26" i="5"/>
  <c r="D11" i="3"/>
  <c r="E4" i="3"/>
  <c r="D50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0" i="1"/>
  <c r="E11" i="3"/>
  <c r="K50" i="1"/>
  <c r="C18" i="5"/>
  <c r="O18" i="5" s="1"/>
  <c r="I22" i="5"/>
  <c r="D6" i="3"/>
  <c r="E12" i="3"/>
  <c r="L50" i="1"/>
  <c r="O20" i="5"/>
  <c r="J22" i="5"/>
  <c r="M50" i="1"/>
  <c r="N50" i="1"/>
  <c r="O18" i="1" l="1"/>
  <c r="O25" i="5"/>
  <c r="P24" i="5"/>
  <c r="R24" i="5" s="1"/>
  <c r="O21" i="5"/>
  <c r="P12" i="5"/>
  <c r="R12" i="5" s="1"/>
  <c r="P16" i="5"/>
  <c r="T252" i="6" l="1"/>
  <c r="T239" i="6"/>
  <c r="T96" i="6"/>
  <c r="T226" i="6"/>
  <c r="T83" i="6"/>
  <c r="T213" i="6"/>
  <c r="T70" i="6"/>
  <c r="T200" i="6"/>
  <c r="T57" i="6"/>
  <c r="T187" i="6"/>
  <c r="T174" i="6"/>
  <c r="T161" i="6"/>
  <c r="T148" i="6"/>
  <c r="C43" i="1"/>
  <c r="T135" i="6"/>
  <c r="T122" i="6"/>
  <c r="T109" i="6"/>
  <c r="R16" i="5"/>
  <c r="O50" i="1"/>
  <c r="T44" i="6"/>
  <c r="T31" i="6"/>
  <c r="T18" i="6"/>
  <c r="T5" i="6"/>
  <c r="D43" i="1"/>
  <c r="F43" i="1"/>
  <c r="F65" i="1" s="1"/>
  <c r="E43" i="1"/>
  <c r="E65" i="1" s="1"/>
  <c r="J9" i="1" l="1"/>
  <c r="J10" i="1" s="1"/>
  <c r="I9" i="1"/>
  <c r="I10" i="1" s="1"/>
  <c r="E66" i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F66" i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D65" i="1"/>
  <c r="C65" i="1"/>
  <c r="K48" i="1"/>
  <c r="K56" i="1" s="1"/>
  <c r="J48" i="1"/>
  <c r="J56" i="1" s="1"/>
  <c r="I48" i="1"/>
  <c r="I56" i="1" s="1"/>
  <c r="E48" i="1"/>
  <c r="E56" i="1" s="1"/>
  <c r="D48" i="1"/>
  <c r="D56" i="1" s="1"/>
  <c r="C48" i="1"/>
  <c r="C56" i="1" s="1"/>
  <c r="H48" i="1"/>
  <c r="H56" i="1" s="1"/>
  <c r="L48" i="1"/>
  <c r="L56" i="1" s="1"/>
  <c r="F48" i="1"/>
  <c r="F56" i="1" s="1"/>
  <c r="G48" i="1"/>
  <c r="G56" i="1" s="1"/>
  <c r="N48" i="1"/>
  <c r="N56" i="1" s="1"/>
  <c r="M48" i="1"/>
  <c r="M56" i="1" s="1"/>
  <c r="L46" i="1"/>
  <c r="L54" i="1" s="1"/>
  <c r="J46" i="1"/>
  <c r="J54" i="1" s="1"/>
  <c r="I46" i="1"/>
  <c r="I54" i="1" s="1"/>
  <c r="E46" i="1"/>
  <c r="E54" i="1" s="1"/>
  <c r="D46" i="1"/>
  <c r="D54" i="1" s="1"/>
  <c r="C46" i="1"/>
  <c r="C54" i="1" s="1"/>
  <c r="K46" i="1"/>
  <c r="K54" i="1" s="1"/>
  <c r="G46" i="1"/>
  <c r="G54" i="1" s="1"/>
  <c r="H46" i="1"/>
  <c r="H54" i="1" s="1"/>
  <c r="F46" i="1"/>
  <c r="F54" i="1" s="1"/>
  <c r="N46" i="1"/>
  <c r="N54" i="1" s="1"/>
  <c r="M46" i="1"/>
  <c r="M54" i="1" s="1"/>
  <c r="N47" i="1"/>
  <c r="N55" i="1" s="1"/>
  <c r="M47" i="1"/>
  <c r="M55" i="1" s="1"/>
  <c r="L47" i="1"/>
  <c r="L55" i="1" s="1"/>
  <c r="E47" i="1"/>
  <c r="C47" i="1"/>
  <c r="C55" i="1" s="1"/>
  <c r="K47" i="1"/>
  <c r="K55" i="1" s="1"/>
  <c r="J47" i="1"/>
  <c r="J55" i="1" s="1"/>
  <c r="G47" i="1"/>
  <c r="G55" i="1" s="1"/>
  <c r="I47" i="1"/>
  <c r="I55" i="1" s="1"/>
  <c r="H47" i="1"/>
  <c r="H55" i="1" s="1"/>
  <c r="F47" i="1"/>
  <c r="D47" i="1"/>
  <c r="D55" i="1" s="1"/>
  <c r="N45" i="1"/>
  <c r="N53" i="1" s="1"/>
  <c r="M45" i="1"/>
  <c r="M53" i="1" s="1"/>
  <c r="L45" i="1"/>
  <c r="L53" i="1" s="1"/>
  <c r="K45" i="1"/>
  <c r="K53" i="1" s="1"/>
  <c r="J45" i="1"/>
  <c r="J53" i="1" s="1"/>
  <c r="G45" i="1"/>
  <c r="G53" i="1" s="1"/>
  <c r="E45" i="1"/>
  <c r="E53" i="1" s="1"/>
  <c r="I45" i="1"/>
  <c r="I53" i="1" s="1"/>
  <c r="H45" i="1"/>
  <c r="H53" i="1" s="1"/>
  <c r="F45" i="1"/>
  <c r="F53" i="1" s="1"/>
  <c r="C45" i="1"/>
  <c r="C53" i="1" s="1"/>
  <c r="D45" i="1"/>
  <c r="D53" i="1" s="1"/>
  <c r="F83" i="1" l="1"/>
  <c r="G76" i="1"/>
  <c r="G71" i="1"/>
  <c r="G72" i="1"/>
  <c r="G74" i="1"/>
  <c r="G66" i="1"/>
  <c r="G73" i="1"/>
  <c r="G70" i="1"/>
  <c r="G67" i="1"/>
  <c r="G69" i="1"/>
  <c r="G75" i="1"/>
  <c r="G68" i="1"/>
  <c r="C66" i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E83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E55" i="1"/>
  <c r="F55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N112" i="6" s="1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G83" i="1" l="1"/>
  <c r="N115" i="6"/>
  <c r="P115" i="6" s="1"/>
  <c r="N216" i="6"/>
  <c r="P216" i="6" s="1"/>
  <c r="D83" i="1"/>
  <c r="N123" i="6"/>
  <c r="P123" i="6" s="1"/>
  <c r="C83" i="1"/>
  <c r="N229" i="6"/>
  <c r="O229" i="6" s="1"/>
  <c r="N157" i="6"/>
  <c r="N201" i="6"/>
  <c r="N256" i="6"/>
  <c r="N223" i="6"/>
  <c r="O223" i="6" s="1"/>
  <c r="N140" i="6"/>
  <c r="P140" i="6" s="1"/>
  <c r="N257" i="6"/>
  <c r="N232" i="6"/>
  <c r="O232" i="6" s="1"/>
  <c r="N111" i="6"/>
  <c r="P111" i="6" s="1"/>
  <c r="N47" i="6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O157" i="6"/>
  <c r="P157" i="6"/>
  <c r="N190" i="6"/>
  <c r="O201" i="6"/>
  <c r="P201" i="6"/>
  <c r="O256" i="6"/>
  <c r="P256" i="6"/>
  <c r="P223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P155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O29" i="6"/>
  <c r="N38" i="6"/>
  <c r="N41" i="6"/>
  <c r="N10" i="6"/>
  <c r="P56" i="6"/>
  <c r="O56" i="6"/>
  <c r="N34" i="6"/>
  <c r="N7" i="6"/>
  <c r="N26" i="6"/>
  <c r="P47" i="6"/>
  <c r="O47" i="6"/>
  <c r="N13" i="6"/>
  <c r="P222" i="6" l="1"/>
  <c r="O14" i="6"/>
  <c r="O123" i="6"/>
  <c r="O30" i="6"/>
  <c r="P229" i="6"/>
  <c r="O185" i="6"/>
  <c r="O140" i="6"/>
  <c r="P179" i="6"/>
  <c r="P105" i="6"/>
  <c r="P84" i="6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P120" i="6"/>
  <c r="Q120" i="6" s="1"/>
  <c r="R120" i="6" s="1"/>
  <c r="O244" i="6"/>
  <c r="O124" i="6"/>
  <c r="Q124" i="6" s="1"/>
  <c r="R124" i="6" s="1"/>
  <c r="O95" i="6"/>
  <c r="O162" i="6"/>
  <c r="Q162" i="6" s="1"/>
  <c r="R162" i="6" s="1"/>
  <c r="O55" i="6"/>
  <c r="O158" i="6"/>
  <c r="O205" i="6"/>
  <c r="P220" i="6"/>
  <c r="Q220" i="6" s="1"/>
  <c r="R220" i="6" s="1"/>
  <c r="P250" i="6"/>
  <c r="Q250" i="6" s="1"/>
  <c r="R250" i="6" s="1"/>
  <c r="P245" i="6"/>
  <c r="P197" i="6"/>
  <c r="Q197" i="6" s="1"/>
  <c r="R197" i="6" s="1"/>
  <c r="P90" i="6"/>
  <c r="Q90" i="6" s="1"/>
  <c r="R90" i="6" s="1"/>
  <c r="P232" i="6"/>
  <c r="O79" i="6"/>
  <c r="Q79" i="6" s="1"/>
  <c r="R79" i="6" s="1"/>
  <c r="O147" i="6"/>
  <c r="Q147" i="6" s="1"/>
  <c r="R147" i="6" s="1"/>
  <c r="Q201" i="6"/>
  <c r="R201" i="6" s="1"/>
  <c r="O51" i="6"/>
  <c r="P46" i="6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O224" i="6"/>
  <c r="Q224" i="6" s="1"/>
  <c r="R224" i="6" s="1"/>
  <c r="P130" i="6"/>
  <c r="Q130" i="6" s="1"/>
  <c r="R130" i="6" s="1"/>
  <c r="O73" i="6"/>
  <c r="Q73" i="6" s="1"/>
  <c r="R73" i="6" s="1"/>
  <c r="O166" i="6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Q95" i="6"/>
  <c r="R95" i="6" s="1"/>
  <c r="O126" i="6"/>
  <c r="Q126" i="6" s="1"/>
  <c r="R126" i="6" s="1"/>
  <c r="Q185" i="6"/>
  <c r="R185" i="6" s="1"/>
  <c r="P75" i="6"/>
  <c r="Q75" i="6" s="1"/>
  <c r="R75" i="6" s="1"/>
  <c r="P64" i="6"/>
  <c r="Q64" i="6" s="1"/>
  <c r="R64" i="6" s="1"/>
  <c r="O37" i="6"/>
  <c r="Q37" i="6" s="1"/>
  <c r="R37" i="6" s="1"/>
  <c r="Q84" i="6"/>
  <c r="R84" i="6" s="1"/>
  <c r="P48" i="6"/>
  <c r="Q48" i="6" s="1"/>
  <c r="R48" i="6" s="1"/>
  <c r="Q223" i="6"/>
  <c r="R223" i="6" s="1"/>
  <c r="P219" i="6"/>
  <c r="Q219" i="6" s="1"/>
  <c r="R219" i="6" s="1"/>
  <c r="Q30" i="6"/>
  <c r="R30" i="6" s="1"/>
  <c r="O233" i="6"/>
  <c r="Q233" i="6" s="1"/>
  <c r="R233" i="6" s="1"/>
  <c r="O85" i="6"/>
  <c r="Q85" i="6" s="1"/>
  <c r="R85" i="6" s="1"/>
  <c r="O59" i="6"/>
  <c r="Q59" i="6" s="1"/>
  <c r="R59" i="6" s="1"/>
  <c r="Q158" i="6"/>
  <c r="R158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Q195" i="6"/>
  <c r="R195" i="6" s="1"/>
  <c r="O89" i="6"/>
  <c r="Q89" i="6" s="1"/>
  <c r="R89" i="6" s="1"/>
  <c r="Q222" i="6"/>
  <c r="R222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Q245" i="6"/>
  <c r="R245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Q229" i="6"/>
  <c r="R229" i="6" s="1"/>
  <c r="O17" i="6"/>
  <c r="Q17" i="6" s="1"/>
  <c r="R17" i="6" s="1"/>
  <c r="P234" i="6"/>
  <c r="Q234" i="6" s="1"/>
  <c r="R234" i="6" s="1"/>
  <c r="O136" i="6"/>
  <c r="Q136" i="6" s="1"/>
  <c r="R136" i="6" s="1"/>
  <c r="Q140" i="6"/>
  <c r="R140" i="6" s="1"/>
  <c r="O25" i="6"/>
  <c r="Q25" i="6" s="1"/>
  <c r="R25" i="6" s="1"/>
  <c r="Q244" i="6"/>
  <c r="R244" i="6" s="1"/>
  <c r="O238" i="6"/>
  <c r="P238" i="6"/>
  <c r="O259" i="6"/>
  <c r="P259" i="6"/>
  <c r="O144" i="6"/>
  <c r="P144" i="6"/>
  <c r="O145" i="6"/>
  <c r="P145" i="6"/>
  <c r="P167" i="6"/>
  <c r="O167" i="6"/>
  <c r="Q105" i="6"/>
  <c r="R105" i="6" s="1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Q183" i="6" s="1"/>
  <c r="R183" i="6" s="1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Q198" i="6" s="1"/>
  <c r="R198" i="6" s="1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Q179" i="6"/>
  <c r="R179" i="6" s="1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Q205" i="6"/>
  <c r="R205" i="6" s="1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Q166" i="6"/>
  <c r="R166" i="6" s="1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Q232" i="6"/>
  <c r="R232" i="6" s="1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Q123" i="6"/>
  <c r="R123" i="6" s="1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29" i="6"/>
  <c r="R29" i="6" s="1"/>
  <c r="Q46" i="6"/>
  <c r="R46" i="6" s="1"/>
  <c r="Q14" i="6"/>
  <c r="R14" i="6" s="1"/>
  <c r="Q53" i="6"/>
  <c r="R53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72" i="6" l="1"/>
  <c r="R172" i="6" s="1"/>
  <c r="Q264" i="6"/>
  <c r="R264" i="6" s="1"/>
  <c r="Q101" i="6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R101" i="6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6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9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<sst xmlns="http://schemas.openxmlformats.org/spreadsheetml/2006/main" count="1039" uniqueCount="474">
  <si>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</si>
  <si>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</si>
  <si>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</si>
  <si>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</si>
  <si>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</si>
  <si>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</si>
  <si>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</si>
  <si>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</si>
  <si>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</si>
  <si>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</si>
  <si>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</si>
  <si>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</si>
  <si>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</si>
  <si>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</si>
  <si>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도시가스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</si>
  <si>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</si>
  <si>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</si>
  <si>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</si>
  <si>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</si>
  <si>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</si>
  <si>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</si>
  <si>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</si>
  <si>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</si>
  <si>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</si>
  <si>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</si>
  <si>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</si>
  <si>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</si>
  <si>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</si>
  <si>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</si>
  <si>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</si>
  <si>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</si>
  <si>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</si>
  <si>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</si>
  <si>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</si>
  <si>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</si>
  <si>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</si>
  <si>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</si>
  <si>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</si>
  <si>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</si>
  <si>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전기요금(입력)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</si>
  <si>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</si>
  <si>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</si>
  <si>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</si>
  <si>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</si>
  <si>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</si>
  <si>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</si>
  <si>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</si>
  <si>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</si>
  <si>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</si>
  <si>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</si>
  <si>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</si>
  <si>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</si>
  <si>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</si>
  <si>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</si>
  <si>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</si>
  <si>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</si>
  <si>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</si>
  <si>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</si>
  <si>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</si>
  <si>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</si>
  <si>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t>난방 에너지 수요(kWh)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</si>
  <si>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</si>
  <si>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</si>
  <si>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</si>
  <si>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</si>
  <si>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</si>
  <si>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</si>
  <si>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</si>
  <si>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</si>
  <si>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</si>
  <si>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</si>
  <si>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</si>
  <si>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</si>
  <si>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</si>
  <si>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</si>
  <si>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</si>
  <si>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</si>
  <si>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</si>
  <si>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</si>
  <si>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</si>
  <si>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</si>
  <si>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</si>
  <si>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</si>
  <si>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</si>
  <si>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</si>
  <si>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</si>
  <si>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</si>
  <si>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</si>
  <si>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</si>
  <si>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</si>
  <si>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</si>
  <si>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</si>
  <si>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</si>
  <si>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</si>
  <si>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</si>
  <si>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</si>
  <si>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</si>
  <si>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</si>
  <si>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</si>
  <si>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</si>
  <si>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</si>
  <si>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</si>
  <si>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</si>
  <si>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</si>
  <si>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</si>
  <si>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</si>
  <si>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</si>
  <si>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</si>
  <si>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</si>
  <si>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</si>
  <si>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</si>
  <si>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</si>
  <si>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</si>
  <si>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</si>
  <si>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</si>
  <si>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</si>
  <si>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</si>
  <si>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</si>
  <si>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</si>
  <si>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</si>
  <si>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</si>
  <si>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</si>
  <si>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</si>
  <si>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</si>
  <si>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</si>
  <si>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</si>
  <si>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</si>
  <si>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</si>
  <si>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</si>
  <si>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</si>
  <si>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</si>
  <si>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</si>
  <si>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</si>
  <si>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</si>
  <si>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</si>
  <si>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</si>
  <si>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</si>
  <si>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</si>
  <si>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</si>
  <si>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</si>
  <si>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</si>
  <si>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</si>
  <si>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</si>
  <si>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</si>
  <si>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</si>
  <si>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</si>
  <si>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</si>
  <si>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</si>
  <si>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</si>
  <si>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</si>
  <si>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</si>
  <si>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</si>
  <si>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</si>
  <si>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</si>
  <si>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</si>
  <si>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</si>
  <si>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</si>
  <si>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</si>
  <si>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</si>
  <si>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</si>
  <si>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</si>
  <si>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</si>
  <si>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</si>
  <si>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</si>
  <si>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</si>
  <si>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</si>
  <si>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</si>
  <si>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</si>
  <si>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</si>
  <si>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</si>
  <si>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</si>
  <si>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</si>
  <si>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</si>
  <si>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</si>
  <si>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</si>
  <si>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</si>
  <si>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</si>
  <si>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</si>
  <si>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</si>
  <si>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</si>
  <si>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</si>
  <si>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</si>
  <si>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</si>
  <si>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</si>
  <si>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</si>
  <si>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</si>
  <si>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</si>
  <si>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</si>
  <si>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</si>
  <si>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</si>
  <si>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</si>
  <si>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</si>
  <si>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</si>
  <si>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</si>
  <si>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</si>
  <si>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</si>
  <si>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</si>
  <si>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</si>
  <si>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</si>
  <si>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</si>
  <si>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</si>
  <si>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</si>
  <si>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</si>
  <si>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</si>
  <si>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</si>
  <si>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</si>
  <si>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</si>
  <si>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</si>
  <si>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</si>
  <si>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</si>
  <si>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</si>
  <si>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</si>
  <si>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</si>
  <si>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</si>
  <si>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</si>
  <si>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</si>
  <si>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</si>
  <si>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</si>
  <si>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</si>
  <si>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</si>
  <si>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</si>
  <si>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</si>
  <si>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</si>
  <si>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</si>
  <si>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</si>
  <si>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</si>
  <si>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</si>
  <si>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</si>
  <si>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</si>
  <si>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</si>
  <si>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</si>
  <si>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</si>
  <si>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</si>
  <si>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</si>
  <si>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</si>
  <si>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</si>
  <si>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</si>
  <si>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</si>
  <si>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</si>
  <si>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</si>
  <si>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</si>
  <si>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</si>
  <si>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</si>
  <si>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</si>
  <si>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</si>
  <si>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</si>
  <si>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</si>
  <si>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</si>
  <si>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</si>
  <si>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</si>
  <si>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</si>
  <si>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</si>
  <si>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</si>
  <si>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</si>
  <si>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</si>
  <si>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</si>
  <si>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</si>
  <si>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</si>
  <si>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</si>
  <si>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</si>
  <si>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</si>
  <si>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</si>
  <si>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</si>
  <si>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</si>
  <si>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</si>
  <si>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</si>
  <si>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</si>
  <si>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</si>
  <si>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</si>
  <si>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</si>
  <si>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</si>
  <si>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</si>
  <si>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</si>
  <si>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</si>
  <si>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</si>
  <si>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</si>
  <si>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</si>
  <si>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</si>
  <si>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</si>
  <si>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</si>
  <si>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</si>
  <si>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</si>
  <si>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</si>
  <si>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</si>
  <si>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</si>
  <si>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</si>
  <si>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</si>
  <si>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</si>
  <si>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</si>
  <si>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</si>
  <si>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</si>
  <si>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</si>
  <si>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</si>
  <si>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</si>
  <si>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</si>
  <si>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</si>
  <si>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</si>
  <si>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</si>
  <si>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</si>
  <si>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</si>
  <si>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</si>
  <si>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</si>
  <si>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</si>
  <si>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</si>
  <si>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</si>
  <si>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</si>
  <si>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</si>
  <si>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</si>
  <si>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</si>
  <si>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</si>
  <si>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</si>
  <si>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</si>
  <si>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</si>
  <si>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</si>
  <si>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</si>
  <si>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</si>
  <si>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</si>
  <si>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</si>
  <si>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</si>
  <si>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</si>
  <si>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</si>
  <si>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</si>
  <si>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</si>
  <si>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</si>
  <si>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</si>
  <si>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</si>
  <si>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</si>
  <si>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</si>
  <si>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</si>
  <si>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</si>
  <si>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</si>
  <si>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</si>
  <si>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</si>
  <si>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</si>
  <si>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</si>
  <si>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</si>
  <si>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</si>
  <si>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</si>
  <si>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</si>
  <si>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</si>
  <si>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</si>
  <si>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</si>
  <si>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</si>
  <si>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</si>
  <si>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</si>
  <si>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</si>
  <si>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</si>
  <si>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</si>
  <si>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</si>
  <si>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</si>
  <si>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</si>
  <si>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</si>
  <si>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</si>
  <si>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</si>
  <si>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</si>
  <si>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</si>
  <si>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</si>
  <si>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</si>
  <si>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</si>
  <si>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</si>
  <si>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</si>
  <si>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</si>
  <si>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</si>
  <si>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</si>
  <si>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</si>
  <si>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</si>
  <si>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</si>
  <si>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</si>
  <si>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</si>
  <si>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</si>
  <si>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</si>
  <si>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</si>
  <si>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</si>
  <si>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</si>
  <si>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</si>
  <si>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</si>
  <si>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</si>
  <si>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</si>
  <si>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</si>
  <si>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</si>
  <si>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</si>
  <si>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</si>
  <si>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</si>
  <si>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</si>
  <si>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</si>
  <si>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</si>
  <si>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</si>
  <si>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</si>
  <si>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</si>
  <si>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</si>
  <si>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</si>
  <si>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</si>
  <si>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</si>
  <si>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</si>
  <si>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</si>
  <si>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</si>
  <si>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</si>
  <si>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</si>
  <si>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</si>
  <si>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</si>
  <si>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</si>
  <si>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</si>
  <si>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</si>
  <si>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</si>
  <si>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</si>
  <si>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</si>
  <si>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</si>
  <si>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</si>
  <si>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</si>
  <si>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</si>
  <si>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</si>
  <si>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</si>
  <si>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</si>
  <si>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가전용 소비량(22년기준 가구패널 전국)</t>
    <phoneticPr fontId="52" type="noConversion"/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</si>
  <si>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</si>
  <si>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</si>
  <si>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</si>
  <si>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</si>
  <si>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</si>
  <si>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</si>
  <si>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</si>
  <si>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</si>
  <si>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</si>
  <si>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</si>
  <si>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</si>
  <si>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</si>
  <si>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</si>
  <si>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</si>
  <si>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</si>
  <si>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</si>
  <si>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</si>
  <si>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</si>
  <si>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</si>
  <si>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</si>
  <si>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</si>
  <si>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</si>
  <si>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</si>
  <si>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</si>
  <si>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</si>
  <si>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</si>
  <si>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</si>
  <si>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</si>
  <si>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</si>
  <si>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</si>
  <si>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</si>
  <si>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</si>
  <si>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</si>
  <si>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</si>
  <si>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</si>
  <si>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</si>
  <si>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</si>
  <si>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</si>
  <si>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</si>
  <si>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</si>
  <si>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</si>
  <si>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</si>
  <si>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</si>
  <si>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</si>
  <si>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</si>
  <si>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</si>
  <si>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</si>
  <si>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</si>
  <si>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</si>
  <si>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</si>
  <si>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</si>
  <si>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</si>
  <si>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</si>
  <si>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</si>
  <si>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</si>
  <si>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</si>
  <si>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</si>
  <si>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</si>
  <si>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</si>
  <si>
    <t>가스 콘덴싱보일러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</si>
</sst>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</numFmts>
  <fonts count="64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1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179" fontId="51" fillId="5" borderId="2" xfId="8" applyNumberFormat="1" applyBorder="1">
      <alignment vertical="center"/>
    </xf>
    <xf numFmtId="179" fontId="51" fillId="5" borderId="3" xfId="8" applyNumberFormat="1" applyBorder="1">
      <alignment vertical="center"/>
    </xf>
    <xf numFmtId="0" fontId="22" fillId="4" borderId="4" xfId="7" applyFont="1" applyBorder="1">
      <alignment vertical="center"/>
    </xf>
    <xf numFmtId="0" fontId="23" fillId="4" borderId="4" xfId="7" applyBorder="1">
      <alignment vertical="center"/>
    </xf>
    <xf numFmtId="2" fontId="51" fillId="5" borderId="4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4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5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7" xfId="0" applyFont="1" applyBorder="1">
      <alignment vertical="center"/>
    </xf>
    <xf numFmtId="0" fontId="14" fillId="0" borderId="8" xfId="0" applyFont="1" applyBorder="1">
      <alignment vertical="center"/>
    </xf>
    <xf numFmtId="182" fontId="51" fillId="0" borderId="9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9" xfId="0" applyNumberFormat="1" applyBorder="1">
      <alignment vertical="center"/>
    </xf>
    <xf numFmtId="0" fontId="14" fillId="0" borderId="10" xfId="0" applyFont="1" applyBorder="1">
      <alignment vertical="center"/>
    </xf>
    <xf numFmtId="0" fontId="0" fillId="0" borderId="11" xfId="0" applyBorder="1">
      <alignment vertical="center"/>
    </xf>
    <xf numFmtId="183" fontId="0" fillId="0" borderId="11" xfId="0" applyNumberFormat="1" applyBorder="1">
      <alignment vertical="center"/>
    </xf>
    <xf numFmtId="3" fontId="0" fillId="0" borderId="12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3" xfId="2" applyFont="1" applyFill="1" applyBorder="1" applyAlignment="1">
      <alignment horizontal="center" vertical="center" wrapText="1"/>
    </xf>
    <xf numFmtId="0" fontId="34" fillId="7" borderId="13" xfId="2" applyFont="1" applyFill="1" applyBorder="1" applyAlignment="1">
      <alignment horizontal="center" vertical="center" wrapText="1"/>
    </xf>
    <xf numFmtId="0" fontId="36" fillId="7" borderId="13" xfId="2" applyFont="1" applyFill="1" applyBorder="1" applyAlignment="1">
      <alignment horizontal="center" vertical="center" wrapText="1"/>
    </xf>
    <xf numFmtId="185" fontId="37" fillId="8" borderId="13" xfId="2" applyNumberFormat="1" applyFont="1" applyFill="1" applyBorder="1" applyAlignment="1">
      <alignment horizontal="center" vertical="center"/>
    </xf>
    <xf numFmtId="185" fontId="38" fillId="8" borderId="13" xfId="2" applyNumberFormat="1" applyFont="1" applyFill="1" applyBorder="1" applyAlignment="1">
      <alignment horizontal="center" vertical="center"/>
    </xf>
    <xf numFmtId="186" fontId="38" fillId="9" borderId="13" xfId="2" applyNumberFormat="1" applyFont="1" applyFill="1" applyBorder="1" applyAlignment="1">
      <alignment horizontal="center" vertical="center"/>
    </xf>
    <xf numFmtId="185" fontId="37" fillId="9" borderId="13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 wrapText="1"/>
    </xf>
    <xf numFmtId="0" fontId="34" fillId="10" borderId="13" xfId="2" applyFont="1" applyFill="1" applyBorder="1" applyAlignment="1">
      <alignment horizontal="center" vertical="center" wrapText="1"/>
    </xf>
    <xf numFmtId="0" fontId="36" fillId="10" borderId="13" xfId="2" applyFont="1" applyFill="1" applyBorder="1" applyAlignment="1">
      <alignment horizontal="center" vertical="center" wrapText="1"/>
    </xf>
    <xf numFmtId="185" fontId="37" fillId="11" borderId="13" xfId="2" applyNumberFormat="1" applyFont="1" applyFill="1" applyBorder="1" applyAlignment="1">
      <alignment horizontal="center" vertical="center"/>
    </xf>
    <xf numFmtId="185" fontId="38" fillId="11" borderId="13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 wrapText="1"/>
    </xf>
    <xf numFmtId="0" fontId="34" fillId="12" borderId="13" xfId="2" applyFont="1" applyFill="1" applyBorder="1" applyAlignment="1">
      <alignment horizontal="center" vertical="center" wrapText="1"/>
    </xf>
    <xf numFmtId="0" fontId="36" fillId="12" borderId="13" xfId="2" applyFont="1" applyFill="1" applyBorder="1" applyAlignment="1">
      <alignment horizontal="center" vertical="center" wrapText="1"/>
    </xf>
    <xf numFmtId="185" fontId="37" fillId="13" borderId="13" xfId="2" applyNumberFormat="1" applyFont="1" applyFill="1" applyBorder="1" applyAlignment="1">
      <alignment horizontal="center" vertical="center"/>
    </xf>
    <xf numFmtId="185" fontId="38" fillId="13" borderId="13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 wrapText="1"/>
    </xf>
    <xf numFmtId="0" fontId="34" fillId="14" borderId="13" xfId="2" applyFont="1" applyFill="1" applyBorder="1" applyAlignment="1">
      <alignment horizontal="center" vertical="center" wrapText="1"/>
    </xf>
    <xf numFmtId="0" fontId="36" fillId="14" borderId="13" xfId="2" applyFont="1" applyFill="1" applyBorder="1" applyAlignment="1">
      <alignment horizontal="center" vertical="center" wrapText="1"/>
    </xf>
    <xf numFmtId="185" fontId="37" fillId="15" borderId="13" xfId="2" applyNumberFormat="1" applyFont="1" applyFill="1" applyBorder="1" applyAlignment="1">
      <alignment horizontal="center" vertical="center"/>
    </xf>
    <xf numFmtId="185" fontId="38" fillId="15" borderId="13" xfId="2" applyNumberFormat="1" applyFont="1" applyFill="1" applyBorder="1" applyAlignment="1">
      <alignment horizontal="center" vertical="center"/>
    </xf>
    <xf numFmtId="1" fontId="41" fillId="16" borderId="15" xfId="2" applyNumberFormat="1" applyFont="1" applyFill="1" applyBorder="1" applyAlignment="1">
      <alignment horizontal="center" vertical="center"/>
    </xf>
    <xf numFmtId="2" fontId="41" fillId="16" borderId="15" xfId="2" applyNumberFormat="1" applyFont="1" applyFill="1" applyBorder="1" applyAlignment="1">
      <alignment horizontal="center" vertical="center"/>
    </xf>
    <xf numFmtId="185" fontId="41" fillId="16" borderId="15" xfId="2" applyNumberFormat="1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 wrapText="1"/>
    </xf>
    <xf numFmtId="0" fontId="34" fillId="6" borderId="13" xfId="2" applyFont="1" applyFill="1" applyBorder="1" applyAlignment="1">
      <alignment horizontal="center" vertical="center" wrapText="1"/>
    </xf>
    <xf numFmtId="0" fontId="34" fillId="17" borderId="13" xfId="2" applyFont="1" applyFill="1" applyBorder="1" applyAlignment="1">
      <alignment horizontal="center" vertical="center" wrapText="1"/>
    </xf>
    <xf numFmtId="0" fontId="33" fillId="18" borderId="13" xfId="2" applyFont="1" applyFill="1" applyBorder="1" applyAlignment="1">
      <alignment horizontal="center" vertical="center" wrapText="1"/>
    </xf>
    <xf numFmtId="0" fontId="33" fillId="7" borderId="16" xfId="2" applyFont="1" applyFill="1" applyBorder="1" applyAlignment="1">
      <alignment horizontal="center" vertical="center"/>
    </xf>
    <xf numFmtId="0" fontId="33" fillId="7" borderId="13" xfId="2" applyFont="1" applyFill="1" applyBorder="1" applyAlignment="1">
      <alignment horizontal="center" vertical="center"/>
    </xf>
    <xf numFmtId="0" fontId="37" fillId="7" borderId="16" xfId="2" applyFont="1" applyFill="1" applyBorder="1" applyAlignment="1">
      <alignment horizontal="center" vertical="center"/>
    </xf>
    <xf numFmtId="0" fontId="48" fillId="7" borderId="13" xfId="2" applyFont="1" applyFill="1" applyBorder="1" applyAlignment="1">
      <alignment horizontal="center" vertical="center"/>
    </xf>
    <xf numFmtId="1" fontId="37" fillId="8" borderId="13" xfId="2" applyNumberFormat="1" applyFont="1" applyFill="1" applyBorder="1" applyAlignment="1">
      <alignment horizontal="center" vertical="center"/>
    </xf>
    <xf numFmtId="1" fontId="38" fillId="8" borderId="13" xfId="2" applyNumberFormat="1" applyFont="1" applyFill="1" applyBorder="1" applyAlignment="1">
      <alignment horizontal="center" vertical="center"/>
    </xf>
    <xf numFmtId="2" fontId="37" fillId="8" borderId="13" xfId="2" applyNumberFormat="1" applyFont="1" applyFill="1" applyBorder="1" applyAlignment="1">
      <alignment horizontal="center" vertical="center"/>
    </xf>
    <xf numFmtId="2" fontId="38" fillId="8" borderId="13" xfId="2" applyNumberFormat="1" applyFont="1" applyFill="1" applyBorder="1" applyAlignment="1">
      <alignment horizontal="center" vertical="center"/>
    </xf>
    <xf numFmtId="0" fontId="33" fillId="10" borderId="16" xfId="2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7" fillId="10" borderId="16" xfId="2" applyFont="1" applyFill="1" applyBorder="1" applyAlignment="1">
      <alignment horizontal="center" vertical="center"/>
    </xf>
    <xf numFmtId="0" fontId="48" fillId="10" borderId="13" xfId="2" applyFont="1" applyFill="1" applyBorder="1" applyAlignment="1">
      <alignment horizontal="center" vertical="center"/>
    </xf>
    <xf numFmtId="1" fontId="37" fillId="11" borderId="13" xfId="2" applyNumberFormat="1" applyFont="1" applyFill="1" applyBorder="1" applyAlignment="1">
      <alignment horizontal="center" vertical="center"/>
    </xf>
    <xf numFmtId="1" fontId="38" fillId="11" borderId="13" xfId="2" applyNumberFormat="1" applyFont="1" applyFill="1" applyBorder="1" applyAlignment="1">
      <alignment horizontal="center" vertical="center"/>
    </xf>
    <xf numFmtId="2" fontId="37" fillId="11" borderId="13" xfId="2" applyNumberFormat="1" applyFont="1" applyFill="1" applyBorder="1" applyAlignment="1">
      <alignment horizontal="center" vertical="center"/>
    </xf>
    <xf numFmtId="2" fontId="38" fillId="11" borderId="13" xfId="2" applyNumberFormat="1" applyFont="1" applyFill="1" applyBorder="1" applyAlignment="1">
      <alignment horizontal="center" vertical="center"/>
    </xf>
    <xf numFmtId="0" fontId="33" fillId="12" borderId="16" xfId="2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7" fillId="12" borderId="16" xfId="2" applyFont="1" applyFill="1" applyBorder="1" applyAlignment="1">
      <alignment horizontal="center" vertical="center"/>
    </xf>
    <xf numFmtId="0" fontId="48" fillId="12" borderId="13" xfId="2" applyFont="1" applyFill="1" applyBorder="1" applyAlignment="1">
      <alignment horizontal="center" vertical="center"/>
    </xf>
    <xf numFmtId="1" fontId="37" fillId="13" borderId="13" xfId="2" applyNumberFormat="1" applyFont="1" applyFill="1" applyBorder="1" applyAlignment="1">
      <alignment horizontal="center" vertical="center"/>
    </xf>
    <xf numFmtId="1" fontId="38" fillId="13" borderId="13" xfId="2" applyNumberFormat="1" applyFont="1" applyFill="1" applyBorder="1" applyAlignment="1">
      <alignment horizontal="center" vertical="center"/>
    </xf>
    <xf numFmtId="2" fontId="37" fillId="13" borderId="13" xfId="2" applyNumberFormat="1" applyFont="1" applyFill="1" applyBorder="1" applyAlignment="1">
      <alignment horizontal="center" vertical="center"/>
    </xf>
    <xf numFmtId="2" fontId="38" fillId="13" borderId="13" xfId="2" applyNumberFormat="1" applyFont="1" applyFill="1" applyBorder="1" applyAlignment="1">
      <alignment horizontal="center" vertical="center"/>
    </xf>
    <xf numFmtId="0" fontId="33" fillId="14" borderId="16" xfId="2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7" fillId="14" borderId="16" xfId="2" applyFont="1" applyFill="1" applyBorder="1" applyAlignment="1">
      <alignment horizontal="center" vertical="center"/>
    </xf>
    <xf numFmtId="0" fontId="48" fillId="14" borderId="13" xfId="2" applyFont="1" applyFill="1" applyBorder="1" applyAlignment="1">
      <alignment horizontal="center" vertical="center"/>
    </xf>
    <xf numFmtId="1" fontId="37" fillId="15" borderId="13" xfId="2" applyNumberFormat="1" applyFont="1" applyFill="1" applyBorder="1" applyAlignment="1">
      <alignment horizontal="center" vertical="center"/>
    </xf>
    <xf numFmtId="1" fontId="38" fillId="15" borderId="13" xfId="2" applyNumberFormat="1" applyFont="1" applyFill="1" applyBorder="1" applyAlignment="1">
      <alignment horizontal="center" vertical="center"/>
    </xf>
    <xf numFmtId="2" fontId="37" fillId="15" borderId="13" xfId="2" applyNumberFormat="1" applyFont="1" applyFill="1" applyBorder="1" applyAlignment="1">
      <alignment horizontal="center" vertical="center"/>
    </xf>
    <xf numFmtId="2" fontId="38" fillId="15" borderId="13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5" xfId="0" applyBorder="1">
      <alignment vertical="center"/>
    </xf>
    <xf numFmtId="0" fontId="11" fillId="0" borderId="6" xfId="0" applyFont="1" applyBorder="1">
      <alignment vertical="center"/>
    </xf>
    <xf numFmtId="41" fontId="0" fillId="0" borderId="6" xfId="10" applyFont="1" applyFill="1" applyBorder="1">
      <alignment vertical="center"/>
    </xf>
    <xf numFmtId="9" fontId="51" fillId="0" borderId="7" xfId="1" applyBorder="1">
      <alignment vertical="center"/>
    </xf>
    <xf numFmtId="0" fontId="0" fillId="0" borderId="8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9" xfId="0" applyBorder="1" applyAlignment="1"/>
    <xf numFmtId="41" fontId="0" fillId="0" borderId="0" xfId="10" applyFont="1" applyFill="1" applyBorder="1">
      <alignment vertical="center"/>
    </xf>
    <xf numFmtId="9" fontId="51" fillId="0" borderId="9" xfId="1" applyBorder="1">
      <alignment vertical="center"/>
    </xf>
    <xf numFmtId="0" fontId="49" fillId="0" borderId="0" xfId="0" applyFont="1">
      <alignment vertical="center"/>
    </xf>
    <xf numFmtId="0" fontId="0" fillId="0" borderId="10" xfId="0" applyBorder="1">
      <alignment vertical="center"/>
    </xf>
    <xf numFmtId="1" fontId="0" fillId="0" borderId="11" xfId="0" applyNumberFormat="1" applyBorder="1">
      <alignment vertical="center"/>
    </xf>
    <xf numFmtId="41" fontId="0" fillId="0" borderId="11" xfId="10" applyFont="1" applyFill="1" applyBorder="1" applyAlignment="1"/>
    <xf numFmtId="0" fontId="0" fillId="0" borderId="12" xfId="0" applyBorder="1" applyAlignment="1"/>
    <xf numFmtId="0" fontId="0" fillId="0" borderId="6" xfId="0" applyBorder="1" applyAlignment="1"/>
    <xf numFmtId="190" fontId="0" fillId="0" borderId="8" xfId="10" applyNumberFormat="1" applyFont="1" applyFill="1" applyBorder="1">
      <alignment vertical="center"/>
    </xf>
    <xf numFmtId="0" fontId="0" fillId="0" borderId="11" xfId="0" applyBorder="1" applyAlignment="1"/>
    <xf numFmtId="41" fontId="0" fillId="0" borderId="6" xfId="10" applyFont="1" applyFill="1" applyBorder="1" applyAlignment="1"/>
    <xf numFmtId="2" fontId="0" fillId="0" borderId="0" xfId="0" applyNumberFormat="1" applyAlignment="1"/>
    <xf numFmtId="2" fontId="0" fillId="0" borderId="11" xfId="0" applyNumberFormat="1" applyBorder="1" applyAlignment="1"/>
    <xf numFmtId="0" fontId="56" fillId="0" borderId="0" xfId="0" applyFont="1">
      <alignment vertical="center"/>
    </xf>
    <xf numFmtId="0" fontId="56" fillId="0" borderId="11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3" xfId="2" applyNumberFormat="1" applyFont="1" applyFill="1" applyBorder="1" applyAlignment="1">
      <alignment horizontal="left" vertical="center"/>
    </xf>
    <xf numFmtId="186" fontId="32" fillId="12" borderId="13" xfId="2" applyNumberFormat="1" applyFont="1" applyFill="1" applyBorder="1" applyAlignment="1">
      <alignment horizontal="left" vertical="center"/>
    </xf>
    <xf numFmtId="186" fontId="32" fillId="14" borderId="13" xfId="2" applyNumberFormat="1" applyFont="1" applyFill="1" applyBorder="1" applyAlignment="1">
      <alignment horizontal="left" vertical="center"/>
    </xf>
    <xf numFmtId="2" fontId="45" fillId="17" borderId="17" xfId="2" applyNumberFormat="1" applyFont="1" applyFill="1" applyBorder="1" applyAlignment="1">
      <alignment horizontal="center" vertical="center"/>
    </xf>
    <xf numFmtId="185" fontId="46" fillId="18" borderId="18" xfId="2" applyNumberFormat="1" applyFont="1" applyFill="1" applyBorder="1" applyAlignment="1">
      <alignment horizontal="center" vertical="center"/>
    </xf>
    <xf numFmtId="0" fontId="47" fillId="19" borderId="18" xfId="2" applyFont="1" applyFill="1" applyBorder="1" applyAlignment="1">
      <alignment horizontal="center" vertical="center"/>
    </xf>
    <xf numFmtId="0" fontId="40" fillId="0" borderId="14" xfId="2" applyFont="1" applyBorder="1" applyAlignment="1">
      <alignment horizontal="left" vertical="center"/>
    </xf>
    <xf numFmtId="0" fontId="43" fillId="0" borderId="0" xfId="2" applyFont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39" fillId="6" borderId="0" xfId="2" applyFont="1" applyFill="1" applyAlignment="1">
      <alignment horizontal="center" vertical="center"/>
    </xf>
  </cellXfs>
  <cellStyles count="11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abSelected="1" zoomScaleNormal="100" workbookViewId="0">
      <selection activeCell="C13" sqref="C13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IF(C3&lt;20,6,IF(C3&lt;=28,10,IF(C3&lt;=35,12,16)))</f>
        <v>12</v>
      </c>
      <c r="D4"/>
      <c r="E4"/>
      <c r="F4"/>
    </row>
    <row r="5" spans="2:17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472</v>
      </c>
      <c r="E8" t="s">
        <v>473</v>
      </c>
      <c r="F8" t="s">
        <v>469</v>
      </c>
      <c r="G8" t="s">
        <v>470</v>
      </c>
      <c r="H8" t="s">
        <v>471</v>
      </c>
      <c r="I8" t="s">
        <v>460</v>
      </c>
      <c r="J8" t="s">
        <v>462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O50*100%</f>
        <v>3.1799323891634077</v>
      </c>
      <c r="J9" s="10">
        <f>O50*100%</f>
        <v>3.1799323891634077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0.13122920519382028</v>
      </c>
      <c r="J10" s="12">
        <f>(83.1/624.5)/J9</f>
        <v>4.1845686284398581E-2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14</v>
      </c>
      <c r="D13"/>
      <c r="E13" s="11" t="s">
        <v>466</v>
      </c>
      <c r="F13" s="11" t="s">
        <v>467</v>
      </c>
      <c r="G13" s="11" t="s">
        <v>468</v>
      </c>
    </row>
    <row r="14" spans="2:17">
      <c r="B14" s="9" t="s">
        <v>15</v>
      </c>
      <c r="C14" s="124">
        <f>IF(OR(TRIM(C13)="도시가스",TRIM(C13)="LPG"),84.75%,100%)</f>
        <v>0.84750000000000003</v>
      </c>
      <c r="D14" s="14"/>
    </row>
    <row r="15" spans="2:17">
      <c r="C15" s="15"/>
    </row>
    <row r="16" spans="2:17">
      <c r="B16" s="2" t="s">
        <v>16</v>
      </c>
      <c r="C16" s="2" t="s">
        <v>17</v>
      </c>
    </row>
    <row r="17" spans="1:15"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  <c r="L17" t="s">
        <v>27</v>
      </c>
      <c r="M17" t="s">
        <v>28</v>
      </c>
      <c r="N17" t="s">
        <v>29</v>
      </c>
      <c r="O17" s="9" t="s">
        <v>30</v>
      </c>
    </row>
    <row r="18" spans="1:15">
      <c r="B18" s="7" t="s">
        <v>31</v>
      </c>
      <c r="C18" s="16">
        <v>126616.00749781499</v>
      </c>
      <c r="D18">
        <f t="shared" ref="D18:N18" si="0">$C$18/$C$20*D20</f>
        <v>119219.79959760126</v>
      </c>
      <c r="E18">
        <f t="shared" si="0"/>
        <v>97031.175896959452</v>
      </c>
      <c r="F18">
        <f t="shared" si="0"/>
        <v>63782.167905171809</v>
      </c>
      <c r="G18">
        <f t="shared" si="0"/>
        <v>37403.490646381084</v>
      </c>
      <c r="H18">
        <f t="shared" si="0"/>
        <v>24651.39958215427</v>
      </c>
      <c r="I18">
        <f t="shared" si="0"/>
        <v>15673.872402117913</v>
      </c>
      <c r="J18">
        <f t="shared" si="0"/>
        <v>14353.156113062269</v>
      </c>
      <c r="K18">
        <f t="shared" si="0"/>
        <v>18984.022088611775</v>
      </c>
      <c r="L18">
        <f t="shared" si="0"/>
        <v>23180.221943712517</v>
      </c>
      <c r="M18">
        <f t="shared" si="0"/>
        <v>43793.426809606077</v>
      </c>
      <c r="N18">
        <f t="shared" si="0"/>
        <v>65827.655530812786</v>
      </c>
      <c r="O18" s="17">
        <f>SUM(C18:N18)</f>
        <v>650516.39601400623</v>
      </c>
    </row>
    <row r="19" spans="1:15">
      <c r="A19" s="9" t="s">
        <v>32</v>
      </c>
      <c r="B19" s="8" t="s">
        <v>33</v>
      </c>
      <c r="C19" s="8" t="s">
        <v>34</v>
      </c>
      <c r="D19" s="18" t="s">
        <v>35</v>
      </c>
    </row>
    <row r="20" spans="1:15">
      <c r="B20" s="9" t="s">
        <v>36</v>
      </c>
      <c r="C20" s="19">
        <f>_xlfn.XLOOKUP($B$19, Sheet3!$A$2:$A$19, Sheet3!C$2:C$19, "")</f>
        <v>0.19463922550399301</v>
      </c>
      <c r="D20" s="19">
        <f>_xlfn.XLOOKUP($B$19, Sheet3!$A$2:$A$19, Sheet3!D$2:D$19, "")</f>
        <v>0.18326947687731199</v>
      </c>
      <c r="E20" s="19">
        <f>_xlfn.XLOOKUP($B$19, Sheet3!$A$2:$A$19, Sheet3!E$2:E$19, "")</f>
        <v>0.149160230997268</v>
      </c>
      <c r="F20" s="19">
        <f>_xlfn.XLOOKUP($B$19, Sheet3!$A$2:$A$19, Sheet3!F$2:F$19, "")</f>
        <v>9.8048516987415804E-2</v>
      </c>
      <c r="G20" s="19">
        <f>_xlfn.XLOOKUP($B$19, Sheet3!$A$2:$A$19, Sheet3!G$2:G$19, "")</f>
        <v>5.7498152045925899E-2</v>
      </c>
      <c r="H20" s="19">
        <f>_xlfn.XLOOKUP($B$19, Sheet3!$A$2:$A$19, Sheet3!H$2:H$19, "")</f>
        <v>3.7895124140150803E-2</v>
      </c>
      <c r="I20" s="19">
        <f>_xlfn.XLOOKUP($B$19, Sheet3!$A$2:$A$19, Sheet3!I$2:I$19, "")</f>
        <v>2.4094507837401899E-2</v>
      </c>
      <c r="J20" s="19">
        <f>_xlfn.XLOOKUP($B$19, Sheet3!$A$2:$A$19, Sheet3!J$2:J$19, "")</f>
        <v>2.2064249573124101E-2</v>
      </c>
      <c r="K20" s="19">
        <f>_xlfn.XLOOKUP($B$19, Sheet3!$A$2:$A$19, Sheet3!K$2:K$19, "")</f>
        <v>2.9183003233946202E-2</v>
      </c>
      <c r="L20" s="19">
        <f>_xlfn.XLOOKUP($B$19, Sheet3!$A$2:$A$19, Sheet3!L$2:L$19, "")</f>
        <v>3.5633570630575498E-2</v>
      </c>
      <c r="M20" s="19">
        <f>_xlfn.XLOOKUP($B$19, Sheet3!$A$2:$A$19, Sheet3!M$2:M$19, "")</f>
        <v>6.7321019236328605E-2</v>
      </c>
      <c r="N20" s="19">
        <f>_xlfn.XLOOKUP($B$19, Sheet3!$A$2:$A$19, Sheet3!N$2:N$19, "")</f>
        <v>0.101192922936558</v>
      </c>
      <c r="O20" s="14"/>
    </row>
    <row r="21" spans="1:15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5">
      <c r="B22" s="2" t="s">
        <v>37</v>
      </c>
      <c r="C22" s="2" t="s">
        <v>38</v>
      </c>
    </row>
    <row r="23" spans="1:15">
      <c r="C23" t="s">
        <v>18</v>
      </c>
      <c r="D23" t="s">
        <v>19</v>
      </c>
      <c r="E23" t="s">
        <v>20</v>
      </c>
      <c r="F23" t="s">
        <v>21</v>
      </c>
      <c r="G23" t="s">
        <v>22</v>
      </c>
      <c r="H23" t="s">
        <v>23</v>
      </c>
      <c r="I23" t="s">
        <v>24</v>
      </c>
      <c r="J23" t="s">
        <v>25</v>
      </c>
      <c r="K23" t="s">
        <v>26</v>
      </c>
      <c r="L23" t="s">
        <v>27</v>
      </c>
      <c r="M23" t="s">
        <v>28</v>
      </c>
      <c r="N23" t="s">
        <v>29</v>
      </c>
    </row>
    <row r="24" spans="1:15">
      <c r="B24" s="7" t="s">
        <v>39</v>
      </c>
      <c r="C24" s="16">
        <v>305.87254901960802</v>
      </c>
      <c r="D24" s="21">
        <f t="shared" ref="D24:N24" si="1">$C$24/$C$25*D25</f>
        <v>298.84099616858259</v>
      </c>
      <c r="E24" s="21">
        <f t="shared" si="1"/>
        <v>274.23056118999341</v>
      </c>
      <c r="F24" s="21">
        <f t="shared" si="1"/>
        <v>260.16745548794245</v>
      </c>
      <c r="G24" s="21">
        <f t="shared" si="1"/>
        <v>253.13590263691697</v>
      </c>
      <c r="H24" s="21">
        <f t="shared" si="1"/>
        <v>263.68323191345519</v>
      </c>
      <c r="I24" s="21">
        <f t="shared" si="1"/>
        <v>348.06186612576084</v>
      </c>
      <c r="J24" s="21">
        <f t="shared" si="1"/>
        <v>390.25118323191367</v>
      </c>
      <c r="K24" s="21">
        <f t="shared" si="1"/>
        <v>316.41987829614624</v>
      </c>
      <c r="L24" s="21">
        <f t="shared" si="1"/>
        <v>263.68323191345519</v>
      </c>
      <c r="M24" s="21">
        <f t="shared" si="1"/>
        <v>263.68323191345519</v>
      </c>
      <c r="N24" s="21">
        <f t="shared" si="1"/>
        <v>277.74633761550615</v>
      </c>
      <c r="O24" s="17">
        <f>SUM(C24:N24)</f>
        <v>3515.7764255127354</v>
      </c>
    </row>
    <row r="25" spans="1:15">
      <c r="B25" s="6" t="s">
        <v>40</v>
      </c>
      <c r="C25" s="22">
        <v>8.6999999999999994E-2</v>
      </c>
      <c r="D25" s="22">
        <v>8.5000000000000006E-2</v>
      </c>
      <c r="E25" s="22">
        <v>7.8E-2</v>
      </c>
      <c r="F25" s="22">
        <v>7.3999999999999996E-2</v>
      </c>
      <c r="G25" s="22">
        <v>7.1999999999999995E-2</v>
      </c>
      <c r="H25" s="22">
        <v>7.4999999999999997E-2</v>
      </c>
      <c r="I25" s="22">
        <v>9.9000000000000005E-2</v>
      </c>
      <c r="J25" s="22">
        <v>0.111</v>
      </c>
      <c r="K25" s="22">
        <v>0.09</v>
      </c>
      <c r="L25" s="22">
        <v>7.4999999999999997E-2</v>
      </c>
      <c r="M25" s="22">
        <v>7.4999999999999997E-2</v>
      </c>
      <c r="N25" s="22">
        <v>7.9000000000000001E-2</v>
      </c>
      <c r="O25" s="17"/>
    </row>
    <row r="26" spans="1:15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5">
      <c r="B27" s="2" t="s">
        <v>41</v>
      </c>
      <c r="C27" s="2" t="s">
        <v>42</v>
      </c>
      <c r="G27" s="23"/>
      <c r="H27" s="23"/>
      <c r="I27" s="23"/>
      <c r="J27" s="23"/>
      <c r="K27" s="23"/>
      <c r="L27" s="23"/>
      <c r="M27" s="23"/>
      <c r="N27" s="23"/>
    </row>
    <row r="28" spans="1:15">
      <c r="B28" s="7" t="s">
        <v>43</v>
      </c>
      <c r="C28" s="5" t="s">
        <v>44</v>
      </c>
    </row>
    <row r="29" spans="1:15">
      <c r="B29" s="131" t="s">
        <v>433</v>
      </c>
      <c r="C29" s="8">
        <v>3</v>
      </c>
    </row>
    <row r="32" spans="1:15">
      <c r="B32" t="s">
        <v>45</v>
      </c>
    </row>
    <row r="33" spans="2:14">
      <c r="B33" s="2" t="s">
        <v>46</v>
      </c>
      <c r="C33" s="24" t="s">
        <v>47</v>
      </c>
    </row>
    <row r="34" spans="2:14">
      <c r="B34" s="2"/>
      <c r="C34" s="9" t="s">
        <v>48</v>
      </c>
      <c r="D34" s="9" t="s">
        <v>49</v>
      </c>
      <c r="G34" s="9"/>
    </row>
    <row r="35" spans="2:14">
      <c r="B35" s="9" t="s">
        <v>50</v>
      </c>
      <c r="C35" s="25">
        <v>1000000</v>
      </c>
      <c r="D35" s="25">
        <v>14000000</v>
      </c>
      <c r="E35" s="25"/>
      <c r="F35" s="25"/>
      <c r="G35" s="25"/>
    </row>
    <row r="36" spans="2:14">
      <c r="B36" s="9" t="s">
        <v>51</v>
      </c>
      <c r="C36" s="26"/>
      <c r="D36" s="26">
        <v>0.7</v>
      </c>
      <c r="E36" s="25"/>
      <c r="F36" s="25"/>
      <c r="G36" s="26"/>
    </row>
    <row r="37" spans="2:14">
      <c r="B37" s="9" t="s">
        <v>52</v>
      </c>
      <c r="C37" s="25"/>
      <c r="D37" s="25">
        <f>D35*(1-D36)</f>
        <v>4200000.0000000009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53</v>
      </c>
      <c r="C39" s="9" t="s">
        <v>48</v>
      </c>
      <c r="D39" s="9" t="s">
        <v>54</v>
      </c>
      <c r="E39" s="9" t="s">
        <v>55</v>
      </c>
      <c r="F39" t="s">
        <v>56</v>
      </c>
      <c r="G39" s="27"/>
    </row>
    <row r="40" spans="2:14">
      <c r="B40" s="9" t="s">
        <v>57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58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59</v>
      </c>
      <c r="C42" s="31">
        <f>C41*3.6</f>
        <v>88.552332000000007</v>
      </c>
      <c r="D42" s="31">
        <f>D41*3.6</f>
        <v>88.552332000000007</v>
      </c>
      <c r="E42" s="31">
        <f>E41/(D88/3.6)</f>
        <v>130.14688524590164</v>
      </c>
      <c r="F42" s="31">
        <f>F41/(D89/3.6)</f>
        <v>175.50573705179283</v>
      </c>
      <c r="G42" s="27"/>
    </row>
    <row r="43" spans="2:14" ht="17.25" customHeight="1">
      <c r="B43" s="32" t="s">
        <v>60</v>
      </c>
      <c r="C43" s="33">
        <f>(((O18-C40*12)/C42)*C14)*E9</f>
        <v>5582.4908594402759</v>
      </c>
      <c r="D43" s="33">
        <f>(((O18-D40*12)/D42)*C14)*F9</f>
        <v>5036.3776231906841</v>
      </c>
      <c r="E43" s="33">
        <f>($O$18/E42)*G9</f>
        <v>4098.6262846292948</v>
      </c>
      <c r="F43" s="34">
        <f>($O$18/F42)*H9</f>
        <v>3335.8724691708017</v>
      </c>
      <c r="G43" s="27"/>
    </row>
    <row r="44" spans="2:14">
      <c r="B44" s="35" t="s">
        <v>60</v>
      </c>
      <c r="C44" s="36" t="s">
        <v>61</v>
      </c>
      <c r="D44" s="36" t="s">
        <v>62</v>
      </c>
      <c r="E44" s="36" t="s">
        <v>63</v>
      </c>
      <c r="F44" s="36" t="s">
        <v>64</v>
      </c>
      <c r="G44" s="36" t="s">
        <v>65</v>
      </c>
      <c r="H44" s="36" t="s">
        <v>66</v>
      </c>
      <c r="I44" s="36" t="s">
        <v>67</v>
      </c>
      <c r="J44" s="36" t="s">
        <v>68</v>
      </c>
      <c r="K44" s="36" t="s">
        <v>69</v>
      </c>
      <c r="L44" s="36" t="s">
        <v>70</v>
      </c>
      <c r="M44" s="36" t="s">
        <v>71</v>
      </c>
      <c r="N44" s="36" t="s">
        <v>72</v>
      </c>
    </row>
    <row r="45" spans="2:14">
      <c r="B45" s="35" t="s">
        <v>73</v>
      </c>
      <c r="C45" s="37">
        <f t="shared" ref="C45:N45" si="2">$C$43*C$20</f>
        <v>1086.5716972645757</v>
      </c>
      <c r="D45" s="37">
        <f t="shared" si="2"/>
        <v>1023.1001794819952</v>
      </c>
      <c r="E45" s="37">
        <f t="shared" si="2"/>
        <v>832.68562613424865</v>
      </c>
      <c r="F45" s="37">
        <f t="shared" si="2"/>
        <v>547.35494986392337</v>
      </c>
      <c r="G45" s="37">
        <f t="shared" si="2"/>
        <v>320.98290823108852</v>
      </c>
      <c r="H45" s="37">
        <f t="shared" si="2"/>
        <v>211.54918412974641</v>
      </c>
      <c r="I45" s="37">
        <f t="shared" si="2"/>
        <v>134.50736976500818</v>
      </c>
      <c r="J45" s="37">
        <f t="shared" si="2"/>
        <v>123.1734715623743</v>
      </c>
      <c r="K45" s="37">
        <f t="shared" si="2"/>
        <v>162.91384880452068</v>
      </c>
      <c r="L45" s="37">
        <f t="shared" si="2"/>
        <v>198.92408233440719</v>
      </c>
      <c r="M45" s="37">
        <f t="shared" si="2"/>
        <v>375.81897453500744</v>
      </c>
      <c r="N45" s="37">
        <f t="shared" si="2"/>
        <v>564.90856733337932</v>
      </c>
    </row>
    <row r="46" spans="2:14">
      <c r="B46" s="35" t="s">
        <v>54</v>
      </c>
      <c r="C46" s="37">
        <f t="shared" ref="C46:N46" si="3">$D$43*C$20</f>
        <v>980.27663992347595</v>
      </c>
      <c r="D46" s="37">
        <f t="shared" si="3"/>
        <v>923.01429235875662</v>
      </c>
      <c r="E46" s="37">
        <f t="shared" si="3"/>
        <v>751.22724966459396</v>
      </c>
      <c r="F46" s="37">
        <f t="shared" si="3"/>
        <v>493.80935694245261</v>
      </c>
      <c r="G46" s="37">
        <f t="shared" si="3"/>
        <v>289.58240633891683</v>
      </c>
      <c r="H46" s="37">
        <f t="shared" si="3"/>
        <v>190.85415524748862</v>
      </c>
      <c r="I46" s="37">
        <f t="shared" si="3"/>
        <v>121.34904011408348</v>
      </c>
      <c r="J46" s="37">
        <f t="shared" si="3"/>
        <v>111.12389282257682</v>
      </c>
      <c r="K46" s="37">
        <f t="shared" si="3"/>
        <v>146.97662446494803</v>
      </c>
      <c r="L46" s="37">
        <f t="shared" si="3"/>
        <v>179.4641177582152</v>
      </c>
      <c r="M46" s="37">
        <f t="shared" si="3"/>
        <v>339.05407485223498</v>
      </c>
      <c r="N46" s="37">
        <f t="shared" si="3"/>
        <v>509.64577270294006</v>
      </c>
    </row>
    <row r="47" spans="2:14">
      <c r="B47" s="35" t="s">
        <v>55</v>
      </c>
      <c r="C47" s="37">
        <f t="shared" ref="C47:N47" si="4">$E$43*C$20</f>
        <v>797.75344567055436</v>
      </c>
      <c r="D47" s="37">
        <f t="shared" si="4"/>
        <v>751.15309509961173</v>
      </c>
      <c r="E47" s="37">
        <f t="shared" si="4"/>
        <v>611.35204338677988</v>
      </c>
      <c r="F47" s="37">
        <f t="shared" si="4"/>
        <v>401.86422889354435</v>
      </c>
      <c r="G47" s="37">
        <f t="shared" si="4"/>
        <v>235.66343729304356</v>
      </c>
      <c r="H47" s="37">
        <f t="shared" si="4"/>
        <v>155.31795186011217</v>
      </c>
      <c r="I47" s="37">
        <f t="shared" si="4"/>
        <v>98.754383137581968</v>
      </c>
      <c r="J47" s="37">
        <f t="shared" si="4"/>
        <v>90.433113251027137</v>
      </c>
      <c r="K47" s="37">
        <f t="shared" si="4"/>
        <v>119.61022411907362</v>
      </c>
      <c r="L47" s="37">
        <f t="shared" si="4"/>
        <v>146.04868920167121</v>
      </c>
      <c r="M47" s="37">
        <f t="shared" si="4"/>
        <v>275.92369895005078</v>
      </c>
      <c r="N47" s="37">
        <f t="shared" si="4"/>
        <v>414.75197376624328</v>
      </c>
    </row>
    <row r="48" spans="2:14">
      <c r="B48" s="36" t="s">
        <v>56</v>
      </c>
      <c r="C48" s="37">
        <f t="shared" ref="C48:N48" si="5">$F$43*C$20</f>
        <v>649.2916337794976</v>
      </c>
      <c r="D48" s="37">
        <f t="shared" si="5"/>
        <v>611.36360235435984</v>
      </c>
      <c r="E48" s="37">
        <f t="shared" si="5"/>
        <v>497.57950807894355</v>
      </c>
      <c r="F48" s="37">
        <f t="shared" si="5"/>
        <v>327.07734846134605</v>
      </c>
      <c r="G48" s="37">
        <f t="shared" si="5"/>
        <v>191.80650243820102</v>
      </c>
      <c r="H48" s="37">
        <f t="shared" si="5"/>
        <v>126.41330133493891</v>
      </c>
      <c r="I48" s="37">
        <f t="shared" si="5"/>
        <v>80.376205353009098</v>
      </c>
      <c r="J48" s="37">
        <f t="shared" si="5"/>
        <v>73.603522703898307</v>
      </c>
      <c r="K48" s="37">
        <f t="shared" si="5"/>
        <v>97.350777055843608</v>
      </c>
      <c r="L48" s="37">
        <f t="shared" si="5"/>
        <v>118.86904724479004</v>
      </c>
      <c r="M48" s="37">
        <f t="shared" si="5"/>
        <v>224.57433466698654</v>
      </c>
      <c r="N48" s="37">
        <f t="shared" si="5"/>
        <v>337.56668569898642</v>
      </c>
    </row>
    <row r="49" spans="1:15">
      <c r="A49" s="9" t="s">
        <v>74</v>
      </c>
      <c r="B49" s="1" t="str">
        <f>_xlfn.LET(
_xlpm.sido,$B$19,
_xlpm.sgg,$C$19,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49"/>
      <c r="D49"/>
      <c r="E49"/>
      <c r="F49"/>
      <c r="G49"/>
      <c r="H49"/>
      <c r="I49"/>
      <c r="J49"/>
      <c r="K49"/>
      <c r="L49"/>
      <c r="M49"/>
      <c r="N49"/>
    </row>
    <row r="50" spans="1:15">
      <c r="B50" s="38" t="s">
        <v>75</v>
      </c>
      <c r="C50" s="39">
        <f>CHOOSE(MATCH($B$49,{"중부1","중부2","남부","제주"},0),COP_계산기!C14,COP_계산기!C18,COP_계산기!C22,COP_계산기!C26)</f>
        <v>2.887323943661972</v>
      </c>
      <c r="D50" s="39">
        <f>CHOOSE(MATCH($B$49,{"중부1","중부2","남부","제주"},0),COP_계산기!D14,COP_계산기!D18,COP_계산기!D22,COP_계산기!D26)</f>
        <v>3.0258302583025829</v>
      </c>
      <c r="E50" s="39">
        <f>CHOOSE(MATCH($B$49,{"중부1","중부2","남부","제주"},0),COP_계산기!E14,COP_계산기!E18,COP_계산기!E22,COP_계산기!E26)</f>
        <v>3.3814432989690721</v>
      </c>
      <c r="F50" s="39">
        <f>CHOOSE(MATCH($B$49,{"중부1","중부2","남부","제주"},0),COP_계산기!F14,COP_계산기!F18,COP_계산기!F22,COP_계산기!F26)</f>
        <v>3.9234449760765555</v>
      </c>
      <c r="G50" s="39">
        <f>CHOOSE(MATCH($B$49,{"중부1","중부2","남부","제주"},0),COP_계산기!G14,COP_계산기!G18,COP_계산기!G22,COP_계산기!G26)</f>
        <v>4.493150684931507</v>
      </c>
      <c r="H50" s="39">
        <f>CHOOSE(MATCH($B$49,{"중부1","중부2","남부","제주"},0),COP_계산기!H14,COP_계산기!H18,COP_계산기!H22,COP_계산기!H26)</f>
        <v>5.125</v>
      </c>
      <c r="I50" s="39">
        <f>CHOOSE(MATCH($B$49,{"중부1","중부2","남부","제주"},0),COP_계산기!I14,COP_계산기!I18,COP_계산기!I22,COP_계산기!I26)</f>
        <v>5.7342657342657342</v>
      </c>
      <c r="J50" s="39">
        <f>CHOOSE(MATCH($B$49,{"중부1","중부2","남부","제주"},0),COP_계산기!J14,COP_계산기!J18,COP_계산기!J22,COP_계산기!J26)</f>
        <v>5.8781362007168463</v>
      </c>
      <c r="K50" s="39">
        <f>CHOOSE(MATCH($B$49,{"중부1","중부2","남부","제주"},0),COP_계산기!K14,COP_계산기!K18,COP_계산기!K22,COP_계산기!K26)</f>
        <v>4.9696969696969697</v>
      </c>
      <c r="L50" s="39">
        <f>CHOOSE(MATCH($B$49,{"중부1","중부2","남부","제주"},0),COP_계산기!L14,COP_계산기!L18,COP_계산기!L22,COP_계산기!L26)</f>
        <v>4.1206030150753774</v>
      </c>
      <c r="M50" s="39">
        <f>CHOOSE(MATCH($B$49,{"중부1","중부2","남부","제주"},0),COP_계산기!M14,COP_계산기!M18,COP_계산기!M22,COP_계산기!M26)</f>
        <v>3.4526315789473685</v>
      </c>
      <c r="N50" s="39">
        <f>CHOOSE(MATCH($B$49,{"중부1","중부2","남부","제주"},0),COP_계산기!N14,COP_계산기!N18,COP_계산기!N22,COP_계산기!N26)</f>
        <v>3.0091743119266057</v>
      </c>
      <c r="O50" s="39">
        <f>CHOOSE(MATCH($B$49,{"중부1","중부2","남부","제주"},0),COP_계산기!P12,COP_계산기!P16,COP_계산기!P20,COP_계산기!P24)</f>
        <v>3.1799323891634077</v>
      </c>
    </row>
    <row r="51" spans="1:15">
      <c r="C51"/>
      <c r="D51"/>
      <c r="E51"/>
      <c r="F51"/>
      <c r="G51"/>
      <c r="H51"/>
      <c r="I51"/>
      <c r="J51"/>
      <c r="K51"/>
      <c r="L51"/>
      <c r="M51"/>
      <c r="N51"/>
    </row>
    <row r="52" spans="1:15">
      <c r="A52" s="6" t="s">
        <v>76</v>
      </c>
      <c r="B52" s="40" t="s">
        <v>77</v>
      </c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B53" s="41" t="s">
        <v>78</v>
      </c>
      <c r="C53" s="37">
        <f t="shared" ref="C53:N53" si="6">C45/C$50</f>
        <v>376.32483173553595</v>
      </c>
      <c r="D53" s="37">
        <f t="shared" si="6"/>
        <v>338.1221324873423</v>
      </c>
      <c r="E53" s="37">
        <f t="shared" si="6"/>
        <v>246.25154187506743</v>
      </c>
      <c r="F53" s="37">
        <f t="shared" si="6"/>
        <v>139.50876161165849</v>
      </c>
      <c r="G53" s="37">
        <f t="shared" si="6"/>
        <v>71.438269209967871</v>
      </c>
      <c r="H53" s="37">
        <f t="shared" si="6"/>
        <v>41.277889586291984</v>
      </c>
      <c r="I53" s="37">
        <f t="shared" si="6"/>
        <v>23.456773019995328</v>
      </c>
      <c r="J53" s="37">
        <f t="shared" si="6"/>
        <v>20.954511320672211</v>
      </c>
      <c r="K53" s="37">
        <f t="shared" si="6"/>
        <v>32.781445186275505</v>
      </c>
      <c r="L53" s="37">
        <f t="shared" si="6"/>
        <v>48.275478517740275</v>
      </c>
      <c r="M53" s="37">
        <f t="shared" si="6"/>
        <v>108.85000786837105</v>
      </c>
      <c r="N53" s="37">
        <f t="shared" si="6"/>
        <v>187.72876170529983</v>
      </c>
    </row>
    <row r="54" spans="1:15">
      <c r="B54" s="41" t="s">
        <v>79</v>
      </c>
      <c r="C54" s="37">
        <f t="shared" ref="C54:N54" si="7">C46/C$50</f>
        <v>339.51044602227699</v>
      </c>
      <c r="D54" s="37">
        <f t="shared" si="7"/>
        <v>305.04496735271107</v>
      </c>
      <c r="E54" s="37">
        <f t="shared" si="7"/>
        <v>222.16171712641955</v>
      </c>
      <c r="F54" s="37">
        <f t="shared" si="7"/>
        <v>125.86116536703973</v>
      </c>
      <c r="G54" s="37">
        <f t="shared" si="7"/>
        <v>64.449742874210145</v>
      </c>
      <c r="H54" s="37">
        <f t="shared" si="7"/>
        <v>37.239835170241683</v>
      </c>
      <c r="I54" s="37">
        <f t="shared" si="7"/>
        <v>21.162088702821876</v>
      </c>
      <c r="J54" s="37">
        <f t="shared" si="7"/>
        <v>18.904613474084712</v>
      </c>
      <c r="K54" s="37">
        <f t="shared" si="7"/>
        <v>29.574564678922471</v>
      </c>
      <c r="L54" s="37">
        <f t="shared" si="7"/>
        <v>43.552877358396124</v>
      </c>
      <c r="M54" s="37">
        <f t="shared" si="7"/>
        <v>98.201637533421717</v>
      </c>
      <c r="N54" s="37">
        <f t="shared" si="7"/>
        <v>169.36399153847702</v>
      </c>
    </row>
    <row r="55" spans="1:15">
      <c r="B55" s="41" t="s">
        <v>80</v>
      </c>
      <c r="C55" s="37">
        <f t="shared" ref="C55:N55" si="8">C47/C$50</f>
        <v>276.29509581760664</v>
      </c>
      <c r="D55" s="37">
        <f t="shared" si="8"/>
        <v>248.2469375268229</v>
      </c>
      <c r="E55" s="37">
        <f t="shared" si="8"/>
        <v>180.79618356255381</v>
      </c>
      <c r="F55" s="37">
        <f t="shared" si="8"/>
        <v>102.42637053506191</v>
      </c>
      <c r="G55" s="37">
        <f t="shared" si="8"/>
        <v>52.449484519488351</v>
      </c>
      <c r="H55" s="37">
        <f t="shared" si="8"/>
        <v>30.305941826363352</v>
      </c>
      <c r="I55" s="37">
        <f t="shared" si="8"/>
        <v>17.221800961797832</v>
      </c>
      <c r="J55" s="37">
        <f t="shared" si="8"/>
        <v>15.38465768111986</v>
      </c>
      <c r="K55" s="37">
        <f t="shared" si="8"/>
        <v>24.067910950789205</v>
      </c>
      <c r="L55" s="37">
        <f t="shared" si="8"/>
        <v>35.443523355039716</v>
      </c>
      <c r="M55" s="37">
        <f t="shared" si="8"/>
        <v>79.916925000776899</v>
      </c>
      <c r="N55" s="37">
        <f t="shared" si="8"/>
        <v>137.82916201378205</v>
      </c>
    </row>
    <row r="56" spans="1:15">
      <c r="B56" s="36" t="s">
        <v>81</v>
      </c>
      <c r="C56" s="37">
        <f t="shared" ref="C56:N56" si="9">C48/C$50</f>
        <v>224.87661462606988</v>
      </c>
      <c r="D56" s="37">
        <f t="shared" si="9"/>
        <v>202.04821492442869</v>
      </c>
      <c r="E56" s="37">
        <f t="shared" si="9"/>
        <v>147.15003745017538</v>
      </c>
      <c r="F56" s="37">
        <f t="shared" si="9"/>
        <v>83.364836376123549</v>
      </c>
      <c r="G56" s="37">
        <f t="shared" si="9"/>
        <v>42.688642310941077</v>
      </c>
      <c r="H56" s="37">
        <f t="shared" si="9"/>
        <v>24.666010016573445</v>
      </c>
      <c r="I56" s="37">
        <f t="shared" si="9"/>
        <v>14.016826055463781</v>
      </c>
      <c r="J56" s="37">
        <f t="shared" si="9"/>
        <v>12.521574899016846</v>
      </c>
      <c r="K56" s="37">
        <f t="shared" si="9"/>
        <v>19.588875870992922</v>
      </c>
      <c r="L56" s="37">
        <f t="shared" si="9"/>
        <v>28.847488294772212</v>
      </c>
      <c r="M56" s="37">
        <f t="shared" si="9"/>
        <v>65.044395711474763</v>
      </c>
      <c r="N56" s="37">
        <f t="shared" si="9"/>
        <v>112.17917299143146</v>
      </c>
    </row>
    <row r="57" spans="1:15">
      <c r="C57"/>
      <c r="D57"/>
      <c r="E57"/>
      <c r="F57"/>
      <c r="G57"/>
      <c r="H57"/>
      <c r="I57"/>
      <c r="J57"/>
      <c r="K57"/>
      <c r="L57"/>
      <c r="M57"/>
      <c r="N57"/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B61" s="42"/>
      <c r="C61" s="43"/>
      <c r="E61" s="44"/>
      <c r="F61" s="44"/>
      <c r="G61" s="27"/>
    </row>
    <row r="62" spans="1:15">
      <c r="B62" s="42"/>
      <c r="C62" s="162"/>
      <c r="D62" s="163"/>
      <c r="E62" s="164"/>
      <c r="F62" s="164"/>
      <c r="G62" s="27"/>
    </row>
    <row r="63" spans="1:15">
      <c r="B63" s="45" t="s">
        <v>82</v>
      </c>
      <c r="C63" s="170" t="s">
        <v>464</v>
      </c>
      <c r="D63" s="163"/>
      <c r="E63" s="164"/>
      <c r="F63" s="164"/>
      <c r="G63" s="27"/>
    </row>
    <row r="64" spans="1:15">
      <c r="B64" s="166" t="s">
        <v>465</v>
      </c>
      <c r="C64" s="165" t="s">
        <v>48</v>
      </c>
      <c r="D64" s="165" t="s">
        <v>54</v>
      </c>
      <c r="E64" s="165" t="s">
        <v>55</v>
      </c>
      <c r="F64" s="164" t="s">
        <v>56</v>
      </c>
      <c r="G64" s="166" t="s">
        <v>461</v>
      </c>
    </row>
    <row r="65" spans="1:8">
      <c r="A65">
        <v>2026</v>
      </c>
      <c r="B65" s="172">
        <v>1</v>
      </c>
      <c r="C65" s="46">
        <f>$C$43/1000*E10</f>
        <v>1.2196528942907547</v>
      </c>
      <c r="D65" s="135">
        <f>($D$43/1000)*F10</f>
        <v>1.219652894290755</v>
      </c>
      <c r="E65" s="134">
        <f>(E43/1000)*G10</f>
        <v>1.2556071203931318</v>
      </c>
      <c r="F65" s="134">
        <f>(F43/1000)*H10</f>
        <v>0.85250074212142846</v>
      </c>
      <c r="G65" s="167" cm="1">
        <f t="array" ref="G65">_xlfn.IFS(
TRIM(C8)="가스 콘덴싱보일러",C43/1000*I10,
TRIM(C8)="가스 일반보일러",D43/1000*I10,
TRIM(C8)="등유 보일러",E43/1000*I10,
TRIM(C8)="LPG 보일러",F43/1000*I10
)</f>
        <v>0.73258583848611414</v>
      </c>
    </row>
    <row r="66" spans="1:8">
      <c r="A66">
        <v>2027</v>
      </c>
      <c r="B66" s="173">
        <v>2</v>
      </c>
      <c r="C66" s="46">
        <f>C65</f>
        <v>1.2196528942907547</v>
      </c>
      <c r="D66" s="46">
        <f t="shared" ref="D66:F66" si="10">D65</f>
        <v>1.219652894290755</v>
      </c>
      <c r="E66" s="46">
        <f t="shared" si="10"/>
        <v>1.2556071203931318</v>
      </c>
      <c r="F66" s="46">
        <f t="shared" si="10"/>
        <v>0.85250074212142846</v>
      </c>
      <c r="G66" s="46">
        <f>$G$65+(B66-1)*($G$77-$G$65)/12</f>
        <v>0.69100394871140969</v>
      </c>
    </row>
    <row r="67" spans="1:8">
      <c r="A67">
        <v>2028</v>
      </c>
      <c r="B67" s="173">
        <v>3</v>
      </c>
      <c r="C67" s="46">
        <f t="shared" ref="C67:C82" si="11">C66</f>
        <v>1.2196528942907547</v>
      </c>
      <c r="D67" s="46">
        <f t="shared" ref="D67:D82" si="12">D66</f>
        <v>1.219652894290755</v>
      </c>
      <c r="E67" s="46">
        <f t="shared" ref="E67:E82" si="13">E66</f>
        <v>1.2556071203931318</v>
      </c>
      <c r="F67" s="46">
        <f t="shared" ref="F67:F82" si="14">F66</f>
        <v>0.85250074212142846</v>
      </c>
      <c r="G67" s="46">
        <f t="shared" ref="G67:G76" si="15">$G$65+(B67-1)*($G$77-$G$65)/12</f>
        <v>0.64942205893670524</v>
      </c>
    </row>
    <row r="68" spans="1:8">
      <c r="A68">
        <v>2029</v>
      </c>
      <c r="B68" s="173">
        <v>4</v>
      </c>
      <c r="C68" s="46">
        <f t="shared" si="11"/>
        <v>1.2196528942907547</v>
      </c>
      <c r="D68" s="46">
        <f t="shared" si="12"/>
        <v>1.219652894290755</v>
      </c>
      <c r="E68" s="46">
        <f t="shared" si="13"/>
        <v>1.2556071203931318</v>
      </c>
      <c r="F68" s="46">
        <f t="shared" si="14"/>
        <v>0.85250074212142846</v>
      </c>
      <c r="G68" s="46">
        <f t="shared" si="15"/>
        <v>0.60784016916200068</v>
      </c>
    </row>
    <row r="69" spans="1:8">
      <c r="A69">
        <v>2030</v>
      </c>
      <c r="B69" s="172">
        <v>5</v>
      </c>
      <c r="C69" s="46">
        <f t="shared" si="11"/>
        <v>1.2196528942907547</v>
      </c>
      <c r="D69" s="46">
        <f t="shared" si="12"/>
        <v>1.219652894290755</v>
      </c>
      <c r="E69" s="46">
        <f t="shared" si="13"/>
        <v>1.2556071203931318</v>
      </c>
      <c r="F69" s="46">
        <f t="shared" si="14"/>
        <v>0.85250074212142846</v>
      </c>
      <c r="G69" s="46">
        <f t="shared" si="15"/>
        <v>0.56625827938729623</v>
      </c>
    </row>
    <row r="70" spans="1:8">
      <c r="A70">
        <v>2031</v>
      </c>
      <c r="B70" s="173">
        <v>6</v>
      </c>
      <c r="C70" s="46">
        <f t="shared" si="11"/>
        <v>1.2196528942907547</v>
      </c>
      <c r="D70" s="46">
        <f t="shared" si="12"/>
        <v>1.219652894290755</v>
      </c>
      <c r="E70" s="46">
        <f t="shared" si="13"/>
        <v>1.2556071203931318</v>
      </c>
      <c r="F70" s="46">
        <f t="shared" si="14"/>
        <v>0.85250074212142846</v>
      </c>
      <c r="G70" s="46">
        <f t="shared" si="15"/>
        <v>0.52467638961259178</v>
      </c>
    </row>
    <row r="71" spans="1:8">
      <c r="A71">
        <v>2032</v>
      </c>
      <c r="B71" s="173">
        <v>7</v>
      </c>
      <c r="C71" s="46">
        <f t="shared" si="11"/>
        <v>1.2196528942907547</v>
      </c>
      <c r="D71" s="46">
        <f t="shared" si="12"/>
        <v>1.219652894290755</v>
      </c>
      <c r="E71" s="46">
        <f t="shared" si="13"/>
        <v>1.2556071203931318</v>
      </c>
      <c r="F71" s="46">
        <f t="shared" si="14"/>
        <v>0.85250074212142846</v>
      </c>
      <c r="G71" s="46">
        <f t="shared" si="15"/>
        <v>0.48309449983788733</v>
      </c>
    </row>
    <row r="72" spans="1:8">
      <c r="A72">
        <v>2033</v>
      </c>
      <c r="B72" s="173">
        <v>8</v>
      </c>
      <c r="C72" s="46">
        <f t="shared" si="11"/>
        <v>1.2196528942907547</v>
      </c>
      <c r="D72" s="46">
        <f t="shared" si="12"/>
        <v>1.219652894290755</v>
      </c>
      <c r="E72" s="46">
        <f t="shared" si="13"/>
        <v>1.2556071203931318</v>
      </c>
      <c r="F72" s="46">
        <f t="shared" si="14"/>
        <v>0.85250074212142846</v>
      </c>
      <c r="G72" s="46">
        <f t="shared" si="15"/>
        <v>0.44151261006318282</v>
      </c>
    </row>
    <row r="73" spans="1:8">
      <c r="A73">
        <v>2034</v>
      </c>
      <c r="B73" s="172">
        <v>9</v>
      </c>
      <c r="C73" s="46">
        <f t="shared" si="11"/>
        <v>1.2196528942907547</v>
      </c>
      <c r="D73" s="46">
        <f t="shared" si="12"/>
        <v>1.219652894290755</v>
      </c>
      <c r="E73" s="46">
        <f t="shared" si="13"/>
        <v>1.2556071203931318</v>
      </c>
      <c r="F73" s="46">
        <f t="shared" si="14"/>
        <v>0.85250074212142846</v>
      </c>
      <c r="G73" s="46">
        <f t="shared" si="15"/>
        <v>0.39993072028847831</v>
      </c>
    </row>
    <row r="74" spans="1:8">
      <c r="A74">
        <v>2035</v>
      </c>
      <c r="B74" s="173">
        <v>10</v>
      </c>
      <c r="C74" s="46">
        <f t="shared" si="11"/>
        <v>1.2196528942907547</v>
      </c>
      <c r="D74" s="46">
        <f t="shared" si="12"/>
        <v>1.219652894290755</v>
      </c>
      <c r="E74" s="46">
        <f t="shared" si="13"/>
        <v>1.2556071203931318</v>
      </c>
      <c r="F74" s="46">
        <f t="shared" si="14"/>
        <v>0.85250074212142846</v>
      </c>
      <c r="G74" s="46">
        <f t="shared" si="15"/>
        <v>0.35834883051377386</v>
      </c>
    </row>
    <row r="75" spans="1:8">
      <c r="A75">
        <v>2036</v>
      </c>
      <c r="B75" s="173">
        <v>11</v>
      </c>
      <c r="C75" s="46">
        <f t="shared" si="11"/>
        <v>1.2196528942907547</v>
      </c>
      <c r="D75" s="46">
        <f t="shared" si="12"/>
        <v>1.219652894290755</v>
      </c>
      <c r="E75" s="46">
        <f t="shared" si="13"/>
        <v>1.2556071203931318</v>
      </c>
      <c r="F75" s="46">
        <f t="shared" si="14"/>
        <v>0.85250074212142846</v>
      </c>
      <c r="G75" s="46">
        <f t="shared" si="15"/>
        <v>0.31676694073906936</v>
      </c>
    </row>
    <row r="76" spans="1:8">
      <c r="A76">
        <v>2037</v>
      </c>
      <c r="B76" s="173">
        <v>12</v>
      </c>
      <c r="C76" s="46">
        <f t="shared" si="11"/>
        <v>1.2196528942907547</v>
      </c>
      <c r="D76" s="46">
        <f t="shared" si="12"/>
        <v>1.219652894290755</v>
      </c>
      <c r="E76" s="46">
        <f t="shared" si="13"/>
        <v>1.2556071203931318</v>
      </c>
      <c r="F76" s="46">
        <f t="shared" si="14"/>
        <v>0.85250074212142846</v>
      </c>
      <c r="G76" s="46">
        <f t="shared" si="15"/>
        <v>0.27518505096436491</v>
      </c>
    </row>
    <row r="77" spans="1:8">
      <c r="A77">
        <v>2038</v>
      </c>
      <c r="B77" s="172">
        <v>13</v>
      </c>
      <c r="C77" s="46">
        <f t="shared" si="11"/>
        <v>1.2196528942907547</v>
      </c>
      <c r="D77" s="46">
        <f t="shared" si="12"/>
        <v>1.219652894290755</v>
      </c>
      <c r="E77" s="46">
        <f t="shared" si="13"/>
        <v>1.2556071203931318</v>
      </c>
      <c r="F77" s="46">
        <f t="shared" si="14"/>
        <v>0.85250074212142846</v>
      </c>
      <c r="G77" s="167" cm="1">
        <f t="array" ref="G77">_xlfn.IFS(
TRIM(C8)="가스 콘덴싱보일러",C43/1000*J10,
TRIM(C8)="가스 일반보일러",D43/1000*J10,
TRIM(C8)="등유 보일러",E43/1000*J10,
TRIM(C8)="LPG 보일러",F43/1000*J10
)</f>
        <v>0.2336031611896604</v>
      </c>
      <c r="H77" s="168"/>
    </row>
    <row r="78" spans="1:8">
      <c r="A78">
        <v>2039</v>
      </c>
      <c r="B78" s="173">
        <v>14</v>
      </c>
      <c r="C78" s="46">
        <f t="shared" si="11"/>
        <v>1.2196528942907547</v>
      </c>
      <c r="D78" s="46">
        <f t="shared" si="12"/>
        <v>1.219652894290755</v>
      </c>
      <c r="E78" s="46">
        <f t="shared" si="13"/>
        <v>1.2556071203931318</v>
      </c>
      <c r="F78" s="46">
        <f t="shared" si="14"/>
        <v>0.85250074212142846</v>
      </c>
      <c r="G78" s="46">
        <f>G77-$G$77/12</f>
        <v>0.21413623109052204</v>
      </c>
    </row>
    <row r="79" spans="1:8">
      <c r="A79">
        <v>2040</v>
      </c>
      <c r="B79" s="173">
        <v>15</v>
      </c>
      <c r="C79" s="46">
        <f t="shared" si="11"/>
        <v>1.2196528942907547</v>
      </c>
      <c r="D79" s="46">
        <f t="shared" si="12"/>
        <v>1.219652894290755</v>
      </c>
      <c r="E79" s="46">
        <f t="shared" si="13"/>
        <v>1.2556071203931318</v>
      </c>
      <c r="F79" s="46">
        <f t="shared" si="14"/>
        <v>0.85250074212142846</v>
      </c>
      <c r="G79" s="46">
        <f t="shared" ref="G79:G82" si="16">G78-$G$77/12</f>
        <v>0.19466930099138369</v>
      </c>
    </row>
    <row r="80" spans="1:8">
      <c r="A80">
        <v>2041</v>
      </c>
      <c r="B80" s="172">
        <v>16</v>
      </c>
      <c r="C80" s="46">
        <f t="shared" si="11"/>
        <v>1.2196528942907547</v>
      </c>
      <c r="D80" s="46">
        <f t="shared" si="12"/>
        <v>1.219652894290755</v>
      </c>
      <c r="E80" s="46">
        <f t="shared" si="13"/>
        <v>1.2556071203931318</v>
      </c>
      <c r="F80" s="46">
        <f t="shared" si="14"/>
        <v>0.85250074212142846</v>
      </c>
      <c r="G80" s="46">
        <f t="shared" si="16"/>
        <v>0.17520237089224533</v>
      </c>
    </row>
    <row r="81" spans="1:7">
      <c r="A81">
        <v>2042</v>
      </c>
      <c r="B81" s="173">
        <v>17</v>
      </c>
      <c r="C81" s="46">
        <f t="shared" si="11"/>
        <v>1.2196528942907547</v>
      </c>
      <c r="D81" s="46">
        <f t="shared" si="12"/>
        <v>1.219652894290755</v>
      </c>
      <c r="E81" s="46">
        <f t="shared" si="13"/>
        <v>1.2556071203931318</v>
      </c>
      <c r="F81" s="46">
        <f t="shared" si="14"/>
        <v>0.85250074212142846</v>
      </c>
      <c r="G81" s="46">
        <f t="shared" si="16"/>
        <v>0.15573544079310697</v>
      </c>
    </row>
    <row r="82" spans="1:7">
      <c r="A82">
        <v>2043</v>
      </c>
      <c r="B82" s="173">
        <v>18</v>
      </c>
      <c r="C82" s="46">
        <f t="shared" si="11"/>
        <v>1.2196528942907547</v>
      </c>
      <c r="D82" s="46">
        <f t="shared" si="12"/>
        <v>1.219652894290755</v>
      </c>
      <c r="E82" s="46">
        <f t="shared" si="13"/>
        <v>1.2556071203931318</v>
      </c>
      <c r="F82" s="46">
        <f t="shared" si="14"/>
        <v>0.85250074212142846</v>
      </c>
      <c r="G82" s="46">
        <f t="shared" si="16"/>
        <v>0.13626851069396861</v>
      </c>
    </row>
    <row r="83" spans="1:7">
      <c r="B83" s="171" t="s">
        <v>463</v>
      </c>
      <c r="C83" s="169">
        <f>SUM(C65:C82)</f>
        <v>21.953752097233583</v>
      </c>
      <c r="D83" s="169">
        <f t="shared" ref="D83:G83" si="17">SUM(D65:D82)</f>
        <v>21.953752097233583</v>
      </c>
      <c r="E83" s="169">
        <f t="shared" si="17"/>
        <v>22.600928167076376</v>
      </c>
      <c r="F83" s="169">
        <f t="shared" si="17"/>
        <v>15.345013358185712</v>
      </c>
      <c r="G83" s="169">
        <f t="shared" si="17"/>
        <v>7.1562403523537599</v>
      </c>
    </row>
    <row r="86" spans="1:7">
      <c r="B86" s="47" t="s">
        <v>83</v>
      </c>
      <c r="C86" s="48" t="s">
        <v>84</v>
      </c>
      <c r="D86" s="48" t="s">
        <v>85</v>
      </c>
      <c r="E86" s="49" t="s">
        <v>86</v>
      </c>
    </row>
    <row r="87" spans="1:7">
      <c r="B87" s="50" t="s">
        <v>87</v>
      </c>
      <c r="C87" t="s">
        <v>88</v>
      </c>
      <c r="D87" s="28">
        <v>1</v>
      </c>
      <c r="E87" s="51">
        <f>10190/42.7</f>
        <v>238.64168618266979</v>
      </c>
    </row>
    <row r="88" spans="1:7">
      <c r="B88" s="50" t="s">
        <v>55</v>
      </c>
      <c r="C88" t="s">
        <v>89</v>
      </c>
      <c r="D88" s="52">
        <v>36.6</v>
      </c>
      <c r="E88" s="53">
        <v>8740</v>
      </c>
    </row>
    <row r="89" spans="1:7">
      <c r="B89" s="54" t="s">
        <v>90</v>
      </c>
      <c r="C89" s="55" t="s">
        <v>91</v>
      </c>
      <c r="D89" s="56">
        <v>50.2</v>
      </c>
      <c r="E89" s="57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C19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32</v>
      </c>
      <c r="B1" s="9" t="s">
        <v>92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>
      <c r="A2" s="9" t="s">
        <v>93</v>
      </c>
      <c r="B2" s="9" t="s">
        <v>94</v>
      </c>
      <c r="C2" s="58">
        <v>0.205290240813082</v>
      </c>
      <c r="D2" s="58">
        <v>0.19690433532207599</v>
      </c>
      <c r="E2" s="58">
        <v>0.15276304325912199</v>
      </c>
      <c r="F2" s="58">
        <v>9.0096651719840395E-2</v>
      </c>
      <c r="G2" s="58">
        <v>4.8884172748526397E-2</v>
      </c>
      <c r="H2" s="58">
        <v>3.0832674692708398E-2</v>
      </c>
      <c r="I2" s="58">
        <v>1.9948258788286599E-2</v>
      </c>
      <c r="J2" s="58">
        <v>1.6926410373854801E-2</v>
      </c>
      <c r="K2" s="58">
        <v>2.3031186025169501E-2</v>
      </c>
      <c r="L2" s="58">
        <v>3.4657980388655502E-2</v>
      </c>
      <c r="M2" s="58">
        <v>6.7692398078732993E-2</v>
      </c>
      <c r="N2" s="58">
        <v>0.11297264778994601</v>
      </c>
    </row>
    <row r="3" spans="1:14">
      <c r="A3" s="9" t="s">
        <v>95</v>
      </c>
      <c r="B3" s="9" t="s">
        <v>94</v>
      </c>
      <c r="C3" s="59">
        <v>0.19641921152213601</v>
      </c>
      <c r="D3" s="59">
        <v>0.19735821301093201</v>
      </c>
      <c r="E3" s="59">
        <v>0.155331375543662</v>
      </c>
      <c r="F3" s="59">
        <v>9.8205926523249498E-2</v>
      </c>
      <c r="G3" s="59">
        <v>4.9145957185706399E-2</v>
      </c>
      <c r="H3" s="59">
        <v>2.9024122390419599E-2</v>
      </c>
      <c r="I3" s="59">
        <v>1.7598115499647099E-2</v>
      </c>
      <c r="J3" s="59">
        <v>1.5418843589292601E-2</v>
      </c>
      <c r="K3" s="59">
        <v>2.0336869841967298E-2</v>
      </c>
      <c r="L3" s="59">
        <v>3.4673003935675899E-2</v>
      </c>
      <c r="M3" s="59">
        <v>6.9518548121628804E-2</v>
      </c>
      <c r="N3" s="59">
        <v>0.116969812835683</v>
      </c>
    </row>
    <row r="4" spans="1:14">
      <c r="A4" s="9" t="s">
        <v>96</v>
      </c>
      <c r="B4" s="9" t="s">
        <v>97</v>
      </c>
      <c r="C4" s="59">
        <v>0.202965578813149</v>
      </c>
      <c r="D4" s="59">
        <v>0.191130908471075</v>
      </c>
      <c r="E4" s="59">
        <v>0.14071140299568499</v>
      </c>
      <c r="F4" s="59">
        <v>8.6687505207674098E-2</v>
      </c>
      <c r="G4" s="59">
        <v>5.1980963514948297E-2</v>
      </c>
      <c r="H4" s="59">
        <v>3.3865165454297901E-2</v>
      </c>
      <c r="I4" s="59">
        <v>2.4416421913175598E-2</v>
      </c>
      <c r="J4" s="59">
        <v>2.2288615928295501E-2</v>
      </c>
      <c r="K4" s="59">
        <v>2.91744677421652E-2</v>
      </c>
      <c r="L4" s="59">
        <v>4.0317695207713201E-2</v>
      </c>
      <c r="M4" s="59">
        <v>6.9694973617410894E-2</v>
      </c>
      <c r="N4" s="59">
        <v>0.10676630113441</v>
      </c>
    </row>
    <row r="5" spans="1:14">
      <c r="A5" s="9" t="s">
        <v>98</v>
      </c>
      <c r="B5" s="9" t="s">
        <v>99</v>
      </c>
      <c r="C5" s="59">
        <v>0.2271183528531</v>
      </c>
      <c r="D5" s="59">
        <v>0.21775169060989499</v>
      </c>
      <c r="E5" s="59">
        <v>0.160648433160756</v>
      </c>
      <c r="F5" s="59">
        <v>9.9598217407877401E-2</v>
      </c>
      <c r="G5" s="59">
        <v>5.4080558959767697E-2</v>
      </c>
      <c r="H5" s="59">
        <v>3.2880614627286198E-2</v>
      </c>
      <c r="I5" s="59">
        <v>1.85935419428085E-2</v>
      </c>
      <c r="J5" s="59">
        <v>1.21464506478631E-2</v>
      </c>
      <c r="K5" s="59">
        <v>1.4277153578266999E-2</v>
      </c>
      <c r="L5" s="59">
        <v>2.0752133957666601E-2</v>
      </c>
      <c r="M5" s="59">
        <v>4.5812526707679699E-2</v>
      </c>
      <c r="N5" s="59">
        <v>9.6340325547033395E-2</v>
      </c>
    </row>
    <row r="6" spans="1:14">
      <c r="A6" s="9" t="s">
        <v>100</v>
      </c>
      <c r="B6" s="9" t="s">
        <v>101</v>
      </c>
      <c r="C6" s="59">
        <v>0.20927893408395001</v>
      </c>
      <c r="D6" s="59">
        <v>0.220339792409805</v>
      </c>
      <c r="E6" s="59">
        <v>0.16379592183021899</v>
      </c>
      <c r="F6" s="59">
        <v>9.3855063364575594E-2</v>
      </c>
      <c r="G6" s="59">
        <v>4.7895289976109402E-2</v>
      </c>
      <c r="H6" s="59">
        <v>2.7918998430707598E-2</v>
      </c>
      <c r="I6" s="59">
        <v>1.2901022686551101E-2</v>
      </c>
      <c r="J6" s="59">
        <v>1.04218647859284E-2</v>
      </c>
      <c r="K6" s="59">
        <v>1.1187487078767801E-2</v>
      </c>
      <c r="L6" s="59">
        <v>2.49021599170225E-2</v>
      </c>
      <c r="M6" s="59">
        <v>5.9573289104149302E-2</v>
      </c>
      <c r="N6" s="59">
        <v>0.117930176332214</v>
      </c>
    </row>
    <row r="7" spans="1:14">
      <c r="A7" s="9" t="s">
        <v>102</v>
      </c>
      <c r="B7" s="9" t="s">
        <v>103</v>
      </c>
      <c r="C7" s="59">
        <v>0.24781327365563499</v>
      </c>
      <c r="D7" s="59">
        <v>0.19161389581782701</v>
      </c>
      <c r="E7" s="59">
        <v>0.144604591206524</v>
      </c>
      <c r="F7" s="59">
        <v>8.1635570950837497E-2</v>
      </c>
      <c r="G7" s="59">
        <v>4.1774101071261699E-2</v>
      </c>
      <c r="H7" s="59">
        <v>3.7878720238627601E-2</v>
      </c>
      <c r="I7" s="59">
        <v>2.3204858461326399E-2</v>
      </c>
      <c r="J7" s="59">
        <v>2.3242677692711201E-2</v>
      </c>
      <c r="K7" s="59">
        <v>2.71694556230987E-2</v>
      </c>
      <c r="L7" s="59">
        <v>2.9061844333145501E-2</v>
      </c>
      <c r="M7" s="59">
        <v>5.6223188171464503E-2</v>
      </c>
      <c r="N7" s="59">
        <v>9.57778227775411E-2</v>
      </c>
    </row>
    <row r="8" spans="1:14">
      <c r="A8" s="9" t="s">
        <v>104</v>
      </c>
      <c r="B8" s="9" t="s">
        <v>105</v>
      </c>
      <c r="C8" s="59">
        <v>0.20506540950215699</v>
      </c>
      <c r="D8" s="59">
        <v>0.201021714238417</v>
      </c>
      <c r="E8" s="59">
        <v>0.17234340177584401</v>
      </c>
      <c r="F8" s="59">
        <v>9.4209632107404503E-2</v>
      </c>
      <c r="G8" s="59">
        <v>4.99684135310971E-2</v>
      </c>
      <c r="H8" s="59">
        <v>2.5493415882147701E-2</v>
      </c>
      <c r="I8" s="59">
        <v>1.1766134592084801E-2</v>
      </c>
      <c r="J8" s="59">
        <v>9.5314608937024509E-3</v>
      </c>
      <c r="K8" s="59">
        <v>1.9906731636191902E-2</v>
      </c>
      <c r="L8" s="59">
        <v>2.6903388572793702E-2</v>
      </c>
      <c r="M8" s="59">
        <v>6.1567434156034002E-2</v>
      </c>
      <c r="N8" s="59">
        <v>0.122222863112126</v>
      </c>
    </row>
    <row r="9" spans="1:14">
      <c r="A9" s="9" t="s">
        <v>106</v>
      </c>
      <c r="B9" s="9" t="s">
        <v>107</v>
      </c>
      <c r="C9" s="59">
        <v>0.20974002744717599</v>
      </c>
      <c r="D9" s="59">
        <v>0.21558494708860401</v>
      </c>
      <c r="E9" s="59">
        <v>0.16585522095906999</v>
      </c>
      <c r="F9" s="59">
        <v>9.4119212682297795E-2</v>
      </c>
      <c r="G9" s="59">
        <v>5.48017477719209E-2</v>
      </c>
      <c r="H9" s="59">
        <v>3.4743772171826101E-2</v>
      </c>
      <c r="I9" s="59">
        <v>1.5642269077456899E-2</v>
      </c>
      <c r="J9" s="59">
        <v>9.4328974794634698E-3</v>
      </c>
      <c r="K9" s="59">
        <v>1.58722020190675E-2</v>
      </c>
      <c r="L9" s="59">
        <v>2.3724661372410898E-2</v>
      </c>
      <c r="M9" s="59">
        <v>5.4514292707588299E-2</v>
      </c>
      <c r="N9" s="59">
        <v>0.105968749223118</v>
      </c>
    </row>
    <row r="10" spans="1:14">
      <c r="A10" s="6" t="s">
        <v>108</v>
      </c>
      <c r="B10" s="9" t="s">
        <v>109</v>
      </c>
      <c r="C10" s="59">
        <v>0.18966287139541299</v>
      </c>
      <c r="D10" s="59">
        <v>0.17164657062555899</v>
      </c>
      <c r="E10" s="59">
        <v>0.118598573914324</v>
      </c>
      <c r="F10" s="59">
        <v>8.1765247895957197E-2</v>
      </c>
      <c r="G10" s="59">
        <v>5.2738985544526801E-2</v>
      </c>
      <c r="H10" s="59">
        <v>3.1319605740367698E-2</v>
      </c>
      <c r="I10" s="59">
        <v>1.5905659526159799E-2</v>
      </c>
      <c r="J10" s="59">
        <v>1.37036672098444E-2</v>
      </c>
      <c r="K10" s="59">
        <v>3.5923771492663598E-2</v>
      </c>
      <c r="L10" s="59">
        <v>6.2748041527778603E-2</v>
      </c>
      <c r="M10" s="59">
        <v>9.3575933956194401E-2</v>
      </c>
      <c r="N10" s="59">
        <v>0.13241107117121201</v>
      </c>
    </row>
    <row r="11" spans="1:14">
      <c r="A11" s="9" t="s">
        <v>110</v>
      </c>
      <c r="B11" s="9" t="s">
        <v>111</v>
      </c>
      <c r="C11" s="59">
        <v>0.202652811113675</v>
      </c>
      <c r="D11" s="59">
        <v>0.19655864031919201</v>
      </c>
      <c r="E11" s="59">
        <v>0.15868242912239899</v>
      </c>
      <c r="F11" s="59">
        <v>7.9792199252748594E-2</v>
      </c>
      <c r="G11" s="59">
        <v>4.3627505979542201E-2</v>
      </c>
      <c r="H11" s="59">
        <v>2.8448588250069799E-2</v>
      </c>
      <c r="I11" s="59">
        <v>2.23628335539321E-2</v>
      </c>
      <c r="J11" s="59">
        <v>1.8622825498283899E-2</v>
      </c>
      <c r="K11" s="59">
        <v>2.21123626886763E-2</v>
      </c>
      <c r="L11" s="59">
        <v>3.4560079174174203E-2</v>
      </c>
      <c r="M11" s="59">
        <v>7.7122924743395105E-2</v>
      </c>
      <c r="N11" s="59">
        <v>0.115456800303912</v>
      </c>
    </row>
    <row r="12" spans="1:14">
      <c r="A12" s="9" t="s">
        <v>112</v>
      </c>
      <c r="B12" s="9" t="s">
        <v>113</v>
      </c>
      <c r="C12" s="59">
        <v>0.20253037914500499</v>
      </c>
      <c r="D12" s="59">
        <v>0.240619939313232</v>
      </c>
      <c r="E12" s="59">
        <v>0.14477451913932099</v>
      </c>
      <c r="F12" s="59">
        <v>0.1244614345179</v>
      </c>
      <c r="G12" s="59">
        <v>4.5634538972084901E-2</v>
      </c>
      <c r="H12" s="59">
        <v>9.0103505800293807E-3</v>
      </c>
      <c r="I12" s="59">
        <v>2.4260323064469701E-2</v>
      </c>
      <c r="J12" s="59">
        <v>1.59430749831613E-2</v>
      </c>
      <c r="K12" s="59">
        <v>1.53165022236946E-2</v>
      </c>
      <c r="L12" s="59">
        <v>2.5281030301665501E-2</v>
      </c>
      <c r="M12" s="59">
        <v>5.6852212568989299E-2</v>
      </c>
      <c r="N12" s="59">
        <v>9.5315695190447206E-2</v>
      </c>
    </row>
    <row r="13" spans="1:14">
      <c r="A13" s="6" t="s">
        <v>114</v>
      </c>
      <c r="B13" s="9" t="s">
        <v>115</v>
      </c>
      <c r="C13" s="59">
        <v>0.20021253334828401</v>
      </c>
      <c r="D13" s="59">
        <v>0.172862160429675</v>
      </c>
      <c r="E13" s="59">
        <v>0.112982301422762</v>
      </c>
      <c r="F13" s="59">
        <v>6.7184974854792703E-2</v>
      </c>
      <c r="G13" s="59">
        <v>3.9718217370572302E-2</v>
      </c>
      <c r="H13" s="59">
        <v>2.7905183961045299E-2</v>
      </c>
      <c r="I13" s="59">
        <v>1.94673029542402E-2</v>
      </c>
      <c r="J13" s="59">
        <v>1.7488765338851499E-2</v>
      </c>
      <c r="K13" s="59">
        <v>4.6934060438460698E-2</v>
      </c>
      <c r="L13" s="59">
        <v>6.7766897682848298E-2</v>
      </c>
      <c r="M13" s="59">
        <v>9.9539884094679495E-2</v>
      </c>
      <c r="N13" s="59">
        <v>0.12793771810378901</v>
      </c>
    </row>
    <row r="14" spans="1:14">
      <c r="A14" s="6" t="s">
        <v>116</v>
      </c>
      <c r="B14" s="9" t="s">
        <v>117</v>
      </c>
      <c r="C14" s="59">
        <v>0.20197157222700399</v>
      </c>
      <c r="D14" s="59">
        <v>0.185171068266855</v>
      </c>
      <c r="E14" s="59">
        <v>0.118503613915902</v>
      </c>
      <c r="F14" s="59">
        <v>8.3757117089230504E-2</v>
      </c>
      <c r="G14" s="59">
        <v>4.9239718043834098E-2</v>
      </c>
      <c r="H14" s="59">
        <v>2.3580766541061601E-2</v>
      </c>
      <c r="I14" s="59">
        <v>1.6096905686086301E-2</v>
      </c>
      <c r="J14" s="59">
        <v>1.15913159876828E-2</v>
      </c>
      <c r="K14" s="59">
        <v>2.7534824543803599E-2</v>
      </c>
      <c r="L14" s="59">
        <v>4.40072378542255E-2</v>
      </c>
      <c r="M14" s="59">
        <v>8.2320306312840597E-2</v>
      </c>
      <c r="N14" s="59">
        <v>0.15622555353147499</v>
      </c>
    </row>
    <row r="15" spans="1:14">
      <c r="A15" s="6" t="s">
        <v>118</v>
      </c>
      <c r="B15" s="9" t="s">
        <v>119</v>
      </c>
      <c r="C15" s="59">
        <v>0.18512214934004201</v>
      </c>
      <c r="D15" s="59">
        <v>0.17016871166543099</v>
      </c>
      <c r="E15" s="59">
        <v>0.14631513172757299</v>
      </c>
      <c r="F15" s="59">
        <v>6.87310633116026E-2</v>
      </c>
      <c r="G15" s="59">
        <v>4.5326985508252697E-2</v>
      </c>
      <c r="H15" s="59">
        <v>3.5348038122189299E-2</v>
      </c>
      <c r="I15" s="59">
        <v>2.5548891589928801E-2</v>
      </c>
      <c r="J15" s="59">
        <v>2.6028360533403301E-2</v>
      </c>
      <c r="K15" s="59">
        <v>4.0981798208014897E-2</v>
      </c>
      <c r="L15" s="59">
        <v>5.5251653391281297E-2</v>
      </c>
      <c r="M15" s="59">
        <v>7.7684919666393307E-2</v>
      </c>
      <c r="N15" s="59">
        <v>0.12349229693588799</v>
      </c>
    </row>
    <row r="16" spans="1:14">
      <c r="A16" s="6" t="s">
        <v>120</v>
      </c>
      <c r="B16" s="9" t="s">
        <v>121</v>
      </c>
      <c r="C16" s="59">
        <v>0.25461522802861197</v>
      </c>
      <c r="D16" s="59">
        <v>0.165774747645482</v>
      </c>
      <c r="E16" s="59">
        <v>0.13369120110932001</v>
      </c>
      <c r="F16" s="59">
        <v>9.7617568836426E-2</v>
      </c>
      <c r="G16" s="59">
        <v>4.1267786595247102E-2</v>
      </c>
      <c r="H16" s="59">
        <v>3.4264778975678603E-2</v>
      </c>
      <c r="I16" s="59">
        <v>3.0030402275474401E-2</v>
      </c>
      <c r="J16" s="59">
        <v>2.9460390027370002E-2</v>
      </c>
      <c r="K16" s="59">
        <v>2.2375952086643801E-2</v>
      </c>
      <c r="L16" s="59">
        <v>3.4183348654520801E-2</v>
      </c>
      <c r="M16" s="59">
        <v>6.2358239775110298E-2</v>
      </c>
      <c r="N16" s="59">
        <v>9.4360355990115094E-2</v>
      </c>
    </row>
    <row r="17" spans="1:14">
      <c r="A17" s="6" t="s">
        <v>122</v>
      </c>
      <c r="B17" s="9" t="s">
        <v>123</v>
      </c>
      <c r="C17" s="59">
        <v>0.20700978630783101</v>
      </c>
      <c r="D17" s="59">
        <v>0.206128221938679</v>
      </c>
      <c r="E17" s="59">
        <v>0.14580887529559</v>
      </c>
      <c r="F17" s="59">
        <v>9.6034394760426106E-2</v>
      </c>
      <c r="G17" s="59">
        <v>5.6770874011298697E-2</v>
      </c>
      <c r="H17" s="59">
        <v>3.4867390070075603E-2</v>
      </c>
      <c r="I17" s="59">
        <v>2.02537653352967E-2</v>
      </c>
      <c r="J17" s="59">
        <v>1.49643791203883E-2</v>
      </c>
      <c r="K17" s="59">
        <v>1.8126850018377699E-2</v>
      </c>
      <c r="L17" s="59">
        <v>3.4428020648911997E-2</v>
      </c>
      <c r="M17" s="59">
        <v>5.4945583682863397E-2</v>
      </c>
      <c r="N17" s="59">
        <v>0.110661858810262</v>
      </c>
    </row>
    <row r="18" spans="1:14">
      <c r="A18" s="6" t="s">
        <v>33</v>
      </c>
      <c r="B18" s="9" t="s">
        <v>124</v>
      </c>
      <c r="C18" s="59">
        <v>0.19463922550399301</v>
      </c>
      <c r="D18" s="59">
        <v>0.18326947687731199</v>
      </c>
      <c r="E18" s="59">
        <v>0.149160230997268</v>
      </c>
      <c r="F18" s="59">
        <v>9.8048516987415804E-2</v>
      </c>
      <c r="G18" s="59">
        <v>5.7498152045925899E-2</v>
      </c>
      <c r="H18" s="59">
        <v>3.7895124140150803E-2</v>
      </c>
      <c r="I18" s="59">
        <v>2.4094507837401899E-2</v>
      </c>
      <c r="J18" s="59">
        <v>2.2064249573124101E-2</v>
      </c>
      <c r="K18" s="59">
        <v>2.9183003233946202E-2</v>
      </c>
      <c r="L18" s="59">
        <v>3.5633570630575498E-2</v>
      </c>
      <c r="M18" s="59">
        <v>6.7321019236328605E-2</v>
      </c>
      <c r="N18" s="59">
        <v>0.101192922936558</v>
      </c>
    </row>
    <row r="19" spans="1:14">
      <c r="A19" s="6" t="s">
        <v>125</v>
      </c>
      <c r="B19" s="9" t="s">
        <v>126</v>
      </c>
      <c r="C19" s="59">
        <v>0.17281165713725</v>
      </c>
      <c r="D19" s="59">
        <v>0.201727452980526</v>
      </c>
      <c r="E19" s="59">
        <v>8.4136549884535505E-2</v>
      </c>
      <c r="F19" s="59">
        <v>5.71484737641441E-2</v>
      </c>
      <c r="G19" s="59">
        <v>5.3293034318373997E-2</v>
      </c>
      <c r="H19" s="59">
        <v>5.3293034318373997E-2</v>
      </c>
      <c r="I19" s="59">
        <v>2.8232677920867699E-2</v>
      </c>
      <c r="J19" s="59">
        <v>2.6304958197982599E-2</v>
      </c>
      <c r="K19" s="59">
        <v>3.4015837089523E-2</v>
      </c>
      <c r="L19" s="59">
        <v>2.8232677920867699E-2</v>
      </c>
      <c r="M19" s="59">
        <v>9.3775148498960903E-2</v>
      </c>
      <c r="N19" s="59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127</v>
      </c>
      <c r="B1" s="6" t="s">
        <v>128</v>
      </c>
    </row>
    <row r="2" spans="1:5">
      <c r="A2" s="6" t="s">
        <v>95</v>
      </c>
      <c r="B2" s="6" t="s">
        <v>129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_xlfn._xlws.SORT(_xlfn._xlws.FILTER($B$2:$B$229,$A$2:$A$229=Sheet2!$B$19,""))</f>
        <v>거제시</v>
      </c>
    </row>
    <row r="3" spans="1:5">
      <c r="A3" s="6" t="s">
        <v>95</v>
      </c>
      <c r="B3" s="6" t="s">
        <v>130</v>
      </c>
      <c r="D3" t="str">
        <v>경기도</v>
      </c>
      <c r="E3" t="str">
        <v>거창군</v>
      </c>
    </row>
    <row r="4" spans="1:5">
      <c r="A4" s="6" t="s">
        <v>95</v>
      </c>
      <c r="B4" s="6" t="s">
        <v>131</v>
      </c>
      <c r="D4" t="str">
        <v>경상남도</v>
      </c>
      <c r="E4" t="str">
        <v>고성군</v>
      </c>
    </row>
    <row r="5" spans="1:5">
      <c r="A5" s="6" t="s">
        <v>95</v>
      </c>
      <c r="B5" s="6" t="s">
        <v>132</v>
      </c>
      <c r="D5" t="str">
        <v>경상북도</v>
      </c>
      <c r="E5" t="str">
        <v>김해시</v>
      </c>
    </row>
    <row r="6" spans="1:5">
      <c r="A6" s="6" t="s">
        <v>95</v>
      </c>
      <c r="B6" s="6" t="s">
        <v>133</v>
      </c>
      <c r="D6" t="str">
        <v>광주광역시</v>
      </c>
      <c r="E6" t="str">
        <v>남해군</v>
      </c>
    </row>
    <row r="7" spans="1:5">
      <c r="A7" s="6" t="s">
        <v>95</v>
      </c>
      <c r="B7" s="6" t="s">
        <v>134</v>
      </c>
      <c r="D7" t="str">
        <v>대구광역시</v>
      </c>
      <c r="E7" t="str">
        <v>밀양시</v>
      </c>
    </row>
    <row r="8" spans="1:5">
      <c r="A8" s="6" t="s">
        <v>95</v>
      </c>
      <c r="B8" s="6" t="s">
        <v>135</v>
      </c>
      <c r="D8" t="str">
        <v>대전광역시</v>
      </c>
      <c r="E8" t="str">
        <v>사천시</v>
      </c>
    </row>
    <row r="9" spans="1:5">
      <c r="A9" s="6" t="s">
        <v>95</v>
      </c>
      <c r="B9" s="6" t="s">
        <v>136</v>
      </c>
      <c r="D9" t="str">
        <v>부산광역시</v>
      </c>
      <c r="E9" t="str">
        <v>산청군</v>
      </c>
    </row>
    <row r="10" spans="1:5">
      <c r="A10" s="6" t="s">
        <v>95</v>
      </c>
      <c r="B10" s="6" t="s">
        <v>137</v>
      </c>
      <c r="D10" t="str">
        <v>서울특별시</v>
      </c>
      <c r="E10" t="str">
        <v>양산시</v>
      </c>
    </row>
    <row r="11" spans="1:5">
      <c r="A11" s="6" t="s">
        <v>95</v>
      </c>
      <c r="B11" s="6" t="s">
        <v>138</v>
      </c>
      <c r="D11" t="str">
        <v>세종특별자치시</v>
      </c>
      <c r="E11" t="str">
        <v>의령군</v>
      </c>
    </row>
    <row r="12" spans="1:5">
      <c r="A12" s="6" t="s">
        <v>95</v>
      </c>
      <c r="B12" s="6" t="s">
        <v>139</v>
      </c>
      <c r="D12" t="str">
        <v>울산광역시</v>
      </c>
      <c r="E12" t="str">
        <v>진주시</v>
      </c>
    </row>
    <row r="13" spans="1:5">
      <c r="A13" s="6" t="s">
        <v>95</v>
      </c>
      <c r="B13" s="6" t="s">
        <v>140</v>
      </c>
      <c r="D13" t="str">
        <v>인천광역시</v>
      </c>
      <c r="E13" t="str">
        <v>창녕군</v>
      </c>
    </row>
    <row r="14" spans="1:5">
      <c r="A14" s="6" t="s">
        <v>95</v>
      </c>
      <c r="B14" s="6" t="s">
        <v>141</v>
      </c>
      <c r="D14" t="str">
        <v>전라남도</v>
      </c>
      <c r="E14" t="str">
        <v>창원시</v>
      </c>
    </row>
    <row r="15" spans="1:5">
      <c r="A15" s="6" t="s">
        <v>95</v>
      </c>
      <c r="B15" s="6" t="s">
        <v>142</v>
      </c>
      <c r="D15" t="str">
        <v>전라북도</v>
      </c>
      <c r="E15" t="str">
        <v>통영시</v>
      </c>
    </row>
    <row r="16" spans="1:5">
      <c r="A16" s="6" t="s">
        <v>95</v>
      </c>
      <c r="B16" s="6" t="s">
        <v>143</v>
      </c>
      <c r="D16" t="str">
        <v>제주특별자치도</v>
      </c>
      <c r="E16" t="str">
        <v>하동군</v>
      </c>
    </row>
    <row r="17" spans="1:5">
      <c r="A17" s="6" t="s">
        <v>95</v>
      </c>
      <c r="B17" s="6" t="s">
        <v>144</v>
      </c>
      <c r="D17" t="str">
        <v>충청남도</v>
      </c>
      <c r="E17" t="str">
        <v>함안군</v>
      </c>
    </row>
    <row r="18" spans="1:5">
      <c r="A18" s="6" t="s">
        <v>95</v>
      </c>
      <c r="B18" s="6" t="s">
        <v>145</v>
      </c>
      <c r="D18" t="str">
        <v>충청북도</v>
      </c>
      <c r="E18" t="str">
        <v>함양군</v>
      </c>
    </row>
    <row r="19" spans="1:5">
      <c r="A19" s="6" t="s">
        <v>95</v>
      </c>
      <c r="B19" s="6" t="s">
        <v>146</v>
      </c>
      <c r="E19" t="str">
        <v>합천군</v>
      </c>
    </row>
    <row r="20" spans="1:5">
      <c r="A20" s="6" t="s">
        <v>95</v>
      </c>
      <c r="B20" s="6" t="s">
        <v>147</v>
      </c>
    </row>
    <row r="21" spans="1:5">
      <c r="A21" s="6" t="s">
        <v>95</v>
      </c>
      <c r="B21" s="6" t="s">
        <v>148</v>
      </c>
    </row>
    <row r="22" spans="1:5">
      <c r="A22" s="6" t="s">
        <v>95</v>
      </c>
      <c r="B22" s="6" t="s">
        <v>149</v>
      </c>
    </row>
    <row r="23" spans="1:5">
      <c r="A23" s="6" t="s">
        <v>95</v>
      </c>
      <c r="B23" s="6" t="s">
        <v>150</v>
      </c>
    </row>
    <row r="24" spans="1:5">
      <c r="A24" s="6" t="s">
        <v>95</v>
      </c>
      <c r="B24" s="6" t="s">
        <v>151</v>
      </c>
    </row>
    <row r="25" spans="1:5">
      <c r="A25" s="6" t="s">
        <v>95</v>
      </c>
      <c r="B25" s="6" t="s">
        <v>152</v>
      </c>
    </row>
    <row r="26" spans="1:5">
      <c r="A26" s="6" t="s">
        <v>95</v>
      </c>
      <c r="B26" s="6" t="s">
        <v>153</v>
      </c>
    </row>
    <row r="27" spans="1:5">
      <c r="A27" s="6" t="s">
        <v>154</v>
      </c>
      <c r="B27" s="6" t="s">
        <v>155</v>
      </c>
    </row>
    <row r="28" spans="1:5">
      <c r="A28" s="6" t="s">
        <v>154</v>
      </c>
      <c r="B28" s="6" t="s">
        <v>156</v>
      </c>
    </row>
    <row r="29" spans="1:5">
      <c r="A29" s="6" t="s">
        <v>154</v>
      </c>
      <c r="B29" s="6" t="s">
        <v>157</v>
      </c>
    </row>
    <row r="30" spans="1:5">
      <c r="A30" s="6" t="s">
        <v>154</v>
      </c>
      <c r="B30" s="6" t="s">
        <v>158</v>
      </c>
    </row>
    <row r="31" spans="1:5">
      <c r="A31" s="6" t="s">
        <v>154</v>
      </c>
      <c r="B31" s="6" t="s">
        <v>159</v>
      </c>
    </row>
    <row r="32" spans="1:5">
      <c r="A32" s="6" t="s">
        <v>154</v>
      </c>
      <c r="B32" s="6" t="s">
        <v>160</v>
      </c>
    </row>
    <row r="33" spans="1:2">
      <c r="A33" s="6" t="s">
        <v>154</v>
      </c>
      <c r="B33" s="6" t="s">
        <v>161</v>
      </c>
    </row>
    <row r="34" spans="1:2">
      <c r="A34" s="6" t="s">
        <v>154</v>
      </c>
      <c r="B34" s="6" t="s">
        <v>162</v>
      </c>
    </row>
    <row r="35" spans="1:2">
      <c r="A35" s="6" t="s">
        <v>154</v>
      </c>
      <c r="B35" s="6" t="s">
        <v>163</v>
      </c>
    </row>
    <row r="36" spans="1:2">
      <c r="A36" s="6" t="s">
        <v>154</v>
      </c>
      <c r="B36" s="6" t="s">
        <v>164</v>
      </c>
    </row>
    <row r="37" spans="1:2">
      <c r="A37" s="6" t="s">
        <v>154</v>
      </c>
      <c r="B37" s="6" t="s">
        <v>165</v>
      </c>
    </row>
    <row r="38" spans="1:2">
      <c r="A38" s="6" t="s">
        <v>154</v>
      </c>
      <c r="B38" s="6" t="s">
        <v>166</v>
      </c>
    </row>
    <row r="39" spans="1:2">
      <c r="A39" s="6" t="s">
        <v>154</v>
      </c>
      <c r="B39" s="6" t="s">
        <v>167</v>
      </c>
    </row>
    <row r="40" spans="1:2">
      <c r="A40" s="6" t="s">
        <v>154</v>
      </c>
      <c r="B40" s="6" t="s">
        <v>168</v>
      </c>
    </row>
    <row r="41" spans="1:2">
      <c r="A41" s="6" t="s">
        <v>154</v>
      </c>
      <c r="B41" s="6" t="s">
        <v>169</v>
      </c>
    </row>
    <row r="42" spans="1:2">
      <c r="A42" s="6" t="s">
        <v>154</v>
      </c>
      <c r="B42" s="6" t="s">
        <v>170</v>
      </c>
    </row>
    <row r="43" spans="1:2">
      <c r="A43" s="6" t="s">
        <v>154</v>
      </c>
      <c r="B43" s="6" t="s">
        <v>171</v>
      </c>
    </row>
    <row r="44" spans="1:2">
      <c r="A44" s="6" t="s">
        <v>154</v>
      </c>
      <c r="B44" s="6" t="s">
        <v>172</v>
      </c>
    </row>
    <row r="45" spans="1:2">
      <c r="A45" s="6" t="s">
        <v>110</v>
      </c>
      <c r="B45" s="6" t="s">
        <v>173</v>
      </c>
    </row>
    <row r="46" spans="1:2">
      <c r="A46" s="6" t="s">
        <v>110</v>
      </c>
      <c r="B46" s="6" t="s">
        <v>174</v>
      </c>
    </row>
    <row r="47" spans="1:2">
      <c r="A47" s="6" t="s">
        <v>110</v>
      </c>
      <c r="B47" s="6" t="s">
        <v>175</v>
      </c>
    </row>
    <row r="48" spans="1:2">
      <c r="A48" s="6" t="s">
        <v>110</v>
      </c>
      <c r="B48" s="6" t="s">
        <v>176</v>
      </c>
    </row>
    <row r="49" spans="1:2">
      <c r="A49" s="6" t="s">
        <v>110</v>
      </c>
      <c r="B49" s="6" t="s">
        <v>177</v>
      </c>
    </row>
    <row r="50" spans="1:2">
      <c r="A50" s="6" t="s">
        <v>110</v>
      </c>
      <c r="B50" s="6" t="s">
        <v>178</v>
      </c>
    </row>
    <row r="51" spans="1:2">
      <c r="A51" s="6" t="s">
        <v>110</v>
      </c>
      <c r="B51" s="6" t="s">
        <v>179</v>
      </c>
    </row>
    <row r="52" spans="1:2">
      <c r="A52" s="6" t="s">
        <v>110</v>
      </c>
      <c r="B52" s="6" t="s">
        <v>180</v>
      </c>
    </row>
    <row r="53" spans="1:2">
      <c r="A53" s="6" t="s">
        <v>110</v>
      </c>
      <c r="B53" s="6" t="s">
        <v>181</v>
      </c>
    </row>
    <row r="54" spans="1:2">
      <c r="A54" s="6" t="s">
        <v>110</v>
      </c>
      <c r="B54" s="6" t="s">
        <v>182</v>
      </c>
    </row>
    <row r="55" spans="1:2">
      <c r="A55" s="6" t="s">
        <v>110</v>
      </c>
      <c r="B55" s="6" t="s">
        <v>183</v>
      </c>
    </row>
    <row r="56" spans="1:2">
      <c r="A56" s="6" t="s">
        <v>110</v>
      </c>
      <c r="B56" s="6" t="s">
        <v>184</v>
      </c>
    </row>
    <row r="57" spans="1:2">
      <c r="A57" s="6" t="s">
        <v>110</v>
      </c>
      <c r="B57" s="6" t="s">
        <v>185</v>
      </c>
    </row>
    <row r="58" spans="1:2">
      <c r="A58" s="6" t="s">
        <v>110</v>
      </c>
      <c r="B58" s="6" t="s">
        <v>186</v>
      </c>
    </row>
    <row r="59" spans="1:2">
      <c r="A59" s="6" t="s">
        <v>110</v>
      </c>
      <c r="B59" s="6" t="s">
        <v>187</v>
      </c>
    </row>
    <row r="60" spans="1:2">
      <c r="A60" s="6" t="s">
        <v>110</v>
      </c>
      <c r="B60" s="6" t="s">
        <v>188</v>
      </c>
    </row>
    <row r="61" spans="1:2">
      <c r="A61" s="6" t="s">
        <v>110</v>
      </c>
      <c r="B61" s="6" t="s">
        <v>189</v>
      </c>
    </row>
    <row r="62" spans="1:2">
      <c r="A62" s="6" t="s">
        <v>110</v>
      </c>
      <c r="B62" s="6" t="s">
        <v>190</v>
      </c>
    </row>
    <row r="63" spans="1:2">
      <c r="A63" s="6" t="s">
        <v>110</v>
      </c>
      <c r="B63" s="6" t="s">
        <v>191</v>
      </c>
    </row>
    <row r="64" spans="1:2">
      <c r="A64" s="6" t="s">
        <v>110</v>
      </c>
      <c r="B64" s="6" t="s">
        <v>192</v>
      </c>
    </row>
    <row r="65" spans="1:2">
      <c r="A65" s="6" t="s">
        <v>110</v>
      </c>
      <c r="B65" s="6" t="s">
        <v>193</v>
      </c>
    </row>
    <row r="66" spans="1:2">
      <c r="A66" s="6" t="s">
        <v>110</v>
      </c>
      <c r="B66" s="6" t="s">
        <v>194</v>
      </c>
    </row>
    <row r="67" spans="1:2">
      <c r="A67" s="6" t="s">
        <v>110</v>
      </c>
      <c r="B67" s="6" t="s">
        <v>195</v>
      </c>
    </row>
    <row r="68" spans="1:2">
      <c r="A68" s="6" t="s">
        <v>110</v>
      </c>
      <c r="B68" s="6" t="s">
        <v>196</v>
      </c>
    </row>
    <row r="69" spans="1:2">
      <c r="A69" s="6" t="s">
        <v>110</v>
      </c>
      <c r="B69" s="6" t="s">
        <v>197</v>
      </c>
    </row>
    <row r="70" spans="1:2">
      <c r="A70" s="6" t="s">
        <v>110</v>
      </c>
      <c r="B70" s="6" t="s">
        <v>198</v>
      </c>
    </row>
    <row r="71" spans="1:2">
      <c r="A71" s="6" t="s">
        <v>110</v>
      </c>
      <c r="B71" s="6" t="s">
        <v>199</v>
      </c>
    </row>
    <row r="72" spans="1:2">
      <c r="A72" s="6" t="s">
        <v>110</v>
      </c>
      <c r="B72" s="6" t="s">
        <v>200</v>
      </c>
    </row>
    <row r="73" spans="1:2">
      <c r="A73" s="6" t="s">
        <v>110</v>
      </c>
      <c r="B73" s="6" t="s">
        <v>201</v>
      </c>
    </row>
    <row r="74" spans="1:2">
      <c r="A74" s="6" t="s">
        <v>110</v>
      </c>
      <c r="B74" s="6" t="s">
        <v>202</v>
      </c>
    </row>
    <row r="75" spans="1:2">
      <c r="A75" s="6" t="s">
        <v>110</v>
      </c>
      <c r="B75" s="6" t="s">
        <v>203</v>
      </c>
    </row>
    <row r="76" spans="1:2">
      <c r="A76" s="6" t="s">
        <v>125</v>
      </c>
      <c r="B76" s="6" t="s">
        <v>204</v>
      </c>
    </row>
    <row r="77" spans="1:2">
      <c r="A77" s="6" t="s">
        <v>125</v>
      </c>
      <c r="B77" s="6" t="s">
        <v>205</v>
      </c>
    </row>
    <row r="78" spans="1:2">
      <c r="A78" s="6" t="s">
        <v>100</v>
      </c>
      <c r="B78" s="6" t="s">
        <v>130</v>
      </c>
    </row>
    <row r="79" spans="1:2">
      <c r="A79" s="6" t="s">
        <v>100</v>
      </c>
      <c r="B79" s="6" t="s">
        <v>206</v>
      </c>
    </row>
    <row r="80" spans="1:2">
      <c r="A80" s="6" t="s">
        <v>100</v>
      </c>
      <c r="B80" s="6" t="s">
        <v>207</v>
      </c>
    </row>
    <row r="81" spans="1:2">
      <c r="A81" s="6" t="s">
        <v>100</v>
      </c>
      <c r="B81" s="6" t="s">
        <v>208</v>
      </c>
    </row>
    <row r="82" spans="1:2">
      <c r="A82" s="6" t="s">
        <v>100</v>
      </c>
      <c r="B82" s="6" t="s">
        <v>209</v>
      </c>
    </row>
    <row r="83" spans="1:2">
      <c r="A83" s="6" t="s">
        <v>100</v>
      </c>
      <c r="B83" s="6" t="s">
        <v>210</v>
      </c>
    </row>
    <row r="84" spans="1:2">
      <c r="A84" s="6" t="s">
        <v>100</v>
      </c>
      <c r="B84" s="6" t="s">
        <v>211</v>
      </c>
    </row>
    <row r="85" spans="1:2">
      <c r="A85" s="6" t="s">
        <v>100</v>
      </c>
      <c r="B85" s="6" t="s">
        <v>212</v>
      </c>
    </row>
    <row r="86" spans="1:2">
      <c r="A86" s="6" t="s">
        <v>100</v>
      </c>
      <c r="B86" s="6" t="s">
        <v>213</v>
      </c>
    </row>
    <row r="87" spans="1:2">
      <c r="A87" s="6" t="s">
        <v>100</v>
      </c>
      <c r="B87" s="6" t="s">
        <v>214</v>
      </c>
    </row>
    <row r="88" spans="1:2">
      <c r="A88" s="6" t="s">
        <v>96</v>
      </c>
      <c r="B88" s="6" t="s">
        <v>130</v>
      </c>
    </row>
    <row r="89" spans="1:2">
      <c r="A89" s="6" t="s">
        <v>96</v>
      </c>
      <c r="B89" s="6" t="s">
        <v>212</v>
      </c>
    </row>
    <row r="90" spans="1:2">
      <c r="A90" s="6" t="s">
        <v>96</v>
      </c>
      <c r="B90" s="6" t="s">
        <v>206</v>
      </c>
    </row>
    <row r="91" spans="1:2">
      <c r="A91" s="6" t="s">
        <v>96</v>
      </c>
      <c r="B91" s="6" t="s">
        <v>215</v>
      </c>
    </row>
    <row r="92" spans="1:2">
      <c r="A92" s="6" t="s">
        <v>96</v>
      </c>
      <c r="B92" s="6" t="s">
        <v>216</v>
      </c>
    </row>
    <row r="93" spans="1:2">
      <c r="A93" s="6" t="s">
        <v>96</v>
      </c>
      <c r="B93" s="6" t="s">
        <v>217</v>
      </c>
    </row>
    <row r="94" spans="1:2">
      <c r="A94" s="6" t="s">
        <v>96</v>
      </c>
      <c r="B94" s="6" t="s">
        <v>218</v>
      </c>
    </row>
    <row r="95" spans="1:2">
      <c r="A95" s="6" t="s">
        <v>96</v>
      </c>
      <c r="B95" s="6" t="s">
        <v>219</v>
      </c>
    </row>
    <row r="96" spans="1:2">
      <c r="A96" s="6" t="s">
        <v>96</v>
      </c>
      <c r="B96" s="6" t="s">
        <v>220</v>
      </c>
    </row>
    <row r="97" spans="1:2">
      <c r="A97" s="6" t="s">
        <v>96</v>
      </c>
      <c r="B97" s="6" t="s">
        <v>221</v>
      </c>
    </row>
    <row r="98" spans="1:2">
      <c r="A98" s="6" t="s">
        <v>96</v>
      </c>
      <c r="B98" s="6" t="s">
        <v>222</v>
      </c>
    </row>
    <row r="99" spans="1:2">
      <c r="A99" s="6" t="s">
        <v>96</v>
      </c>
      <c r="B99" s="6" t="s">
        <v>144</v>
      </c>
    </row>
    <row r="100" spans="1:2">
      <c r="A100" s="6" t="s">
        <v>96</v>
      </c>
      <c r="B100" s="6" t="s">
        <v>223</v>
      </c>
    </row>
    <row r="101" spans="1:2">
      <c r="A101" s="6" t="s">
        <v>96</v>
      </c>
      <c r="B101" s="6" t="s">
        <v>224</v>
      </c>
    </row>
    <row r="102" spans="1:2">
      <c r="A102" s="6" t="s">
        <v>96</v>
      </c>
      <c r="B102" s="6" t="s">
        <v>225</v>
      </c>
    </row>
    <row r="103" spans="1:2">
      <c r="A103" s="6" t="s">
        <v>96</v>
      </c>
      <c r="B103" s="6" t="s">
        <v>226</v>
      </c>
    </row>
    <row r="104" spans="1:2">
      <c r="A104" s="6" t="s">
        <v>98</v>
      </c>
      <c r="B104" s="6" t="s">
        <v>130</v>
      </c>
    </row>
    <row r="105" spans="1:2">
      <c r="A105" s="6" t="s">
        <v>98</v>
      </c>
      <c r="B105" s="6" t="s">
        <v>206</v>
      </c>
    </row>
    <row r="106" spans="1:2">
      <c r="A106" s="6" t="s">
        <v>98</v>
      </c>
      <c r="B106" s="6" t="s">
        <v>212</v>
      </c>
    </row>
    <row r="107" spans="1:2">
      <c r="A107" s="6" t="s">
        <v>98</v>
      </c>
      <c r="B107" s="6" t="s">
        <v>218</v>
      </c>
    </row>
    <row r="108" spans="1:2">
      <c r="A108" s="6" t="s">
        <v>98</v>
      </c>
      <c r="B108" s="6" t="s">
        <v>219</v>
      </c>
    </row>
    <row r="109" spans="1:2">
      <c r="A109" s="6" t="s">
        <v>98</v>
      </c>
      <c r="B109" s="6" t="s">
        <v>227</v>
      </c>
    </row>
    <row r="110" spans="1:2">
      <c r="A110" s="6" t="s">
        <v>98</v>
      </c>
      <c r="B110" s="6" t="s">
        <v>228</v>
      </c>
    </row>
    <row r="111" spans="1:2">
      <c r="A111" s="6" t="s">
        <v>98</v>
      </c>
      <c r="B111" s="6" t="s">
        <v>229</v>
      </c>
    </row>
    <row r="112" spans="1:2">
      <c r="A112" s="6" t="s">
        <v>108</v>
      </c>
      <c r="B112" s="6" t="s">
        <v>108</v>
      </c>
    </row>
    <row r="113" spans="1:2">
      <c r="A113" s="6" t="s">
        <v>104</v>
      </c>
      <c r="B113" s="6" t="s">
        <v>206</v>
      </c>
    </row>
    <row r="114" spans="1:2">
      <c r="A114" s="6" t="s">
        <v>104</v>
      </c>
      <c r="B114" s="6" t="s">
        <v>130</v>
      </c>
    </row>
    <row r="115" spans="1:2">
      <c r="A115" s="6" t="s">
        <v>104</v>
      </c>
      <c r="B115" s="6" t="s">
        <v>212</v>
      </c>
    </row>
    <row r="116" spans="1:2">
      <c r="A116" s="6" t="s">
        <v>104</v>
      </c>
      <c r="B116" s="6" t="s">
        <v>230</v>
      </c>
    </row>
    <row r="117" spans="1:2">
      <c r="A117" s="6" t="s">
        <v>104</v>
      </c>
      <c r="B117" s="6" t="s">
        <v>231</v>
      </c>
    </row>
    <row r="118" spans="1:2">
      <c r="A118" s="6" t="s">
        <v>106</v>
      </c>
      <c r="B118" s="6" t="s">
        <v>130</v>
      </c>
    </row>
    <row r="119" spans="1:2">
      <c r="A119" s="6" t="s">
        <v>106</v>
      </c>
      <c r="B119" s="6" t="s">
        <v>218</v>
      </c>
    </row>
    <row r="120" spans="1:2">
      <c r="A120" s="6" t="s">
        <v>106</v>
      </c>
      <c r="B120" s="6" t="s">
        <v>206</v>
      </c>
    </row>
    <row r="121" spans="1:2">
      <c r="A121" s="6" t="s">
        <v>106</v>
      </c>
      <c r="B121" s="6" t="s">
        <v>219</v>
      </c>
    </row>
    <row r="122" spans="1:2">
      <c r="A122" s="6" t="s">
        <v>106</v>
      </c>
      <c r="B122" s="6" t="s">
        <v>232</v>
      </c>
    </row>
    <row r="123" spans="1:2">
      <c r="A123" s="6" t="s">
        <v>102</v>
      </c>
      <c r="B123" s="6" t="s">
        <v>206</v>
      </c>
    </row>
    <row r="124" spans="1:2">
      <c r="A124" s="6" t="s">
        <v>102</v>
      </c>
      <c r="B124" s="6" t="s">
        <v>212</v>
      </c>
    </row>
    <row r="125" spans="1:2">
      <c r="A125" s="6" t="s">
        <v>102</v>
      </c>
      <c r="B125" s="6" t="s">
        <v>218</v>
      </c>
    </row>
    <row r="126" spans="1:2">
      <c r="A126" s="6" t="s">
        <v>102</v>
      </c>
      <c r="B126" s="6" t="s">
        <v>219</v>
      </c>
    </row>
    <row r="127" spans="1:2">
      <c r="A127" s="6" t="s">
        <v>102</v>
      </c>
      <c r="B127" s="6" t="s">
        <v>233</v>
      </c>
    </row>
    <row r="128" spans="1:2">
      <c r="A128" s="6" t="s">
        <v>114</v>
      </c>
      <c r="B128" s="6" t="s">
        <v>234</v>
      </c>
    </row>
    <row r="129" spans="1:2">
      <c r="A129" s="6" t="s">
        <v>114</v>
      </c>
      <c r="B129" s="6" t="s">
        <v>235</v>
      </c>
    </row>
    <row r="130" spans="1:2">
      <c r="A130" s="6" t="s">
        <v>114</v>
      </c>
      <c r="B130" s="6" t="s">
        <v>236</v>
      </c>
    </row>
    <row r="131" spans="1:2">
      <c r="A131" s="6" t="s">
        <v>114</v>
      </c>
      <c r="B131" s="6" t="s">
        <v>237</v>
      </c>
    </row>
    <row r="132" spans="1:2">
      <c r="A132" s="6" t="s">
        <v>114</v>
      </c>
      <c r="B132" s="6" t="s">
        <v>238</v>
      </c>
    </row>
    <row r="133" spans="1:2">
      <c r="A133" s="6" t="s">
        <v>114</v>
      </c>
      <c r="B133" s="6" t="s">
        <v>239</v>
      </c>
    </row>
    <row r="134" spans="1:2">
      <c r="A134" s="6" t="s">
        <v>114</v>
      </c>
      <c r="B134" s="6" t="s">
        <v>240</v>
      </c>
    </row>
    <row r="135" spans="1:2">
      <c r="A135" s="6" t="s">
        <v>114</v>
      </c>
      <c r="B135" s="6" t="s">
        <v>241</v>
      </c>
    </row>
    <row r="136" spans="1:2">
      <c r="A136" s="6" t="s">
        <v>114</v>
      </c>
      <c r="B136" s="6" t="s">
        <v>242</v>
      </c>
    </row>
    <row r="137" spans="1:2">
      <c r="A137" s="6" t="s">
        <v>114</v>
      </c>
      <c r="B137" s="6" t="s">
        <v>243</v>
      </c>
    </row>
    <row r="138" spans="1:2">
      <c r="A138" s="6" t="s">
        <v>114</v>
      </c>
      <c r="B138" s="6" t="s">
        <v>244</v>
      </c>
    </row>
    <row r="139" spans="1:2">
      <c r="A139" s="6" t="s">
        <v>116</v>
      </c>
      <c r="B139" s="6" t="s">
        <v>245</v>
      </c>
    </row>
    <row r="140" spans="1:2">
      <c r="A140" s="6" t="s">
        <v>116</v>
      </c>
      <c r="B140" s="6" t="s">
        <v>246</v>
      </c>
    </row>
    <row r="141" spans="1:2">
      <c r="A141" s="6" t="s">
        <v>116</v>
      </c>
      <c r="B141" s="6" t="s">
        <v>247</v>
      </c>
    </row>
    <row r="142" spans="1:2">
      <c r="A142" s="6" t="s">
        <v>116</v>
      </c>
      <c r="B142" s="6" t="s">
        <v>248</v>
      </c>
    </row>
    <row r="143" spans="1:2">
      <c r="A143" s="6" t="s">
        <v>116</v>
      </c>
      <c r="B143" s="6" t="s">
        <v>249</v>
      </c>
    </row>
    <row r="144" spans="1:2">
      <c r="A144" s="6" t="s">
        <v>116</v>
      </c>
      <c r="B144" s="6" t="s">
        <v>250</v>
      </c>
    </row>
    <row r="145" spans="1:2">
      <c r="A145" s="6" t="s">
        <v>116</v>
      </c>
      <c r="B145" s="6" t="s">
        <v>251</v>
      </c>
    </row>
    <row r="146" spans="1:2">
      <c r="A146" s="6" t="s">
        <v>116</v>
      </c>
      <c r="B146" s="6" t="s">
        <v>252</v>
      </c>
    </row>
    <row r="147" spans="1:2">
      <c r="A147" s="6" t="s">
        <v>116</v>
      </c>
      <c r="B147" s="6" t="s">
        <v>253</v>
      </c>
    </row>
    <row r="148" spans="1:2">
      <c r="A148" s="6" t="s">
        <v>116</v>
      </c>
      <c r="B148" s="6" t="s">
        <v>254</v>
      </c>
    </row>
    <row r="149" spans="1:2">
      <c r="A149" s="6" t="s">
        <v>116</v>
      </c>
      <c r="B149" s="6" t="s">
        <v>255</v>
      </c>
    </row>
    <row r="150" spans="1:2">
      <c r="A150" s="6" t="s">
        <v>116</v>
      </c>
      <c r="B150" s="6" t="s">
        <v>256</v>
      </c>
    </row>
    <row r="151" spans="1:2">
      <c r="A151" s="6" t="s">
        <v>116</v>
      </c>
      <c r="B151" s="6" t="s">
        <v>257</v>
      </c>
    </row>
    <row r="152" spans="1:2">
      <c r="A152" s="6" t="s">
        <v>116</v>
      </c>
      <c r="B152" s="6" t="s">
        <v>258</v>
      </c>
    </row>
    <row r="153" spans="1:2">
      <c r="A153" s="6" t="s">
        <v>116</v>
      </c>
      <c r="B153" s="6" t="s">
        <v>259</v>
      </c>
    </row>
    <row r="154" spans="1:2">
      <c r="A154" s="6" t="s">
        <v>260</v>
      </c>
      <c r="B154" s="6" t="s">
        <v>261</v>
      </c>
    </row>
    <row r="155" spans="1:2">
      <c r="A155" s="6" t="s">
        <v>260</v>
      </c>
      <c r="B155" s="6" t="s">
        <v>262</v>
      </c>
    </row>
    <row r="156" spans="1:2">
      <c r="A156" s="6" t="s">
        <v>260</v>
      </c>
      <c r="B156" s="6" t="s">
        <v>263</v>
      </c>
    </row>
    <row r="157" spans="1:2">
      <c r="A157" s="6" t="s">
        <v>260</v>
      </c>
      <c r="B157" s="6" t="s">
        <v>264</v>
      </c>
    </row>
    <row r="158" spans="1:2">
      <c r="A158" s="6" t="s">
        <v>260</v>
      </c>
      <c r="B158" s="6" t="s">
        <v>265</v>
      </c>
    </row>
    <row r="159" spans="1:2">
      <c r="A159" s="6" t="s">
        <v>260</v>
      </c>
      <c r="B159" s="6" t="s">
        <v>266</v>
      </c>
    </row>
    <row r="160" spans="1:2">
      <c r="A160" s="6" t="s">
        <v>260</v>
      </c>
      <c r="B160" s="6" t="s">
        <v>267</v>
      </c>
    </row>
    <row r="161" spans="1:2">
      <c r="A161" s="6" t="s">
        <v>260</v>
      </c>
      <c r="B161" s="6" t="s">
        <v>268</v>
      </c>
    </row>
    <row r="162" spans="1:2">
      <c r="A162" s="6" t="s">
        <v>260</v>
      </c>
      <c r="B162" s="6" t="s">
        <v>269</v>
      </c>
    </row>
    <row r="163" spans="1:2">
      <c r="A163" s="6" t="s">
        <v>260</v>
      </c>
      <c r="B163" s="6" t="s">
        <v>270</v>
      </c>
    </row>
    <row r="164" spans="1:2">
      <c r="A164" s="6" t="s">
        <v>260</v>
      </c>
      <c r="B164" s="6" t="s">
        <v>271</v>
      </c>
    </row>
    <row r="165" spans="1:2">
      <c r="A165" s="6" t="s">
        <v>260</v>
      </c>
      <c r="B165" s="6" t="s">
        <v>272</v>
      </c>
    </row>
    <row r="166" spans="1:2">
      <c r="A166" s="6" t="s">
        <v>260</v>
      </c>
      <c r="B166" s="6" t="s">
        <v>273</v>
      </c>
    </row>
    <row r="167" spans="1:2">
      <c r="A167" s="6" t="s">
        <v>260</v>
      </c>
      <c r="B167" s="6" t="s">
        <v>274</v>
      </c>
    </row>
    <row r="168" spans="1:2">
      <c r="A168" s="6" t="s">
        <v>120</v>
      </c>
      <c r="B168" s="6" t="s">
        <v>275</v>
      </c>
    </row>
    <row r="169" spans="1:2">
      <c r="A169" s="6" t="s">
        <v>120</v>
      </c>
      <c r="B169" s="6" t="s">
        <v>276</v>
      </c>
    </row>
    <row r="170" spans="1:2">
      <c r="A170" s="6" t="s">
        <v>120</v>
      </c>
      <c r="B170" s="6" t="s">
        <v>277</v>
      </c>
    </row>
    <row r="171" spans="1:2">
      <c r="A171" s="6" t="s">
        <v>120</v>
      </c>
      <c r="B171" s="6" t="s">
        <v>278</v>
      </c>
    </row>
    <row r="172" spans="1:2">
      <c r="A172" s="6" t="s">
        <v>120</v>
      </c>
      <c r="B172" s="6" t="s">
        <v>279</v>
      </c>
    </row>
    <row r="173" spans="1:2">
      <c r="A173" s="6" t="s">
        <v>120</v>
      </c>
      <c r="B173" s="6" t="s">
        <v>280</v>
      </c>
    </row>
    <row r="174" spans="1:2">
      <c r="A174" s="6" t="s">
        <v>120</v>
      </c>
      <c r="B174" s="6" t="s">
        <v>281</v>
      </c>
    </row>
    <row r="175" spans="1:2">
      <c r="A175" s="6" t="s">
        <v>120</v>
      </c>
      <c r="B175" s="6" t="s">
        <v>282</v>
      </c>
    </row>
    <row r="176" spans="1:2">
      <c r="A176" s="6" t="s">
        <v>120</v>
      </c>
      <c r="B176" s="6" t="s">
        <v>283</v>
      </c>
    </row>
    <row r="177" spans="1:2">
      <c r="A177" s="6" t="s">
        <v>120</v>
      </c>
      <c r="B177" s="6" t="s">
        <v>284</v>
      </c>
    </row>
    <row r="178" spans="1:2">
      <c r="A178" s="6" t="s">
        <v>120</v>
      </c>
      <c r="B178" s="6" t="s">
        <v>285</v>
      </c>
    </row>
    <row r="179" spans="1:2">
      <c r="A179" s="6" t="s">
        <v>120</v>
      </c>
      <c r="B179" s="6" t="s">
        <v>286</v>
      </c>
    </row>
    <row r="180" spans="1:2">
      <c r="A180" s="6" t="s">
        <v>120</v>
      </c>
      <c r="B180" s="6" t="s">
        <v>287</v>
      </c>
    </row>
    <row r="181" spans="1:2">
      <c r="A181" s="6" t="s">
        <v>120</v>
      </c>
      <c r="B181" s="6" t="s">
        <v>288</v>
      </c>
    </row>
    <row r="182" spans="1:2">
      <c r="A182" s="6" t="s">
        <v>120</v>
      </c>
      <c r="B182" s="6" t="s">
        <v>289</v>
      </c>
    </row>
    <row r="183" spans="1:2">
      <c r="A183" s="6" t="s">
        <v>120</v>
      </c>
      <c r="B183" s="6" t="s">
        <v>290</v>
      </c>
    </row>
    <row r="184" spans="1:2">
      <c r="A184" s="6" t="s">
        <v>120</v>
      </c>
      <c r="B184" s="6" t="s">
        <v>291</v>
      </c>
    </row>
    <row r="185" spans="1:2">
      <c r="A185" s="6" t="s">
        <v>120</v>
      </c>
      <c r="B185" s="6" t="s">
        <v>292</v>
      </c>
    </row>
    <row r="186" spans="1:2">
      <c r="A186" s="6" t="s">
        <v>120</v>
      </c>
      <c r="B186" s="6" t="s">
        <v>293</v>
      </c>
    </row>
    <row r="187" spans="1:2">
      <c r="A187" s="6" t="s">
        <v>120</v>
      </c>
      <c r="B187" s="6" t="s">
        <v>294</v>
      </c>
    </row>
    <row r="188" spans="1:2">
      <c r="A188" s="6" t="s">
        <v>120</v>
      </c>
      <c r="B188" s="6" t="s">
        <v>295</v>
      </c>
    </row>
    <row r="189" spans="1:2">
      <c r="A189" s="6" t="s">
        <v>120</v>
      </c>
      <c r="B189" s="6" t="s">
        <v>296</v>
      </c>
    </row>
    <row r="190" spans="1:2">
      <c r="A190" s="6" t="s">
        <v>122</v>
      </c>
      <c r="B190" s="6" t="s">
        <v>297</v>
      </c>
    </row>
    <row r="191" spans="1:2">
      <c r="A191" s="6" t="s">
        <v>122</v>
      </c>
      <c r="B191" s="6" t="s">
        <v>298</v>
      </c>
    </row>
    <row r="192" spans="1:2">
      <c r="A192" s="6" t="s">
        <v>122</v>
      </c>
      <c r="B192" s="6" t="s">
        <v>299</v>
      </c>
    </row>
    <row r="193" spans="1:2">
      <c r="A193" s="6" t="s">
        <v>122</v>
      </c>
      <c r="B193" s="6" t="s">
        <v>300</v>
      </c>
    </row>
    <row r="194" spans="1:2">
      <c r="A194" s="6" t="s">
        <v>122</v>
      </c>
      <c r="B194" s="6" t="s">
        <v>301</v>
      </c>
    </row>
    <row r="195" spans="1:2">
      <c r="A195" s="6" t="s">
        <v>122</v>
      </c>
      <c r="B195" s="6" t="s">
        <v>302</v>
      </c>
    </row>
    <row r="196" spans="1:2">
      <c r="A196" s="6" t="s">
        <v>122</v>
      </c>
      <c r="B196" s="6" t="s">
        <v>303</v>
      </c>
    </row>
    <row r="197" spans="1:2">
      <c r="A197" s="6" t="s">
        <v>122</v>
      </c>
      <c r="B197" s="6" t="s">
        <v>304</v>
      </c>
    </row>
    <row r="198" spans="1:2">
      <c r="A198" s="6" t="s">
        <v>122</v>
      </c>
      <c r="B198" s="6" t="s">
        <v>305</v>
      </c>
    </row>
    <row r="199" spans="1:2">
      <c r="A199" s="6" t="s">
        <v>122</v>
      </c>
      <c r="B199" s="6" t="s">
        <v>306</v>
      </c>
    </row>
    <row r="200" spans="1:2">
      <c r="A200" s="6" t="s">
        <v>122</v>
      </c>
      <c r="B200" s="6" t="s">
        <v>307</v>
      </c>
    </row>
    <row r="201" spans="1:2">
      <c r="A201" s="6" t="s">
        <v>122</v>
      </c>
      <c r="B201" s="6" t="s">
        <v>308</v>
      </c>
    </row>
    <row r="202" spans="1:2">
      <c r="A202" s="6" t="s">
        <v>122</v>
      </c>
      <c r="B202" s="6" t="s">
        <v>309</v>
      </c>
    </row>
    <row r="203" spans="1:2">
      <c r="A203" s="6" t="s">
        <v>122</v>
      </c>
      <c r="B203" s="6" t="s">
        <v>310</v>
      </c>
    </row>
    <row r="204" spans="1:2">
      <c r="A204" s="6" t="s">
        <v>122</v>
      </c>
      <c r="B204" s="6" t="s">
        <v>311</v>
      </c>
    </row>
    <row r="205" spans="1:2">
      <c r="A205" s="6" t="s">
        <v>122</v>
      </c>
      <c r="B205" s="6" t="s">
        <v>312</v>
      </c>
    </row>
    <row r="206" spans="1:2">
      <c r="A206" s="6" t="s">
        <v>122</v>
      </c>
      <c r="B206" s="6" t="s">
        <v>313</v>
      </c>
    </row>
    <row r="207" spans="1:2">
      <c r="A207" s="6" t="s">
        <v>122</v>
      </c>
      <c r="B207" s="6" t="s">
        <v>314</v>
      </c>
    </row>
    <row r="208" spans="1:2">
      <c r="A208" s="6" t="s">
        <v>122</v>
      </c>
      <c r="B208" s="6" t="s">
        <v>315</v>
      </c>
    </row>
    <row r="209" spans="1:2">
      <c r="A209" s="6" t="s">
        <v>122</v>
      </c>
      <c r="B209" s="6" t="s">
        <v>316</v>
      </c>
    </row>
    <row r="210" spans="1:2">
      <c r="A210" s="6" t="s">
        <v>122</v>
      </c>
      <c r="B210" s="6" t="s">
        <v>317</v>
      </c>
    </row>
    <row r="211" spans="1:2">
      <c r="A211" s="6" t="s">
        <v>122</v>
      </c>
      <c r="B211" s="6" t="s">
        <v>318</v>
      </c>
    </row>
    <row r="212" spans="1:2">
      <c r="A212" s="6" t="s">
        <v>33</v>
      </c>
      <c r="B212" s="6" t="s">
        <v>319</v>
      </c>
    </row>
    <row r="213" spans="1:2">
      <c r="A213" s="6" t="s">
        <v>33</v>
      </c>
      <c r="B213" s="6" t="s">
        <v>320</v>
      </c>
    </row>
    <row r="214" spans="1:2">
      <c r="A214" s="6" t="s">
        <v>33</v>
      </c>
      <c r="B214" s="6" t="s">
        <v>321</v>
      </c>
    </row>
    <row r="215" spans="1:2">
      <c r="A215" s="6" t="s">
        <v>33</v>
      </c>
      <c r="B215" s="6" t="s">
        <v>322</v>
      </c>
    </row>
    <row r="216" spans="1:2">
      <c r="A216" s="6" t="s">
        <v>33</v>
      </c>
      <c r="B216" s="6" t="s">
        <v>323</v>
      </c>
    </row>
    <row r="217" spans="1:2">
      <c r="A217" s="6" t="s">
        <v>33</v>
      </c>
      <c r="B217" s="6" t="s">
        <v>324</v>
      </c>
    </row>
    <row r="218" spans="1:2">
      <c r="A218" s="6" t="s">
        <v>33</v>
      </c>
      <c r="B218" s="6" t="s">
        <v>325</v>
      </c>
    </row>
    <row r="219" spans="1:2">
      <c r="A219" s="6" t="s">
        <v>33</v>
      </c>
      <c r="B219" s="6" t="s">
        <v>326</v>
      </c>
    </row>
    <row r="220" spans="1:2">
      <c r="A220" s="6" t="s">
        <v>33</v>
      </c>
      <c r="B220" s="6" t="s">
        <v>327</v>
      </c>
    </row>
    <row r="221" spans="1:2">
      <c r="A221" s="6" t="s">
        <v>33</v>
      </c>
      <c r="B221" s="6" t="s">
        <v>328</v>
      </c>
    </row>
    <row r="222" spans="1:2">
      <c r="A222" s="6" t="s">
        <v>33</v>
      </c>
      <c r="B222" s="6" t="s">
        <v>329</v>
      </c>
    </row>
    <row r="223" spans="1:2">
      <c r="A223" s="6" t="s">
        <v>33</v>
      </c>
      <c r="B223" s="6" t="s">
        <v>171</v>
      </c>
    </row>
    <row r="224" spans="1:2">
      <c r="A224" s="6" t="s">
        <v>33</v>
      </c>
      <c r="B224" s="6" t="s">
        <v>330</v>
      </c>
    </row>
    <row r="225" spans="1:2">
      <c r="A225" s="6" t="s">
        <v>33</v>
      </c>
      <c r="B225" s="6" t="s">
        <v>331</v>
      </c>
    </row>
    <row r="226" spans="1:2">
      <c r="A226" s="6" t="s">
        <v>33</v>
      </c>
      <c r="B226" s="6" t="s">
        <v>332</v>
      </c>
    </row>
    <row r="227" spans="1:2">
      <c r="A227" s="6" t="s">
        <v>33</v>
      </c>
      <c r="B227" s="6" t="s">
        <v>333</v>
      </c>
    </row>
    <row r="228" spans="1:2">
      <c r="A228" s="6" t="s">
        <v>33</v>
      </c>
      <c r="B228" s="6" t="s">
        <v>34</v>
      </c>
    </row>
    <row r="229" spans="1:2">
      <c r="A229" s="6" t="s">
        <v>33</v>
      </c>
      <c r="B229" s="6" t="s">
        <v>334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60" customWidth="1"/>
    <col min="2" max="14" width="7" style="60" customWidth="1"/>
    <col min="15" max="16384" width="7.625" style="60"/>
  </cols>
  <sheetData>
    <row r="1" spans="1:26" ht="25.5" customHeight="1">
      <c r="A1" s="174" t="s">
        <v>335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3" spans="1:26" ht="21.75" customHeight="1">
      <c r="A3" s="175" t="s">
        <v>336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</row>
    <row r="4" spans="1:26" ht="21.75" customHeight="1">
      <c r="A4" s="61" t="s">
        <v>337</v>
      </c>
      <c r="B4" s="62" t="s">
        <v>338</v>
      </c>
      <c r="C4" s="62" t="s">
        <v>339</v>
      </c>
      <c r="D4" s="62" t="s">
        <v>340</v>
      </c>
      <c r="E4" s="62" t="s">
        <v>341</v>
      </c>
      <c r="F4" s="62" t="s">
        <v>342</v>
      </c>
      <c r="G4" s="62" t="s">
        <v>343</v>
      </c>
      <c r="H4" s="62" t="s">
        <v>344</v>
      </c>
      <c r="I4" s="62" t="s">
        <v>345</v>
      </c>
      <c r="J4" s="62" t="s">
        <v>346</v>
      </c>
      <c r="K4" s="62" t="s">
        <v>347</v>
      </c>
      <c r="L4" s="62" t="s">
        <v>348</v>
      </c>
      <c r="M4" s="62" t="s">
        <v>349</v>
      </c>
      <c r="N4" s="61" t="s">
        <v>350</v>
      </c>
    </row>
    <row r="5" spans="1:26" ht="19.5" customHeight="1">
      <c r="A5" s="63" t="s">
        <v>351</v>
      </c>
      <c r="B5" s="64">
        <v>-9.1999999999999993</v>
      </c>
      <c r="C5" s="64">
        <v>-6.3</v>
      </c>
      <c r="D5" s="64">
        <v>0.3</v>
      </c>
      <c r="E5" s="64">
        <v>8.4</v>
      </c>
      <c r="F5" s="64">
        <v>15</v>
      </c>
      <c r="G5" s="64">
        <v>19.600000000000001</v>
      </c>
      <c r="H5" s="64">
        <v>24.1</v>
      </c>
      <c r="I5" s="64">
        <v>24.3</v>
      </c>
      <c r="J5" s="64">
        <v>17.8</v>
      </c>
      <c r="K5" s="64">
        <v>9.8000000000000007</v>
      </c>
      <c r="L5" s="64">
        <v>1.5</v>
      </c>
      <c r="M5" s="64">
        <v>-6.8</v>
      </c>
      <c r="N5" s="65">
        <f t="shared" ref="N5:N29" si="0">AVERAGE(B5,C5,D5,E5,F5,G5,H5,I5,J5,K5,L5,M5)</f>
        <v>8.2083333333333339</v>
      </c>
    </row>
    <row r="6" spans="1:26" ht="18" customHeight="1">
      <c r="A6" s="63" t="s">
        <v>352</v>
      </c>
      <c r="B6" s="64">
        <v>9.8000000000000007</v>
      </c>
      <c r="C6" s="64">
        <v>10.199999999999999</v>
      </c>
      <c r="D6" s="64">
        <v>11</v>
      </c>
      <c r="E6" s="64">
        <v>12.1</v>
      </c>
      <c r="F6" s="64">
        <v>11.5</v>
      </c>
      <c r="G6" s="64">
        <v>10</v>
      </c>
      <c r="H6" s="64">
        <v>8.8000000000000007</v>
      </c>
      <c r="I6" s="64">
        <v>9.1999999999999993</v>
      </c>
      <c r="J6" s="64">
        <v>10.5</v>
      </c>
      <c r="K6" s="64">
        <v>11.8</v>
      </c>
      <c r="L6" s="64">
        <v>10.3</v>
      </c>
      <c r="M6" s="64">
        <v>9.5</v>
      </c>
      <c r="N6" s="65">
        <f t="shared" si="0"/>
        <v>10.391666666666666</v>
      </c>
    </row>
    <row r="7" spans="1:26" ht="16.5" customHeight="1">
      <c r="A7" s="66">
        <v>0</v>
      </c>
      <c r="B7" s="64">
        <f t="shared" ref="B7:M7" si="1">B5+(B6/2)*-0.866025</f>
        <v>-13.4435225</v>
      </c>
      <c r="C7" s="64">
        <f t="shared" si="1"/>
        <v>-10.716727500000001</v>
      </c>
      <c r="D7" s="64">
        <f t="shared" si="1"/>
        <v>-4.4631375000000002</v>
      </c>
      <c r="E7" s="64">
        <f t="shared" si="1"/>
        <v>3.1605487500000002</v>
      </c>
      <c r="F7" s="64">
        <f t="shared" si="1"/>
        <v>10.020356249999999</v>
      </c>
      <c r="G7" s="64">
        <f t="shared" si="1"/>
        <v>15.269875000000001</v>
      </c>
      <c r="H7" s="64">
        <f t="shared" si="1"/>
        <v>20.289490000000001</v>
      </c>
      <c r="I7" s="64">
        <f t="shared" si="1"/>
        <v>20.316285000000001</v>
      </c>
      <c r="J7" s="64">
        <f t="shared" si="1"/>
        <v>13.25336875</v>
      </c>
      <c r="K7" s="64">
        <f t="shared" si="1"/>
        <v>4.6904525000000001</v>
      </c>
      <c r="L7" s="64">
        <f t="shared" si="1"/>
        <v>-2.9600287500000002</v>
      </c>
      <c r="M7" s="64">
        <f t="shared" si="1"/>
        <v>-10.913618750000001</v>
      </c>
      <c r="N7" s="67">
        <f t="shared" si="0"/>
        <v>3.7086117708333339</v>
      </c>
    </row>
    <row r="8" spans="1:26" ht="16.5" customHeight="1">
      <c r="A8" s="66">
        <v>1</v>
      </c>
      <c r="B8" s="64">
        <f t="shared" ref="B8:M8" si="2">B5+(B6/2)*-0.965926</f>
        <v>-13.9330374</v>
      </c>
      <c r="C8" s="64">
        <f t="shared" si="2"/>
        <v>-11.2262226</v>
      </c>
      <c r="D8" s="64">
        <f t="shared" si="2"/>
        <v>-5.0125929999999999</v>
      </c>
      <c r="E8" s="64">
        <f t="shared" si="2"/>
        <v>2.5561477000000012</v>
      </c>
      <c r="F8" s="64">
        <f t="shared" si="2"/>
        <v>9.4459255000000013</v>
      </c>
      <c r="G8" s="64">
        <f t="shared" si="2"/>
        <v>14.770370000000002</v>
      </c>
      <c r="H8" s="64">
        <f t="shared" si="2"/>
        <v>19.849925600000002</v>
      </c>
      <c r="I8" s="64">
        <f t="shared" si="2"/>
        <v>19.8567404</v>
      </c>
      <c r="J8" s="64">
        <f t="shared" si="2"/>
        <v>12.7288885</v>
      </c>
      <c r="K8" s="64">
        <f t="shared" si="2"/>
        <v>4.1010366000000005</v>
      </c>
      <c r="L8" s="64">
        <f t="shared" si="2"/>
        <v>-3.4745189000000005</v>
      </c>
      <c r="M8" s="64">
        <f t="shared" si="2"/>
        <v>-11.3881485</v>
      </c>
      <c r="N8" s="67">
        <f t="shared" si="0"/>
        <v>3.1895428250000006</v>
      </c>
    </row>
    <row r="9" spans="1:26" ht="16.5" customHeight="1">
      <c r="A9" s="66">
        <v>2</v>
      </c>
      <c r="B9" s="64">
        <f t="shared" ref="B9:M9" si="3">B5+(B6/2)*-1</f>
        <v>-14.1</v>
      </c>
      <c r="C9" s="64">
        <f t="shared" si="3"/>
        <v>-11.399999999999999</v>
      </c>
      <c r="D9" s="64">
        <f t="shared" si="3"/>
        <v>-5.2</v>
      </c>
      <c r="E9" s="64">
        <f t="shared" si="3"/>
        <v>2.3500000000000005</v>
      </c>
      <c r="F9" s="64">
        <f t="shared" si="3"/>
        <v>9.25</v>
      </c>
      <c r="G9" s="64">
        <f t="shared" si="3"/>
        <v>14.600000000000001</v>
      </c>
      <c r="H9" s="64">
        <f t="shared" si="3"/>
        <v>19.700000000000003</v>
      </c>
      <c r="I9" s="64">
        <f t="shared" si="3"/>
        <v>19.700000000000003</v>
      </c>
      <c r="J9" s="64">
        <f t="shared" si="3"/>
        <v>12.55</v>
      </c>
      <c r="K9" s="64">
        <f t="shared" si="3"/>
        <v>3.9000000000000004</v>
      </c>
      <c r="L9" s="64">
        <f t="shared" si="3"/>
        <v>-3.6500000000000004</v>
      </c>
      <c r="M9" s="64">
        <f t="shared" si="3"/>
        <v>-11.55</v>
      </c>
      <c r="N9" s="67">
        <f t="shared" si="0"/>
        <v>3.0125000000000006</v>
      </c>
    </row>
    <row r="10" spans="1:26" ht="16.5" customHeight="1">
      <c r="A10" s="66">
        <v>3</v>
      </c>
      <c r="B10" s="64">
        <f t="shared" ref="B10:M10" si="4">B5+(B6/2)*-0.965926</f>
        <v>-13.9330374</v>
      </c>
      <c r="C10" s="64">
        <f t="shared" si="4"/>
        <v>-11.2262226</v>
      </c>
      <c r="D10" s="64">
        <f t="shared" si="4"/>
        <v>-5.0125929999999999</v>
      </c>
      <c r="E10" s="64">
        <f t="shared" si="4"/>
        <v>2.5561477000000012</v>
      </c>
      <c r="F10" s="64">
        <f t="shared" si="4"/>
        <v>9.4459255000000013</v>
      </c>
      <c r="G10" s="64">
        <f t="shared" si="4"/>
        <v>14.770370000000002</v>
      </c>
      <c r="H10" s="64">
        <f t="shared" si="4"/>
        <v>19.849925600000002</v>
      </c>
      <c r="I10" s="64">
        <f t="shared" si="4"/>
        <v>19.8567404</v>
      </c>
      <c r="J10" s="64">
        <f t="shared" si="4"/>
        <v>12.7288885</v>
      </c>
      <c r="K10" s="64">
        <f t="shared" si="4"/>
        <v>4.1010366000000005</v>
      </c>
      <c r="L10" s="64">
        <f t="shared" si="4"/>
        <v>-3.4745189000000005</v>
      </c>
      <c r="M10" s="64">
        <f t="shared" si="4"/>
        <v>-11.3881485</v>
      </c>
      <c r="N10" s="67">
        <f t="shared" si="0"/>
        <v>3.1895428250000006</v>
      </c>
    </row>
    <row r="11" spans="1:26" ht="16.5" customHeight="1">
      <c r="A11" s="66">
        <v>4</v>
      </c>
      <c r="B11" s="64">
        <f t="shared" ref="B11:M11" si="5">B5+(B6/2)*-0.866025</f>
        <v>-13.4435225</v>
      </c>
      <c r="C11" s="64">
        <f t="shared" si="5"/>
        <v>-10.716727500000001</v>
      </c>
      <c r="D11" s="64">
        <f t="shared" si="5"/>
        <v>-4.4631375000000002</v>
      </c>
      <c r="E11" s="64">
        <f t="shared" si="5"/>
        <v>3.1605487500000002</v>
      </c>
      <c r="F11" s="64">
        <f t="shared" si="5"/>
        <v>10.020356249999999</v>
      </c>
      <c r="G11" s="64">
        <f t="shared" si="5"/>
        <v>15.269875000000001</v>
      </c>
      <c r="H11" s="64">
        <f t="shared" si="5"/>
        <v>20.289490000000001</v>
      </c>
      <c r="I11" s="64">
        <f t="shared" si="5"/>
        <v>20.316285000000001</v>
      </c>
      <c r="J11" s="64">
        <f t="shared" si="5"/>
        <v>13.25336875</v>
      </c>
      <c r="K11" s="64">
        <f t="shared" si="5"/>
        <v>4.6904525000000001</v>
      </c>
      <c r="L11" s="64">
        <f t="shared" si="5"/>
        <v>-2.9600287500000002</v>
      </c>
      <c r="M11" s="64">
        <f t="shared" si="5"/>
        <v>-10.913618750000001</v>
      </c>
      <c r="N11" s="67">
        <f t="shared" si="0"/>
        <v>3.7086117708333339</v>
      </c>
    </row>
    <row r="12" spans="1:26" ht="16.5" customHeight="1">
      <c r="A12" s="66">
        <v>5</v>
      </c>
      <c r="B12" s="64">
        <f t="shared" ref="B12:M12" si="6">B5+(B6/2)*-0.707107</f>
        <v>-12.664824299999999</v>
      </c>
      <c r="C12" s="64">
        <f t="shared" si="6"/>
        <v>-9.9062456999999995</v>
      </c>
      <c r="D12" s="64">
        <f t="shared" si="6"/>
        <v>-3.5890885000000003</v>
      </c>
      <c r="E12" s="64">
        <f t="shared" si="6"/>
        <v>4.1220026500000007</v>
      </c>
      <c r="F12" s="64">
        <f t="shared" si="6"/>
        <v>10.93413475</v>
      </c>
      <c r="G12" s="64">
        <f t="shared" si="6"/>
        <v>16.064465000000002</v>
      </c>
      <c r="H12" s="64">
        <f t="shared" si="6"/>
        <v>20.988729200000002</v>
      </c>
      <c r="I12" s="64">
        <f t="shared" si="6"/>
        <v>21.047307800000002</v>
      </c>
      <c r="J12" s="64">
        <f t="shared" si="6"/>
        <v>14.087688250000001</v>
      </c>
      <c r="K12" s="64">
        <f t="shared" si="6"/>
        <v>5.6280687</v>
      </c>
      <c r="L12" s="64">
        <f t="shared" si="6"/>
        <v>-2.1416010500000007</v>
      </c>
      <c r="M12" s="64">
        <f t="shared" si="6"/>
        <v>-10.15875825</v>
      </c>
      <c r="N12" s="67">
        <f t="shared" si="0"/>
        <v>4.5343232125000004</v>
      </c>
    </row>
    <row r="13" spans="1:26" ht="16.5" customHeight="1">
      <c r="A13" s="66">
        <v>6</v>
      </c>
      <c r="B13" s="64">
        <f t="shared" ref="B13:M13" si="7">B5+(B6/2)*-0.5</f>
        <v>-11.649999999999999</v>
      </c>
      <c r="C13" s="64">
        <f t="shared" si="7"/>
        <v>-8.85</v>
      </c>
      <c r="D13" s="64">
        <f t="shared" si="7"/>
        <v>-2.4500000000000002</v>
      </c>
      <c r="E13" s="64">
        <f t="shared" si="7"/>
        <v>5.375</v>
      </c>
      <c r="F13" s="64">
        <f t="shared" si="7"/>
        <v>12.125</v>
      </c>
      <c r="G13" s="64">
        <f t="shared" si="7"/>
        <v>17.100000000000001</v>
      </c>
      <c r="H13" s="64">
        <f t="shared" si="7"/>
        <v>21.900000000000002</v>
      </c>
      <c r="I13" s="64">
        <f t="shared" si="7"/>
        <v>22</v>
      </c>
      <c r="J13" s="64">
        <f t="shared" si="7"/>
        <v>15.175000000000001</v>
      </c>
      <c r="K13" s="64">
        <f t="shared" si="7"/>
        <v>6.8500000000000005</v>
      </c>
      <c r="L13" s="64">
        <f t="shared" si="7"/>
        <v>-1.0750000000000002</v>
      </c>
      <c r="M13" s="64">
        <f t="shared" si="7"/>
        <v>-9.1750000000000007</v>
      </c>
      <c r="N13" s="67">
        <f t="shared" si="0"/>
        <v>5.6104166666666666</v>
      </c>
    </row>
    <row r="14" spans="1:26" ht="16.5" customHeight="1">
      <c r="A14" s="66">
        <v>7</v>
      </c>
      <c r="B14" s="64">
        <f t="shared" ref="B14:M14" si="8">B5+(B6/2)*-0.258819</f>
        <v>-10.4682131</v>
      </c>
      <c r="C14" s="64">
        <f t="shared" si="8"/>
        <v>-7.6199769000000002</v>
      </c>
      <c r="D14" s="64">
        <f t="shared" si="8"/>
        <v>-1.1235045000000001</v>
      </c>
      <c r="E14" s="64">
        <f t="shared" si="8"/>
        <v>6.8341450500000001</v>
      </c>
      <c r="F14" s="64">
        <f t="shared" si="8"/>
        <v>13.511790749999999</v>
      </c>
      <c r="G14" s="64">
        <f t="shared" si="8"/>
        <v>18.305905000000003</v>
      </c>
      <c r="H14" s="64">
        <f t="shared" si="8"/>
        <v>22.961196400000002</v>
      </c>
      <c r="I14" s="64">
        <f t="shared" si="8"/>
        <v>23.109432600000002</v>
      </c>
      <c r="J14" s="64">
        <f t="shared" si="8"/>
        <v>16.441200250000001</v>
      </c>
      <c r="K14" s="64">
        <f t="shared" si="8"/>
        <v>8.2729679000000012</v>
      </c>
      <c r="L14" s="64">
        <f t="shared" si="8"/>
        <v>0.16708214999999971</v>
      </c>
      <c r="M14" s="64">
        <f t="shared" si="8"/>
        <v>-8.0293902500000005</v>
      </c>
      <c r="N14" s="67">
        <f t="shared" si="0"/>
        <v>6.8635529458333338</v>
      </c>
    </row>
    <row r="15" spans="1:26" ht="16.5" customHeight="1">
      <c r="A15" s="66">
        <v>8</v>
      </c>
      <c r="B15" s="64">
        <f t="shared" ref="B15:M15" si="9">B5+(B6/2)*0</f>
        <v>-9.1999999999999993</v>
      </c>
      <c r="C15" s="64">
        <f t="shared" si="9"/>
        <v>-6.3</v>
      </c>
      <c r="D15" s="64">
        <f t="shared" si="9"/>
        <v>0.3</v>
      </c>
      <c r="E15" s="64">
        <f t="shared" si="9"/>
        <v>8.4</v>
      </c>
      <c r="F15" s="64">
        <f t="shared" si="9"/>
        <v>15</v>
      </c>
      <c r="G15" s="64">
        <f t="shared" si="9"/>
        <v>19.600000000000001</v>
      </c>
      <c r="H15" s="64">
        <f t="shared" si="9"/>
        <v>24.1</v>
      </c>
      <c r="I15" s="64">
        <f t="shared" si="9"/>
        <v>24.3</v>
      </c>
      <c r="J15" s="64">
        <f t="shared" si="9"/>
        <v>17.8</v>
      </c>
      <c r="K15" s="64">
        <f t="shared" si="9"/>
        <v>9.8000000000000007</v>
      </c>
      <c r="L15" s="64">
        <f t="shared" si="9"/>
        <v>1.5</v>
      </c>
      <c r="M15" s="64">
        <f t="shared" si="9"/>
        <v>-6.8</v>
      </c>
      <c r="N15" s="67">
        <f t="shared" si="0"/>
        <v>8.2083333333333339</v>
      </c>
    </row>
    <row r="16" spans="1:26" ht="16.5" customHeight="1">
      <c r="A16" s="66">
        <v>9</v>
      </c>
      <c r="B16" s="64">
        <f t="shared" ref="B16:M16" si="10">B5+(B6/2)*0.258819</f>
        <v>-7.9317868999999988</v>
      </c>
      <c r="C16" s="64">
        <f t="shared" si="10"/>
        <v>-4.9800230999999995</v>
      </c>
      <c r="D16" s="64">
        <f t="shared" si="10"/>
        <v>1.7235045000000002</v>
      </c>
      <c r="E16" s="64">
        <f t="shared" si="10"/>
        <v>9.9658549500000007</v>
      </c>
      <c r="F16" s="64">
        <f t="shared" si="10"/>
        <v>16.488209250000001</v>
      </c>
      <c r="G16" s="64">
        <f t="shared" si="10"/>
        <v>20.894095</v>
      </c>
      <c r="H16" s="64">
        <f t="shared" si="10"/>
        <v>25.238803600000001</v>
      </c>
      <c r="I16" s="64">
        <f t="shared" si="10"/>
        <v>25.4905674</v>
      </c>
      <c r="J16" s="64">
        <f t="shared" si="10"/>
        <v>19.15879975</v>
      </c>
      <c r="K16" s="64">
        <f t="shared" si="10"/>
        <v>11.3270321</v>
      </c>
      <c r="L16" s="64">
        <f t="shared" si="10"/>
        <v>2.8329178500000003</v>
      </c>
      <c r="M16" s="64">
        <f t="shared" si="10"/>
        <v>-5.57060975</v>
      </c>
      <c r="N16" s="67">
        <f t="shared" si="0"/>
        <v>9.5531137208333323</v>
      </c>
    </row>
    <row r="17" spans="1:14" ht="16.5" customHeight="1">
      <c r="A17" s="66">
        <v>10</v>
      </c>
      <c r="B17" s="64">
        <f t="shared" ref="B17:M17" si="11">B5+(B6/2)*0.5</f>
        <v>-6.7499999999999991</v>
      </c>
      <c r="C17" s="64">
        <f t="shared" si="11"/>
        <v>-3.75</v>
      </c>
      <c r="D17" s="64">
        <f t="shared" si="11"/>
        <v>3.05</v>
      </c>
      <c r="E17" s="64">
        <f t="shared" si="11"/>
        <v>11.425000000000001</v>
      </c>
      <c r="F17" s="64">
        <f t="shared" si="11"/>
        <v>17.875</v>
      </c>
      <c r="G17" s="64">
        <f t="shared" si="11"/>
        <v>22.1</v>
      </c>
      <c r="H17" s="64">
        <f t="shared" si="11"/>
        <v>26.3</v>
      </c>
      <c r="I17" s="64">
        <f t="shared" si="11"/>
        <v>26.6</v>
      </c>
      <c r="J17" s="64">
        <f t="shared" si="11"/>
        <v>20.425000000000001</v>
      </c>
      <c r="K17" s="64">
        <f t="shared" si="11"/>
        <v>12.75</v>
      </c>
      <c r="L17" s="64">
        <f t="shared" si="11"/>
        <v>4.0750000000000002</v>
      </c>
      <c r="M17" s="64">
        <f t="shared" si="11"/>
        <v>-4.4249999999999998</v>
      </c>
      <c r="N17" s="67">
        <f t="shared" si="0"/>
        <v>10.806249999999997</v>
      </c>
    </row>
    <row r="18" spans="1:14" ht="16.5" customHeight="1">
      <c r="A18" s="66">
        <v>11</v>
      </c>
      <c r="B18" s="64">
        <f t="shared" ref="B18:M18" si="12">B5+(B6/2)*0.707107</f>
        <v>-5.7351756999999992</v>
      </c>
      <c r="C18" s="64">
        <f t="shared" si="12"/>
        <v>-2.6937542999999997</v>
      </c>
      <c r="D18" s="64">
        <f t="shared" si="12"/>
        <v>4.1890885000000004</v>
      </c>
      <c r="E18" s="64">
        <f t="shared" si="12"/>
        <v>12.67799735</v>
      </c>
      <c r="F18" s="64">
        <f t="shared" si="12"/>
        <v>19.065865250000002</v>
      </c>
      <c r="G18" s="64">
        <f t="shared" si="12"/>
        <v>23.135535000000001</v>
      </c>
      <c r="H18" s="64">
        <f t="shared" si="12"/>
        <v>27.211270800000001</v>
      </c>
      <c r="I18" s="64">
        <f t="shared" si="12"/>
        <v>27.552692199999999</v>
      </c>
      <c r="J18" s="64">
        <f t="shared" si="12"/>
        <v>21.512311750000002</v>
      </c>
      <c r="K18" s="64">
        <f t="shared" si="12"/>
        <v>13.971931300000001</v>
      </c>
      <c r="L18" s="64">
        <f t="shared" si="12"/>
        <v>5.1416010500000002</v>
      </c>
      <c r="M18" s="64">
        <f t="shared" si="12"/>
        <v>-3.4412417499999997</v>
      </c>
      <c r="N18" s="67">
        <f t="shared" si="0"/>
        <v>11.882343454166667</v>
      </c>
    </row>
    <row r="19" spans="1:14" ht="16.5" customHeight="1">
      <c r="A19" s="66">
        <v>12</v>
      </c>
      <c r="B19" s="64">
        <f t="shared" ref="B19:M19" si="13">B5+(B6/2)*0.866025</f>
        <v>-4.9564774999999992</v>
      </c>
      <c r="C19" s="64">
        <f t="shared" si="13"/>
        <v>-1.8832724999999995</v>
      </c>
      <c r="D19" s="64">
        <f t="shared" si="13"/>
        <v>5.0631374999999998</v>
      </c>
      <c r="E19" s="64">
        <f t="shared" si="13"/>
        <v>13.63945125</v>
      </c>
      <c r="F19" s="64">
        <f t="shared" si="13"/>
        <v>19.979643750000001</v>
      </c>
      <c r="G19" s="64">
        <f t="shared" si="13"/>
        <v>23.930125000000004</v>
      </c>
      <c r="H19" s="64">
        <f t="shared" si="13"/>
        <v>27.910510000000002</v>
      </c>
      <c r="I19" s="64">
        <f t="shared" si="13"/>
        <v>28.283715000000001</v>
      </c>
      <c r="J19" s="64">
        <f t="shared" si="13"/>
        <v>22.346631250000002</v>
      </c>
      <c r="K19" s="64">
        <f t="shared" si="13"/>
        <v>14.909547500000002</v>
      </c>
      <c r="L19" s="64">
        <f t="shared" si="13"/>
        <v>5.9600287500000002</v>
      </c>
      <c r="M19" s="64">
        <f t="shared" si="13"/>
        <v>-2.6863812499999993</v>
      </c>
      <c r="N19" s="67">
        <f t="shared" si="0"/>
        <v>12.708054895833333</v>
      </c>
    </row>
    <row r="20" spans="1:14" ht="16.5" customHeight="1">
      <c r="A20" s="66">
        <v>13</v>
      </c>
      <c r="B20" s="64">
        <f t="shared" ref="B20:M20" si="14">B5+(B6/2)*0.965926</f>
        <v>-4.4669625999999996</v>
      </c>
      <c r="C20" s="64">
        <f t="shared" si="14"/>
        <v>-1.3737774000000007</v>
      </c>
      <c r="D20" s="64">
        <f t="shared" si="14"/>
        <v>5.6125929999999995</v>
      </c>
      <c r="E20" s="64">
        <f t="shared" si="14"/>
        <v>14.2438523</v>
      </c>
      <c r="F20" s="64">
        <f t="shared" si="14"/>
        <v>20.554074499999999</v>
      </c>
      <c r="G20" s="64">
        <f t="shared" si="14"/>
        <v>24.429630000000003</v>
      </c>
      <c r="H20" s="64">
        <f t="shared" si="14"/>
        <v>28.3500744</v>
      </c>
      <c r="I20" s="64">
        <f t="shared" si="14"/>
        <v>28.743259600000002</v>
      </c>
      <c r="J20" s="64">
        <f t="shared" si="14"/>
        <v>22.871111500000001</v>
      </c>
      <c r="K20" s="64">
        <f t="shared" si="14"/>
        <v>15.498963400000001</v>
      </c>
      <c r="L20" s="64">
        <f t="shared" si="14"/>
        <v>6.4745189000000005</v>
      </c>
      <c r="M20" s="64">
        <f t="shared" si="14"/>
        <v>-2.2118514999999999</v>
      </c>
      <c r="N20" s="67">
        <f t="shared" si="0"/>
        <v>13.227123841666668</v>
      </c>
    </row>
    <row r="21" spans="1:14" ht="16.5" customHeight="1">
      <c r="A21" s="66">
        <v>14</v>
      </c>
      <c r="B21" s="64">
        <f t="shared" ref="B21:M21" si="15">B5+(B6/2)*1</f>
        <v>-4.2999999999999989</v>
      </c>
      <c r="C21" s="64">
        <f t="shared" si="15"/>
        <v>-1.2000000000000002</v>
      </c>
      <c r="D21" s="64">
        <f t="shared" si="15"/>
        <v>5.8</v>
      </c>
      <c r="E21" s="64">
        <f t="shared" si="15"/>
        <v>14.45</v>
      </c>
      <c r="F21" s="64">
        <f t="shared" si="15"/>
        <v>20.75</v>
      </c>
      <c r="G21" s="64">
        <f t="shared" si="15"/>
        <v>24.6</v>
      </c>
      <c r="H21" s="64">
        <f t="shared" si="15"/>
        <v>28.5</v>
      </c>
      <c r="I21" s="64">
        <f t="shared" si="15"/>
        <v>28.9</v>
      </c>
      <c r="J21" s="64">
        <f t="shared" si="15"/>
        <v>23.05</v>
      </c>
      <c r="K21" s="64">
        <f t="shared" si="15"/>
        <v>15.700000000000001</v>
      </c>
      <c r="L21" s="64">
        <f t="shared" si="15"/>
        <v>6.65</v>
      </c>
      <c r="M21" s="64">
        <f t="shared" si="15"/>
        <v>-2.0499999999999998</v>
      </c>
      <c r="N21" s="67">
        <f t="shared" si="0"/>
        <v>13.404166666666667</v>
      </c>
    </row>
    <row r="22" spans="1:14" ht="16.5" customHeight="1">
      <c r="A22" s="66">
        <v>15</v>
      </c>
      <c r="B22" s="64">
        <f t="shared" ref="B22:M22" si="16">B5+(B6/2)*0.965926</f>
        <v>-4.4669625999999996</v>
      </c>
      <c r="C22" s="64">
        <f t="shared" si="16"/>
        <v>-1.3737774000000007</v>
      </c>
      <c r="D22" s="64">
        <f t="shared" si="16"/>
        <v>5.6125929999999995</v>
      </c>
      <c r="E22" s="64">
        <f t="shared" si="16"/>
        <v>14.2438523</v>
      </c>
      <c r="F22" s="64">
        <f t="shared" si="16"/>
        <v>20.554074499999999</v>
      </c>
      <c r="G22" s="64">
        <f t="shared" si="16"/>
        <v>24.429630000000003</v>
      </c>
      <c r="H22" s="64">
        <f t="shared" si="16"/>
        <v>28.3500744</v>
      </c>
      <c r="I22" s="64">
        <f t="shared" si="16"/>
        <v>28.743259600000002</v>
      </c>
      <c r="J22" s="64">
        <f t="shared" si="16"/>
        <v>22.871111500000001</v>
      </c>
      <c r="K22" s="64">
        <f t="shared" si="16"/>
        <v>15.498963400000001</v>
      </c>
      <c r="L22" s="64">
        <f t="shared" si="16"/>
        <v>6.4745189000000005</v>
      </c>
      <c r="M22" s="64">
        <f t="shared" si="16"/>
        <v>-2.2118514999999999</v>
      </c>
      <c r="N22" s="67">
        <f t="shared" si="0"/>
        <v>13.227123841666668</v>
      </c>
    </row>
    <row r="23" spans="1:14" ht="16.5" customHeight="1">
      <c r="A23" s="66">
        <v>16</v>
      </c>
      <c r="B23" s="64">
        <f t="shared" ref="B23:M23" si="17">B5+(B6/2)*0.866025</f>
        <v>-4.9564774999999992</v>
      </c>
      <c r="C23" s="64">
        <f t="shared" si="17"/>
        <v>-1.8832724999999995</v>
      </c>
      <c r="D23" s="64">
        <f t="shared" si="17"/>
        <v>5.0631374999999998</v>
      </c>
      <c r="E23" s="64">
        <f t="shared" si="17"/>
        <v>13.63945125</v>
      </c>
      <c r="F23" s="64">
        <f t="shared" si="17"/>
        <v>19.979643750000001</v>
      </c>
      <c r="G23" s="64">
        <f t="shared" si="17"/>
        <v>23.930125000000004</v>
      </c>
      <c r="H23" s="64">
        <f t="shared" si="17"/>
        <v>27.910510000000002</v>
      </c>
      <c r="I23" s="64">
        <f t="shared" si="17"/>
        <v>28.283715000000001</v>
      </c>
      <c r="J23" s="64">
        <f t="shared" si="17"/>
        <v>22.346631250000002</v>
      </c>
      <c r="K23" s="64">
        <f t="shared" si="17"/>
        <v>14.909547500000002</v>
      </c>
      <c r="L23" s="64">
        <f t="shared" si="17"/>
        <v>5.9600287500000002</v>
      </c>
      <c r="M23" s="64">
        <f t="shared" si="17"/>
        <v>-2.6863812499999993</v>
      </c>
      <c r="N23" s="67">
        <f t="shared" si="0"/>
        <v>12.708054895833333</v>
      </c>
    </row>
    <row r="24" spans="1:14" ht="16.5" customHeight="1">
      <c r="A24" s="66">
        <v>17</v>
      </c>
      <c r="B24" s="64">
        <f t="shared" ref="B24:M24" si="18">B5+(B6/2)*0.707107</f>
        <v>-5.7351756999999992</v>
      </c>
      <c r="C24" s="64">
        <f t="shared" si="18"/>
        <v>-2.6937542999999997</v>
      </c>
      <c r="D24" s="64">
        <f t="shared" si="18"/>
        <v>4.1890885000000004</v>
      </c>
      <c r="E24" s="64">
        <f t="shared" si="18"/>
        <v>12.67799735</v>
      </c>
      <c r="F24" s="64">
        <f t="shared" si="18"/>
        <v>19.065865250000002</v>
      </c>
      <c r="G24" s="64">
        <f t="shared" si="18"/>
        <v>23.135535000000001</v>
      </c>
      <c r="H24" s="64">
        <f t="shared" si="18"/>
        <v>27.211270800000001</v>
      </c>
      <c r="I24" s="64">
        <f t="shared" si="18"/>
        <v>27.552692199999999</v>
      </c>
      <c r="J24" s="64">
        <f t="shared" si="18"/>
        <v>21.512311750000002</v>
      </c>
      <c r="K24" s="64">
        <f t="shared" si="18"/>
        <v>13.971931300000001</v>
      </c>
      <c r="L24" s="64">
        <f t="shared" si="18"/>
        <v>5.1416010500000002</v>
      </c>
      <c r="M24" s="64">
        <f t="shared" si="18"/>
        <v>-3.4412417499999997</v>
      </c>
      <c r="N24" s="67">
        <f t="shared" si="0"/>
        <v>11.882343454166667</v>
      </c>
    </row>
    <row r="25" spans="1:14" ht="16.5" customHeight="1">
      <c r="A25" s="66">
        <v>18</v>
      </c>
      <c r="B25" s="64">
        <f t="shared" ref="B25:M25" si="19">B5+(B6/2)*0.5</f>
        <v>-6.7499999999999991</v>
      </c>
      <c r="C25" s="64">
        <f t="shared" si="19"/>
        <v>-3.75</v>
      </c>
      <c r="D25" s="64">
        <f t="shared" si="19"/>
        <v>3.05</v>
      </c>
      <c r="E25" s="64">
        <f t="shared" si="19"/>
        <v>11.425000000000001</v>
      </c>
      <c r="F25" s="64">
        <f t="shared" si="19"/>
        <v>17.875</v>
      </c>
      <c r="G25" s="64">
        <f t="shared" si="19"/>
        <v>22.1</v>
      </c>
      <c r="H25" s="64">
        <f t="shared" si="19"/>
        <v>26.3</v>
      </c>
      <c r="I25" s="64">
        <f t="shared" si="19"/>
        <v>26.6</v>
      </c>
      <c r="J25" s="64">
        <f t="shared" si="19"/>
        <v>20.425000000000001</v>
      </c>
      <c r="K25" s="64">
        <f t="shared" si="19"/>
        <v>12.75</v>
      </c>
      <c r="L25" s="64">
        <f t="shared" si="19"/>
        <v>4.0750000000000002</v>
      </c>
      <c r="M25" s="64">
        <f t="shared" si="19"/>
        <v>-4.4249999999999998</v>
      </c>
      <c r="N25" s="67">
        <f t="shared" si="0"/>
        <v>10.806249999999997</v>
      </c>
    </row>
    <row r="26" spans="1:14" ht="16.5" customHeight="1">
      <c r="A26" s="66">
        <v>19</v>
      </c>
      <c r="B26" s="64">
        <f t="shared" ref="B26:M26" si="20">B5+(B6/2)*0.258819</f>
        <v>-7.9317868999999988</v>
      </c>
      <c r="C26" s="64">
        <f t="shared" si="20"/>
        <v>-4.9800230999999995</v>
      </c>
      <c r="D26" s="64">
        <f t="shared" si="20"/>
        <v>1.7235045000000002</v>
      </c>
      <c r="E26" s="64">
        <f t="shared" si="20"/>
        <v>9.9658549500000007</v>
      </c>
      <c r="F26" s="64">
        <f t="shared" si="20"/>
        <v>16.488209250000001</v>
      </c>
      <c r="G26" s="64">
        <f t="shared" si="20"/>
        <v>20.894095</v>
      </c>
      <c r="H26" s="64">
        <f t="shared" si="20"/>
        <v>25.238803600000001</v>
      </c>
      <c r="I26" s="64">
        <f t="shared" si="20"/>
        <v>25.4905674</v>
      </c>
      <c r="J26" s="64">
        <f t="shared" si="20"/>
        <v>19.15879975</v>
      </c>
      <c r="K26" s="64">
        <f t="shared" si="20"/>
        <v>11.3270321</v>
      </c>
      <c r="L26" s="64">
        <f t="shared" si="20"/>
        <v>2.8329178500000003</v>
      </c>
      <c r="M26" s="64">
        <f t="shared" si="20"/>
        <v>-5.57060975</v>
      </c>
      <c r="N26" s="67">
        <f t="shared" si="0"/>
        <v>9.5531137208333323</v>
      </c>
    </row>
    <row r="27" spans="1:14" ht="16.5" customHeight="1">
      <c r="A27" s="66">
        <v>20</v>
      </c>
      <c r="B27" s="64">
        <f t="shared" ref="B27:M27" si="21">B5+(B6/2)*0</f>
        <v>-9.1999999999999993</v>
      </c>
      <c r="C27" s="64">
        <f t="shared" si="21"/>
        <v>-6.3</v>
      </c>
      <c r="D27" s="64">
        <f t="shared" si="21"/>
        <v>0.3</v>
      </c>
      <c r="E27" s="64">
        <f t="shared" si="21"/>
        <v>8.4</v>
      </c>
      <c r="F27" s="64">
        <f t="shared" si="21"/>
        <v>15</v>
      </c>
      <c r="G27" s="64">
        <f t="shared" si="21"/>
        <v>19.600000000000001</v>
      </c>
      <c r="H27" s="64">
        <f t="shared" si="21"/>
        <v>24.1</v>
      </c>
      <c r="I27" s="64">
        <f t="shared" si="21"/>
        <v>24.3</v>
      </c>
      <c r="J27" s="64">
        <f t="shared" si="21"/>
        <v>17.8</v>
      </c>
      <c r="K27" s="64">
        <f t="shared" si="21"/>
        <v>9.8000000000000007</v>
      </c>
      <c r="L27" s="64">
        <f t="shared" si="21"/>
        <v>1.5</v>
      </c>
      <c r="M27" s="64">
        <f t="shared" si="21"/>
        <v>-6.8</v>
      </c>
      <c r="N27" s="67">
        <f t="shared" si="0"/>
        <v>8.2083333333333339</v>
      </c>
    </row>
    <row r="28" spans="1:14" ht="16.5" customHeight="1">
      <c r="A28" s="66">
        <v>21</v>
      </c>
      <c r="B28" s="64">
        <f t="shared" ref="B28:M28" si="22">B5+(B6/2)*-0.258819</f>
        <v>-10.4682131</v>
      </c>
      <c r="C28" s="64">
        <f t="shared" si="22"/>
        <v>-7.6199769000000002</v>
      </c>
      <c r="D28" s="64">
        <f t="shared" si="22"/>
        <v>-1.1235045000000001</v>
      </c>
      <c r="E28" s="64">
        <f t="shared" si="22"/>
        <v>6.8341450500000001</v>
      </c>
      <c r="F28" s="64">
        <f t="shared" si="22"/>
        <v>13.511790749999999</v>
      </c>
      <c r="G28" s="64">
        <f t="shared" si="22"/>
        <v>18.305905000000003</v>
      </c>
      <c r="H28" s="64">
        <f t="shared" si="22"/>
        <v>22.961196400000002</v>
      </c>
      <c r="I28" s="64">
        <f t="shared" si="22"/>
        <v>23.109432600000002</v>
      </c>
      <c r="J28" s="64">
        <f t="shared" si="22"/>
        <v>16.441200250000001</v>
      </c>
      <c r="K28" s="64">
        <f t="shared" si="22"/>
        <v>8.2729679000000012</v>
      </c>
      <c r="L28" s="64">
        <f t="shared" si="22"/>
        <v>0.16708214999999971</v>
      </c>
      <c r="M28" s="64">
        <f t="shared" si="22"/>
        <v>-8.0293902500000005</v>
      </c>
      <c r="N28" s="67">
        <f t="shared" si="0"/>
        <v>6.8635529458333338</v>
      </c>
    </row>
    <row r="29" spans="1:14" ht="16.5" customHeight="1">
      <c r="A29" s="66">
        <v>22</v>
      </c>
      <c r="B29" s="64">
        <f t="shared" ref="B29:M29" si="23">B5+(B6/2)*-0.5</f>
        <v>-11.649999999999999</v>
      </c>
      <c r="C29" s="64">
        <f t="shared" si="23"/>
        <v>-8.85</v>
      </c>
      <c r="D29" s="64">
        <f t="shared" si="23"/>
        <v>-2.4500000000000002</v>
      </c>
      <c r="E29" s="64">
        <f t="shared" si="23"/>
        <v>5.375</v>
      </c>
      <c r="F29" s="64">
        <f t="shared" si="23"/>
        <v>12.125</v>
      </c>
      <c r="G29" s="64">
        <f t="shared" si="23"/>
        <v>17.100000000000001</v>
      </c>
      <c r="H29" s="64">
        <f t="shared" si="23"/>
        <v>21.900000000000002</v>
      </c>
      <c r="I29" s="64">
        <f t="shared" si="23"/>
        <v>22</v>
      </c>
      <c r="J29" s="64">
        <f t="shared" si="23"/>
        <v>15.175000000000001</v>
      </c>
      <c r="K29" s="64">
        <f t="shared" si="23"/>
        <v>6.8500000000000005</v>
      </c>
      <c r="L29" s="64">
        <f t="shared" si="23"/>
        <v>-1.0750000000000002</v>
      </c>
      <c r="M29" s="64">
        <f t="shared" si="23"/>
        <v>-9.1750000000000007</v>
      </c>
      <c r="N29" s="67">
        <f t="shared" si="0"/>
        <v>5.6104166666666666</v>
      </c>
    </row>
    <row r="30" spans="1:14" ht="21.75" customHeight="1">
      <c r="A30" s="176" t="s">
        <v>353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</row>
    <row r="31" spans="1:14" ht="21.75" customHeight="1">
      <c r="A31" s="68" t="s">
        <v>337</v>
      </c>
      <c r="B31" s="69" t="s">
        <v>338</v>
      </c>
      <c r="C31" s="69" t="s">
        <v>339</v>
      </c>
      <c r="D31" s="69" t="s">
        <v>340</v>
      </c>
      <c r="E31" s="69" t="s">
        <v>341</v>
      </c>
      <c r="F31" s="69" t="s">
        <v>342</v>
      </c>
      <c r="G31" s="69" t="s">
        <v>343</v>
      </c>
      <c r="H31" s="69" t="s">
        <v>344</v>
      </c>
      <c r="I31" s="69" t="s">
        <v>345</v>
      </c>
      <c r="J31" s="69" t="s">
        <v>346</v>
      </c>
      <c r="K31" s="69" t="s">
        <v>347</v>
      </c>
      <c r="L31" s="69" t="s">
        <v>348</v>
      </c>
      <c r="M31" s="69" t="s">
        <v>349</v>
      </c>
      <c r="N31" s="68" t="s">
        <v>350</v>
      </c>
    </row>
    <row r="32" spans="1:14" ht="19.5" customHeight="1">
      <c r="A32" s="70" t="s">
        <v>351</v>
      </c>
      <c r="B32" s="71">
        <v>-1.8</v>
      </c>
      <c r="C32" s="71">
        <v>0.8</v>
      </c>
      <c r="D32" s="71">
        <v>6.5</v>
      </c>
      <c r="E32" s="71">
        <v>13.2</v>
      </c>
      <c r="F32" s="71">
        <v>18.5</v>
      </c>
      <c r="G32" s="71">
        <v>23</v>
      </c>
      <c r="H32" s="71">
        <v>26.4</v>
      </c>
      <c r="I32" s="71">
        <v>27.1</v>
      </c>
      <c r="J32" s="71">
        <v>22</v>
      </c>
      <c r="K32" s="71">
        <v>15.2</v>
      </c>
      <c r="L32" s="71">
        <v>7.5</v>
      </c>
      <c r="M32" s="71">
        <v>0.5</v>
      </c>
      <c r="N32" s="72">
        <f t="shared" ref="N32:N56" si="24">AVERAGE(B32,C32,D32,E32,F32,G32,H32,I32,J32,K32,L32,M32)</f>
        <v>13.241666666666665</v>
      </c>
    </row>
    <row r="33" spans="1:14" ht="18" customHeight="1">
      <c r="A33" s="70" t="s">
        <v>352</v>
      </c>
      <c r="B33" s="71">
        <v>7.2</v>
      </c>
      <c r="C33" s="71">
        <v>8</v>
      </c>
      <c r="D33" s="71">
        <v>9.5</v>
      </c>
      <c r="E33" s="71">
        <v>10.8</v>
      </c>
      <c r="F33" s="71">
        <v>9.8000000000000007</v>
      </c>
      <c r="G33" s="71">
        <v>8.5</v>
      </c>
      <c r="H33" s="71">
        <v>7.5</v>
      </c>
      <c r="I33" s="71">
        <v>7.8</v>
      </c>
      <c r="J33" s="71">
        <v>8.8000000000000007</v>
      </c>
      <c r="K33" s="71">
        <v>10.199999999999999</v>
      </c>
      <c r="L33" s="71">
        <v>9</v>
      </c>
      <c r="M33" s="71">
        <v>7.5</v>
      </c>
      <c r="N33" s="72">
        <f t="shared" si="24"/>
        <v>8.7166666666666668</v>
      </c>
    </row>
    <row r="34" spans="1:14" ht="16.5" customHeight="1">
      <c r="A34" s="66">
        <v>0</v>
      </c>
      <c r="B34" s="71">
        <f t="shared" ref="B34:M34" si="25">B32+(B33/2)*-0.866025</f>
        <v>-4.9176900000000003</v>
      </c>
      <c r="C34" s="71">
        <f t="shared" si="25"/>
        <v>-2.6641000000000004</v>
      </c>
      <c r="D34" s="71">
        <f t="shared" si="25"/>
        <v>2.3863812499999995</v>
      </c>
      <c r="E34" s="71">
        <f t="shared" si="25"/>
        <v>8.5234649999999981</v>
      </c>
      <c r="F34" s="71">
        <f t="shared" si="25"/>
        <v>14.256477499999999</v>
      </c>
      <c r="G34" s="71">
        <f t="shared" si="25"/>
        <v>19.31939375</v>
      </c>
      <c r="H34" s="71">
        <f t="shared" si="25"/>
        <v>23.152406249999999</v>
      </c>
      <c r="I34" s="71">
        <f t="shared" si="25"/>
        <v>23.722502500000001</v>
      </c>
      <c r="J34" s="71">
        <f t="shared" si="25"/>
        <v>18.189489999999999</v>
      </c>
      <c r="K34" s="71">
        <f t="shared" si="25"/>
        <v>10.783272499999999</v>
      </c>
      <c r="L34" s="71">
        <f t="shared" si="25"/>
        <v>3.6028874999999996</v>
      </c>
      <c r="M34" s="71">
        <f t="shared" si="25"/>
        <v>-2.7475937500000001</v>
      </c>
      <c r="N34" s="67">
        <f t="shared" si="24"/>
        <v>9.4672410416666661</v>
      </c>
    </row>
    <row r="35" spans="1:14" ht="16.5" customHeight="1">
      <c r="A35" s="66">
        <v>1</v>
      </c>
      <c r="B35" s="71">
        <f t="shared" ref="B35:M35" si="26">B32+(B33/2)*-0.965926</f>
        <v>-5.2773335999999995</v>
      </c>
      <c r="C35" s="71">
        <f t="shared" si="26"/>
        <v>-3.0637039999999995</v>
      </c>
      <c r="D35" s="71">
        <f t="shared" si="26"/>
        <v>1.9118515</v>
      </c>
      <c r="E35" s="71">
        <f t="shared" si="26"/>
        <v>7.9839995999999989</v>
      </c>
      <c r="F35" s="71">
        <f t="shared" si="26"/>
        <v>13.766962599999999</v>
      </c>
      <c r="G35" s="71">
        <f t="shared" si="26"/>
        <v>18.894814499999999</v>
      </c>
      <c r="H35" s="71">
        <f t="shared" si="26"/>
        <v>22.777777499999999</v>
      </c>
      <c r="I35" s="71">
        <f t="shared" si="26"/>
        <v>23.3328886</v>
      </c>
      <c r="J35" s="71">
        <f t="shared" si="26"/>
        <v>17.749925600000001</v>
      </c>
      <c r="K35" s="71">
        <f t="shared" si="26"/>
        <v>10.2737774</v>
      </c>
      <c r="L35" s="71">
        <f t="shared" si="26"/>
        <v>3.1533329999999999</v>
      </c>
      <c r="M35" s="71">
        <f t="shared" si="26"/>
        <v>-3.1222224999999999</v>
      </c>
      <c r="N35" s="67">
        <f t="shared" si="24"/>
        <v>9.0318391833333322</v>
      </c>
    </row>
    <row r="36" spans="1:14" ht="16.5" customHeight="1">
      <c r="A36" s="66">
        <v>2</v>
      </c>
      <c r="B36" s="71">
        <f t="shared" ref="B36:M36" si="27">B32+(B33/2)*-1</f>
        <v>-5.4</v>
      </c>
      <c r="C36" s="71">
        <f t="shared" si="27"/>
        <v>-3.2</v>
      </c>
      <c r="D36" s="71">
        <f t="shared" si="27"/>
        <v>1.75</v>
      </c>
      <c r="E36" s="71">
        <f t="shared" si="27"/>
        <v>7.7999999999999989</v>
      </c>
      <c r="F36" s="71">
        <f t="shared" si="27"/>
        <v>13.6</v>
      </c>
      <c r="G36" s="71">
        <f t="shared" si="27"/>
        <v>18.75</v>
      </c>
      <c r="H36" s="71">
        <f t="shared" si="27"/>
        <v>22.65</v>
      </c>
      <c r="I36" s="71">
        <f t="shared" si="27"/>
        <v>23.200000000000003</v>
      </c>
      <c r="J36" s="71">
        <f t="shared" si="27"/>
        <v>17.600000000000001</v>
      </c>
      <c r="K36" s="71">
        <f t="shared" si="27"/>
        <v>10.1</v>
      </c>
      <c r="L36" s="71">
        <f t="shared" si="27"/>
        <v>3</v>
      </c>
      <c r="M36" s="71">
        <f t="shared" si="27"/>
        <v>-3.25</v>
      </c>
      <c r="N36" s="67">
        <f t="shared" si="24"/>
        <v>8.8833333333333329</v>
      </c>
    </row>
    <row r="37" spans="1:14" ht="16.5" customHeight="1">
      <c r="A37" s="66">
        <v>3</v>
      </c>
      <c r="B37" s="71">
        <f t="shared" ref="B37:M37" si="28">B32+(B33/2)*-0.965926</f>
        <v>-5.2773335999999995</v>
      </c>
      <c r="C37" s="71">
        <f t="shared" si="28"/>
        <v>-3.0637039999999995</v>
      </c>
      <c r="D37" s="71">
        <f t="shared" si="28"/>
        <v>1.9118515</v>
      </c>
      <c r="E37" s="71">
        <f t="shared" si="28"/>
        <v>7.9839995999999989</v>
      </c>
      <c r="F37" s="71">
        <f t="shared" si="28"/>
        <v>13.766962599999999</v>
      </c>
      <c r="G37" s="71">
        <f t="shared" si="28"/>
        <v>18.894814499999999</v>
      </c>
      <c r="H37" s="71">
        <f t="shared" si="28"/>
        <v>22.777777499999999</v>
      </c>
      <c r="I37" s="71">
        <f t="shared" si="28"/>
        <v>23.3328886</v>
      </c>
      <c r="J37" s="71">
        <f t="shared" si="28"/>
        <v>17.749925600000001</v>
      </c>
      <c r="K37" s="71">
        <f t="shared" si="28"/>
        <v>10.2737774</v>
      </c>
      <c r="L37" s="71">
        <f t="shared" si="28"/>
        <v>3.1533329999999999</v>
      </c>
      <c r="M37" s="71">
        <f t="shared" si="28"/>
        <v>-3.1222224999999999</v>
      </c>
      <c r="N37" s="67">
        <f t="shared" si="24"/>
        <v>9.0318391833333322</v>
      </c>
    </row>
    <row r="38" spans="1:14" ht="16.5" customHeight="1">
      <c r="A38" s="66">
        <v>4</v>
      </c>
      <c r="B38" s="71">
        <f t="shared" ref="B38:M38" si="29">B32+(B33/2)*-0.866025</f>
        <v>-4.9176900000000003</v>
      </c>
      <c r="C38" s="71">
        <f t="shared" si="29"/>
        <v>-2.6641000000000004</v>
      </c>
      <c r="D38" s="71">
        <f t="shared" si="29"/>
        <v>2.3863812499999995</v>
      </c>
      <c r="E38" s="71">
        <f t="shared" si="29"/>
        <v>8.5234649999999981</v>
      </c>
      <c r="F38" s="71">
        <f t="shared" si="29"/>
        <v>14.256477499999999</v>
      </c>
      <c r="G38" s="71">
        <f t="shared" si="29"/>
        <v>19.31939375</v>
      </c>
      <c r="H38" s="71">
        <f t="shared" si="29"/>
        <v>23.152406249999999</v>
      </c>
      <c r="I38" s="71">
        <f t="shared" si="29"/>
        <v>23.722502500000001</v>
      </c>
      <c r="J38" s="71">
        <f t="shared" si="29"/>
        <v>18.189489999999999</v>
      </c>
      <c r="K38" s="71">
        <f t="shared" si="29"/>
        <v>10.783272499999999</v>
      </c>
      <c r="L38" s="71">
        <f t="shared" si="29"/>
        <v>3.6028874999999996</v>
      </c>
      <c r="M38" s="71">
        <f t="shared" si="29"/>
        <v>-2.7475937500000001</v>
      </c>
      <c r="N38" s="67">
        <f t="shared" si="24"/>
        <v>9.4672410416666661</v>
      </c>
    </row>
    <row r="39" spans="1:14" ht="16.5" customHeight="1">
      <c r="A39" s="66">
        <v>5</v>
      </c>
      <c r="B39" s="71">
        <f t="shared" ref="B39:M39" si="30">B32+(B33/2)*-0.707107</f>
        <v>-4.3455852000000004</v>
      </c>
      <c r="C39" s="71">
        <f t="shared" si="30"/>
        <v>-2.0284279999999999</v>
      </c>
      <c r="D39" s="71">
        <f t="shared" si="30"/>
        <v>3.1412417499999998</v>
      </c>
      <c r="E39" s="71">
        <f t="shared" si="30"/>
        <v>9.3816221999999989</v>
      </c>
      <c r="F39" s="71">
        <f t="shared" si="30"/>
        <v>15.0351757</v>
      </c>
      <c r="G39" s="71">
        <f t="shared" si="30"/>
        <v>19.994795249999999</v>
      </c>
      <c r="H39" s="71">
        <f t="shared" si="30"/>
        <v>23.748348749999998</v>
      </c>
      <c r="I39" s="71">
        <f t="shared" si="30"/>
        <v>24.342282700000002</v>
      </c>
      <c r="J39" s="71">
        <f t="shared" si="30"/>
        <v>18.8887292</v>
      </c>
      <c r="K39" s="71">
        <f t="shared" si="30"/>
        <v>11.593754299999999</v>
      </c>
      <c r="L39" s="71">
        <f t="shared" si="30"/>
        <v>4.3180185</v>
      </c>
      <c r="M39" s="71">
        <f t="shared" si="30"/>
        <v>-2.15165125</v>
      </c>
      <c r="N39" s="67">
        <f t="shared" si="24"/>
        <v>10.159858658333333</v>
      </c>
    </row>
    <row r="40" spans="1:14" ht="16.5" customHeight="1">
      <c r="A40" s="66">
        <v>6</v>
      </c>
      <c r="B40" s="71">
        <f t="shared" ref="B40:M40" si="31">B32+(B33/2)*-0.5</f>
        <v>-3.6</v>
      </c>
      <c r="C40" s="71">
        <f t="shared" si="31"/>
        <v>-1.2</v>
      </c>
      <c r="D40" s="71">
        <f t="shared" si="31"/>
        <v>4.125</v>
      </c>
      <c r="E40" s="71">
        <f t="shared" si="31"/>
        <v>10.5</v>
      </c>
      <c r="F40" s="71">
        <f t="shared" si="31"/>
        <v>16.05</v>
      </c>
      <c r="G40" s="71">
        <f t="shared" si="31"/>
        <v>20.875</v>
      </c>
      <c r="H40" s="71">
        <f t="shared" si="31"/>
        <v>24.524999999999999</v>
      </c>
      <c r="I40" s="71">
        <f t="shared" si="31"/>
        <v>25.150000000000002</v>
      </c>
      <c r="J40" s="71">
        <f t="shared" si="31"/>
        <v>19.8</v>
      </c>
      <c r="K40" s="71">
        <f t="shared" si="31"/>
        <v>12.649999999999999</v>
      </c>
      <c r="L40" s="71">
        <f t="shared" si="31"/>
        <v>5.25</v>
      </c>
      <c r="M40" s="71">
        <f t="shared" si="31"/>
        <v>-1.375</v>
      </c>
      <c r="N40" s="67">
        <f t="shared" si="24"/>
        <v>11.0625</v>
      </c>
    </row>
    <row r="41" spans="1:14" ht="16.5" customHeight="1">
      <c r="A41" s="66">
        <v>7</v>
      </c>
      <c r="B41" s="71">
        <f t="shared" ref="B41:M41" si="32">B32+(B33/2)*-0.258819</f>
        <v>-2.7317484000000003</v>
      </c>
      <c r="C41" s="71">
        <f t="shared" si="32"/>
        <v>-0.23527600000000004</v>
      </c>
      <c r="D41" s="71">
        <f t="shared" si="32"/>
        <v>5.2706097500000002</v>
      </c>
      <c r="E41" s="71">
        <f t="shared" si="32"/>
        <v>11.802377399999999</v>
      </c>
      <c r="F41" s="71">
        <f t="shared" si="32"/>
        <v>17.231786899999999</v>
      </c>
      <c r="G41" s="71">
        <f t="shared" si="32"/>
        <v>21.90001925</v>
      </c>
      <c r="H41" s="71">
        <f t="shared" si="32"/>
        <v>25.42942875</v>
      </c>
      <c r="I41" s="71">
        <f t="shared" si="32"/>
        <v>26.0906059</v>
      </c>
      <c r="J41" s="71">
        <f t="shared" si="32"/>
        <v>20.861196400000001</v>
      </c>
      <c r="K41" s="71">
        <f t="shared" si="32"/>
        <v>13.880023099999999</v>
      </c>
      <c r="L41" s="71">
        <f t="shared" si="32"/>
        <v>6.3353145</v>
      </c>
      <c r="M41" s="71">
        <f t="shared" si="32"/>
        <v>-0.47057125000000011</v>
      </c>
      <c r="N41" s="67">
        <f t="shared" si="24"/>
        <v>12.113647191666665</v>
      </c>
    </row>
    <row r="42" spans="1:14" ht="16.5" customHeight="1">
      <c r="A42" s="66">
        <v>8</v>
      </c>
      <c r="B42" s="71">
        <f t="shared" ref="B42:M42" si="33">B32+(B33/2)*0</f>
        <v>-1.8</v>
      </c>
      <c r="C42" s="71">
        <f t="shared" si="33"/>
        <v>0.8</v>
      </c>
      <c r="D42" s="71">
        <f t="shared" si="33"/>
        <v>6.5</v>
      </c>
      <c r="E42" s="71">
        <f t="shared" si="33"/>
        <v>13.2</v>
      </c>
      <c r="F42" s="71">
        <f t="shared" si="33"/>
        <v>18.5</v>
      </c>
      <c r="G42" s="71">
        <f t="shared" si="33"/>
        <v>23</v>
      </c>
      <c r="H42" s="71">
        <f t="shared" si="33"/>
        <v>26.4</v>
      </c>
      <c r="I42" s="71">
        <f t="shared" si="33"/>
        <v>27.1</v>
      </c>
      <c r="J42" s="71">
        <f t="shared" si="33"/>
        <v>22</v>
      </c>
      <c r="K42" s="71">
        <f t="shared" si="33"/>
        <v>15.2</v>
      </c>
      <c r="L42" s="71">
        <f t="shared" si="33"/>
        <v>7.5</v>
      </c>
      <c r="M42" s="71">
        <f t="shared" si="33"/>
        <v>0.5</v>
      </c>
      <c r="N42" s="67">
        <f t="shared" si="24"/>
        <v>13.241666666666665</v>
      </c>
    </row>
    <row r="43" spans="1:14" ht="16.5" customHeight="1">
      <c r="A43" s="66">
        <v>9</v>
      </c>
      <c r="B43" s="71">
        <f t="shared" ref="B43:M43" si="34">B32+(B33/2)*0.258819</f>
        <v>-0.8682515999999999</v>
      </c>
      <c r="C43" s="71">
        <f t="shared" si="34"/>
        <v>1.8352760000000001</v>
      </c>
      <c r="D43" s="71">
        <f t="shared" si="34"/>
        <v>7.7293902499999998</v>
      </c>
      <c r="E43" s="71">
        <f t="shared" si="34"/>
        <v>14.597622599999999</v>
      </c>
      <c r="F43" s="71">
        <f t="shared" si="34"/>
        <v>19.768213100000001</v>
      </c>
      <c r="G43" s="71">
        <f t="shared" si="34"/>
        <v>24.09998075</v>
      </c>
      <c r="H43" s="71">
        <f t="shared" si="34"/>
        <v>27.370571249999998</v>
      </c>
      <c r="I43" s="71">
        <f t="shared" si="34"/>
        <v>28.109394100000003</v>
      </c>
      <c r="J43" s="71">
        <f t="shared" si="34"/>
        <v>23.138803599999999</v>
      </c>
      <c r="K43" s="71">
        <f t="shared" si="34"/>
        <v>16.5199769</v>
      </c>
      <c r="L43" s="71">
        <f t="shared" si="34"/>
        <v>8.6646855000000009</v>
      </c>
      <c r="M43" s="71">
        <f t="shared" si="34"/>
        <v>1.4705712500000001</v>
      </c>
      <c r="N43" s="67">
        <f t="shared" si="24"/>
        <v>14.369686141666664</v>
      </c>
    </row>
    <row r="44" spans="1:14" ht="16.5" customHeight="1">
      <c r="A44" s="66">
        <v>10</v>
      </c>
      <c r="B44" s="71">
        <f t="shared" ref="B44:M44" si="35">B32+(B33/2)*0.5</f>
        <v>0</v>
      </c>
      <c r="C44" s="71">
        <f t="shared" si="35"/>
        <v>2.8</v>
      </c>
      <c r="D44" s="71">
        <f t="shared" si="35"/>
        <v>8.875</v>
      </c>
      <c r="E44" s="71">
        <f t="shared" si="35"/>
        <v>15.899999999999999</v>
      </c>
      <c r="F44" s="71">
        <f t="shared" si="35"/>
        <v>20.95</v>
      </c>
      <c r="G44" s="71">
        <f t="shared" si="35"/>
        <v>25.125</v>
      </c>
      <c r="H44" s="71">
        <f t="shared" si="35"/>
        <v>28.274999999999999</v>
      </c>
      <c r="I44" s="71">
        <f t="shared" si="35"/>
        <v>29.05</v>
      </c>
      <c r="J44" s="71">
        <f t="shared" si="35"/>
        <v>24.2</v>
      </c>
      <c r="K44" s="71">
        <f t="shared" si="35"/>
        <v>17.75</v>
      </c>
      <c r="L44" s="71">
        <f t="shared" si="35"/>
        <v>9.75</v>
      </c>
      <c r="M44" s="71">
        <f t="shared" si="35"/>
        <v>2.375</v>
      </c>
      <c r="N44" s="67">
        <f t="shared" si="24"/>
        <v>15.420833333333334</v>
      </c>
    </row>
    <row r="45" spans="1:14" ht="16.5" customHeight="1">
      <c r="A45" s="66">
        <v>11</v>
      </c>
      <c r="B45" s="71">
        <f t="shared" ref="B45:M45" si="36">B32+(B33/2)*0.707107</f>
        <v>0.74558520000000006</v>
      </c>
      <c r="C45" s="71">
        <f t="shared" si="36"/>
        <v>3.6284280000000004</v>
      </c>
      <c r="D45" s="71">
        <f t="shared" si="36"/>
        <v>9.8587582500000011</v>
      </c>
      <c r="E45" s="71">
        <f t="shared" si="36"/>
        <v>17.0183778</v>
      </c>
      <c r="F45" s="71">
        <f t="shared" si="36"/>
        <v>21.9648243</v>
      </c>
      <c r="G45" s="71">
        <f t="shared" si="36"/>
        <v>26.005204750000001</v>
      </c>
      <c r="H45" s="71">
        <f t="shared" si="36"/>
        <v>29.051651249999999</v>
      </c>
      <c r="I45" s="71">
        <f t="shared" si="36"/>
        <v>29.857717300000001</v>
      </c>
      <c r="J45" s="71">
        <f t="shared" si="36"/>
        <v>25.1112708</v>
      </c>
      <c r="K45" s="71">
        <f t="shared" si="36"/>
        <v>18.806245699999998</v>
      </c>
      <c r="L45" s="71">
        <f t="shared" si="36"/>
        <v>10.681981499999999</v>
      </c>
      <c r="M45" s="71">
        <f t="shared" si="36"/>
        <v>3.15165125</v>
      </c>
      <c r="N45" s="67">
        <f t="shared" si="24"/>
        <v>16.323474675</v>
      </c>
    </row>
    <row r="46" spans="1:14" ht="16.5" customHeight="1">
      <c r="A46" s="66">
        <v>12</v>
      </c>
      <c r="B46" s="71">
        <f t="shared" ref="B46:M46" si="37">B32+(B33/2)*0.866025</f>
        <v>1.31769</v>
      </c>
      <c r="C46" s="71">
        <f t="shared" si="37"/>
        <v>4.2641</v>
      </c>
      <c r="D46" s="71">
        <f t="shared" si="37"/>
        <v>10.613618750000001</v>
      </c>
      <c r="E46" s="71">
        <f t="shared" si="37"/>
        <v>17.876535000000001</v>
      </c>
      <c r="F46" s="71">
        <f t="shared" si="37"/>
        <v>22.743522500000001</v>
      </c>
      <c r="G46" s="71">
        <f t="shared" si="37"/>
        <v>26.68060625</v>
      </c>
      <c r="H46" s="71">
        <f t="shared" si="37"/>
        <v>29.647593749999999</v>
      </c>
      <c r="I46" s="71">
        <f t="shared" si="37"/>
        <v>30.477497500000002</v>
      </c>
      <c r="J46" s="71">
        <f t="shared" si="37"/>
        <v>25.810510000000001</v>
      </c>
      <c r="K46" s="71">
        <f t="shared" si="37"/>
        <v>19.6167275</v>
      </c>
      <c r="L46" s="71">
        <f t="shared" si="37"/>
        <v>11.3971125</v>
      </c>
      <c r="M46" s="71">
        <f t="shared" si="37"/>
        <v>3.7475937500000001</v>
      </c>
      <c r="N46" s="67">
        <f t="shared" si="24"/>
        <v>17.016092291666663</v>
      </c>
    </row>
    <row r="47" spans="1:14" ht="16.5" customHeight="1">
      <c r="A47" s="66">
        <v>13</v>
      </c>
      <c r="B47" s="71">
        <f t="shared" ref="B47:M47" si="38">B32+(B33/2)*0.965926</f>
        <v>1.6773335999999996</v>
      </c>
      <c r="C47" s="71">
        <f t="shared" si="38"/>
        <v>4.6637040000000001</v>
      </c>
      <c r="D47" s="71">
        <f t="shared" si="38"/>
        <v>11.088148499999999</v>
      </c>
      <c r="E47" s="71">
        <f t="shared" si="38"/>
        <v>18.416000400000001</v>
      </c>
      <c r="F47" s="71">
        <f t="shared" si="38"/>
        <v>23.233037400000001</v>
      </c>
      <c r="G47" s="71">
        <f t="shared" si="38"/>
        <v>27.105185500000001</v>
      </c>
      <c r="H47" s="71">
        <f t="shared" si="38"/>
        <v>30.022222499999998</v>
      </c>
      <c r="I47" s="71">
        <f t="shared" si="38"/>
        <v>30.867111400000002</v>
      </c>
      <c r="J47" s="71">
        <f t="shared" si="38"/>
        <v>26.250074399999999</v>
      </c>
      <c r="K47" s="71">
        <f t="shared" si="38"/>
        <v>20.126222599999998</v>
      </c>
      <c r="L47" s="71">
        <f t="shared" si="38"/>
        <v>11.846667</v>
      </c>
      <c r="M47" s="71">
        <f t="shared" si="38"/>
        <v>4.1222224999999995</v>
      </c>
      <c r="N47" s="67">
        <f t="shared" si="24"/>
        <v>17.451494149999998</v>
      </c>
    </row>
    <row r="48" spans="1:14" ht="16.5" customHeight="1">
      <c r="A48" s="66">
        <v>14</v>
      </c>
      <c r="B48" s="71">
        <f t="shared" ref="B48:M48" si="39">B32+(B33/2)*1</f>
        <v>1.8</v>
      </c>
      <c r="C48" s="71">
        <f t="shared" si="39"/>
        <v>4.8</v>
      </c>
      <c r="D48" s="71">
        <f t="shared" si="39"/>
        <v>11.25</v>
      </c>
      <c r="E48" s="71">
        <f t="shared" si="39"/>
        <v>18.600000000000001</v>
      </c>
      <c r="F48" s="71">
        <f t="shared" si="39"/>
        <v>23.4</v>
      </c>
      <c r="G48" s="71">
        <f t="shared" si="39"/>
        <v>27.25</v>
      </c>
      <c r="H48" s="71">
        <f t="shared" si="39"/>
        <v>30.15</v>
      </c>
      <c r="I48" s="71">
        <f t="shared" si="39"/>
        <v>31</v>
      </c>
      <c r="J48" s="71">
        <f t="shared" si="39"/>
        <v>26.4</v>
      </c>
      <c r="K48" s="71">
        <f t="shared" si="39"/>
        <v>20.299999999999997</v>
      </c>
      <c r="L48" s="71">
        <f t="shared" si="39"/>
        <v>12</v>
      </c>
      <c r="M48" s="71">
        <f t="shared" si="39"/>
        <v>4.25</v>
      </c>
      <c r="N48" s="67">
        <f t="shared" si="24"/>
        <v>17.599999999999998</v>
      </c>
    </row>
    <row r="49" spans="1:14" ht="16.5" customHeight="1">
      <c r="A49" s="66">
        <v>15</v>
      </c>
      <c r="B49" s="71">
        <f t="shared" ref="B49:M49" si="40">B32+(B33/2)*0.965926</f>
        <v>1.6773335999999996</v>
      </c>
      <c r="C49" s="71">
        <f t="shared" si="40"/>
        <v>4.6637040000000001</v>
      </c>
      <c r="D49" s="71">
        <f t="shared" si="40"/>
        <v>11.088148499999999</v>
      </c>
      <c r="E49" s="71">
        <f t="shared" si="40"/>
        <v>18.416000400000001</v>
      </c>
      <c r="F49" s="71">
        <f t="shared" si="40"/>
        <v>23.233037400000001</v>
      </c>
      <c r="G49" s="71">
        <f t="shared" si="40"/>
        <v>27.105185500000001</v>
      </c>
      <c r="H49" s="71">
        <f t="shared" si="40"/>
        <v>30.022222499999998</v>
      </c>
      <c r="I49" s="71">
        <f t="shared" si="40"/>
        <v>30.867111400000002</v>
      </c>
      <c r="J49" s="71">
        <f t="shared" si="40"/>
        <v>26.250074399999999</v>
      </c>
      <c r="K49" s="71">
        <f t="shared" si="40"/>
        <v>20.126222599999998</v>
      </c>
      <c r="L49" s="71">
        <f t="shared" si="40"/>
        <v>11.846667</v>
      </c>
      <c r="M49" s="71">
        <f t="shared" si="40"/>
        <v>4.1222224999999995</v>
      </c>
      <c r="N49" s="67">
        <f t="shared" si="24"/>
        <v>17.451494149999998</v>
      </c>
    </row>
    <row r="50" spans="1:14" ht="16.5" customHeight="1">
      <c r="A50" s="66">
        <v>16</v>
      </c>
      <c r="B50" s="71">
        <f t="shared" ref="B50:M50" si="41">B32+(B33/2)*0.866025</f>
        <v>1.31769</v>
      </c>
      <c r="C50" s="71">
        <f t="shared" si="41"/>
        <v>4.2641</v>
      </c>
      <c r="D50" s="71">
        <f t="shared" si="41"/>
        <v>10.613618750000001</v>
      </c>
      <c r="E50" s="71">
        <f t="shared" si="41"/>
        <v>17.876535000000001</v>
      </c>
      <c r="F50" s="71">
        <f t="shared" si="41"/>
        <v>22.743522500000001</v>
      </c>
      <c r="G50" s="71">
        <f t="shared" si="41"/>
        <v>26.68060625</v>
      </c>
      <c r="H50" s="71">
        <f t="shared" si="41"/>
        <v>29.647593749999999</v>
      </c>
      <c r="I50" s="71">
        <f t="shared" si="41"/>
        <v>30.477497500000002</v>
      </c>
      <c r="J50" s="71">
        <f t="shared" si="41"/>
        <v>25.810510000000001</v>
      </c>
      <c r="K50" s="71">
        <f t="shared" si="41"/>
        <v>19.6167275</v>
      </c>
      <c r="L50" s="71">
        <f t="shared" si="41"/>
        <v>11.3971125</v>
      </c>
      <c r="M50" s="71">
        <f t="shared" si="41"/>
        <v>3.7475937500000001</v>
      </c>
      <c r="N50" s="67">
        <f t="shared" si="24"/>
        <v>17.016092291666663</v>
      </c>
    </row>
    <row r="51" spans="1:14" ht="16.5" customHeight="1">
      <c r="A51" s="66">
        <v>17</v>
      </c>
      <c r="B51" s="71">
        <f t="shared" ref="B51:M51" si="42">B32+(B33/2)*0.707107</f>
        <v>0.74558520000000006</v>
      </c>
      <c r="C51" s="71">
        <f t="shared" si="42"/>
        <v>3.6284280000000004</v>
      </c>
      <c r="D51" s="71">
        <f t="shared" si="42"/>
        <v>9.8587582500000011</v>
      </c>
      <c r="E51" s="71">
        <f t="shared" si="42"/>
        <v>17.0183778</v>
      </c>
      <c r="F51" s="71">
        <f t="shared" si="42"/>
        <v>21.9648243</v>
      </c>
      <c r="G51" s="71">
        <f t="shared" si="42"/>
        <v>26.005204750000001</v>
      </c>
      <c r="H51" s="71">
        <f t="shared" si="42"/>
        <v>29.051651249999999</v>
      </c>
      <c r="I51" s="71">
        <f t="shared" si="42"/>
        <v>29.857717300000001</v>
      </c>
      <c r="J51" s="71">
        <f t="shared" si="42"/>
        <v>25.1112708</v>
      </c>
      <c r="K51" s="71">
        <f t="shared" si="42"/>
        <v>18.806245699999998</v>
      </c>
      <c r="L51" s="71">
        <f t="shared" si="42"/>
        <v>10.681981499999999</v>
      </c>
      <c r="M51" s="71">
        <f t="shared" si="42"/>
        <v>3.15165125</v>
      </c>
      <c r="N51" s="67">
        <f t="shared" si="24"/>
        <v>16.323474675</v>
      </c>
    </row>
    <row r="52" spans="1:14" ht="16.5" customHeight="1">
      <c r="A52" s="66">
        <v>18</v>
      </c>
      <c r="B52" s="71">
        <f t="shared" ref="B52:M52" si="43">B32+(B33/2)*0.5</f>
        <v>0</v>
      </c>
      <c r="C52" s="71">
        <f t="shared" si="43"/>
        <v>2.8</v>
      </c>
      <c r="D52" s="71">
        <f t="shared" si="43"/>
        <v>8.875</v>
      </c>
      <c r="E52" s="71">
        <f t="shared" si="43"/>
        <v>15.899999999999999</v>
      </c>
      <c r="F52" s="71">
        <f t="shared" si="43"/>
        <v>20.95</v>
      </c>
      <c r="G52" s="71">
        <f t="shared" si="43"/>
        <v>25.125</v>
      </c>
      <c r="H52" s="71">
        <f t="shared" si="43"/>
        <v>28.274999999999999</v>
      </c>
      <c r="I52" s="71">
        <f t="shared" si="43"/>
        <v>29.05</v>
      </c>
      <c r="J52" s="71">
        <f t="shared" si="43"/>
        <v>24.2</v>
      </c>
      <c r="K52" s="71">
        <f t="shared" si="43"/>
        <v>17.75</v>
      </c>
      <c r="L52" s="71">
        <f t="shared" si="43"/>
        <v>9.75</v>
      </c>
      <c r="M52" s="71">
        <f t="shared" si="43"/>
        <v>2.375</v>
      </c>
      <c r="N52" s="67">
        <f t="shared" si="24"/>
        <v>15.420833333333334</v>
      </c>
    </row>
    <row r="53" spans="1:14" ht="16.5" customHeight="1">
      <c r="A53" s="66">
        <v>19</v>
      </c>
      <c r="B53" s="71">
        <f t="shared" ref="B53:M53" si="44">B32+(B33/2)*0.258819</f>
        <v>-0.8682515999999999</v>
      </c>
      <c r="C53" s="71">
        <f t="shared" si="44"/>
        <v>1.8352760000000001</v>
      </c>
      <c r="D53" s="71">
        <f t="shared" si="44"/>
        <v>7.7293902499999998</v>
      </c>
      <c r="E53" s="71">
        <f t="shared" si="44"/>
        <v>14.597622599999999</v>
      </c>
      <c r="F53" s="71">
        <f t="shared" si="44"/>
        <v>19.768213100000001</v>
      </c>
      <c r="G53" s="71">
        <f t="shared" si="44"/>
        <v>24.09998075</v>
      </c>
      <c r="H53" s="71">
        <f t="shared" si="44"/>
        <v>27.370571249999998</v>
      </c>
      <c r="I53" s="71">
        <f t="shared" si="44"/>
        <v>28.109394100000003</v>
      </c>
      <c r="J53" s="71">
        <f t="shared" si="44"/>
        <v>23.138803599999999</v>
      </c>
      <c r="K53" s="71">
        <f t="shared" si="44"/>
        <v>16.5199769</v>
      </c>
      <c r="L53" s="71">
        <f t="shared" si="44"/>
        <v>8.6646855000000009</v>
      </c>
      <c r="M53" s="71">
        <f t="shared" si="44"/>
        <v>1.4705712500000001</v>
      </c>
      <c r="N53" s="67">
        <f t="shared" si="24"/>
        <v>14.369686141666664</v>
      </c>
    </row>
    <row r="54" spans="1:14" ht="16.5" customHeight="1">
      <c r="A54" s="66">
        <v>20</v>
      </c>
      <c r="B54" s="71">
        <f t="shared" ref="B54:M54" si="45">B32+(B33/2)*0</f>
        <v>-1.8</v>
      </c>
      <c r="C54" s="71">
        <f t="shared" si="45"/>
        <v>0.8</v>
      </c>
      <c r="D54" s="71">
        <f t="shared" si="45"/>
        <v>6.5</v>
      </c>
      <c r="E54" s="71">
        <f t="shared" si="45"/>
        <v>13.2</v>
      </c>
      <c r="F54" s="71">
        <f t="shared" si="45"/>
        <v>18.5</v>
      </c>
      <c r="G54" s="71">
        <f t="shared" si="45"/>
        <v>23</v>
      </c>
      <c r="H54" s="71">
        <f t="shared" si="45"/>
        <v>26.4</v>
      </c>
      <c r="I54" s="71">
        <f t="shared" si="45"/>
        <v>27.1</v>
      </c>
      <c r="J54" s="71">
        <f t="shared" si="45"/>
        <v>22</v>
      </c>
      <c r="K54" s="71">
        <f t="shared" si="45"/>
        <v>15.2</v>
      </c>
      <c r="L54" s="71">
        <f t="shared" si="45"/>
        <v>7.5</v>
      </c>
      <c r="M54" s="71">
        <f t="shared" si="45"/>
        <v>0.5</v>
      </c>
      <c r="N54" s="67">
        <f t="shared" si="24"/>
        <v>13.241666666666665</v>
      </c>
    </row>
    <row r="55" spans="1:14" ht="16.5" customHeight="1">
      <c r="A55" s="66">
        <v>21</v>
      </c>
      <c r="B55" s="71">
        <f t="shared" ref="B55:M55" si="46">B32+(B33/2)*-0.258819</f>
        <v>-2.7317484000000003</v>
      </c>
      <c r="C55" s="71">
        <f t="shared" si="46"/>
        <v>-0.23527600000000004</v>
      </c>
      <c r="D55" s="71">
        <f t="shared" si="46"/>
        <v>5.2706097500000002</v>
      </c>
      <c r="E55" s="71">
        <f t="shared" si="46"/>
        <v>11.802377399999999</v>
      </c>
      <c r="F55" s="71">
        <f t="shared" si="46"/>
        <v>17.231786899999999</v>
      </c>
      <c r="G55" s="71">
        <f t="shared" si="46"/>
        <v>21.90001925</v>
      </c>
      <c r="H55" s="71">
        <f t="shared" si="46"/>
        <v>25.42942875</v>
      </c>
      <c r="I55" s="71">
        <f t="shared" si="46"/>
        <v>26.0906059</v>
      </c>
      <c r="J55" s="71">
        <f t="shared" si="46"/>
        <v>20.861196400000001</v>
      </c>
      <c r="K55" s="71">
        <f t="shared" si="46"/>
        <v>13.880023099999999</v>
      </c>
      <c r="L55" s="71">
        <f t="shared" si="46"/>
        <v>6.3353145</v>
      </c>
      <c r="M55" s="71">
        <f t="shared" si="46"/>
        <v>-0.47057125000000011</v>
      </c>
      <c r="N55" s="67">
        <f t="shared" si="24"/>
        <v>12.113647191666665</v>
      </c>
    </row>
    <row r="56" spans="1:14" ht="16.5" customHeight="1">
      <c r="A56" s="66">
        <v>22</v>
      </c>
      <c r="B56" s="71">
        <f t="shared" ref="B56:M56" si="47">B32+(B33/2)*-0.5</f>
        <v>-3.6</v>
      </c>
      <c r="C56" s="71">
        <f t="shared" si="47"/>
        <v>-1.2</v>
      </c>
      <c r="D56" s="71">
        <f t="shared" si="47"/>
        <v>4.125</v>
      </c>
      <c r="E56" s="71">
        <f t="shared" si="47"/>
        <v>10.5</v>
      </c>
      <c r="F56" s="71">
        <f t="shared" si="47"/>
        <v>16.05</v>
      </c>
      <c r="G56" s="71">
        <f t="shared" si="47"/>
        <v>20.875</v>
      </c>
      <c r="H56" s="71">
        <f t="shared" si="47"/>
        <v>24.524999999999999</v>
      </c>
      <c r="I56" s="71">
        <f t="shared" si="47"/>
        <v>25.150000000000002</v>
      </c>
      <c r="J56" s="71">
        <f t="shared" si="47"/>
        <v>19.8</v>
      </c>
      <c r="K56" s="71">
        <f t="shared" si="47"/>
        <v>12.649999999999999</v>
      </c>
      <c r="L56" s="71">
        <f t="shared" si="47"/>
        <v>5.25</v>
      </c>
      <c r="M56" s="71">
        <f t="shared" si="47"/>
        <v>-1.375</v>
      </c>
      <c r="N56" s="67">
        <f t="shared" si="24"/>
        <v>11.0625</v>
      </c>
    </row>
    <row r="57" spans="1:14" ht="21.75" customHeight="1">
      <c r="A57" s="177" t="s">
        <v>354</v>
      </c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</row>
    <row r="58" spans="1:14" ht="21.75" customHeight="1">
      <c r="A58" s="73" t="s">
        <v>337</v>
      </c>
      <c r="B58" s="74" t="s">
        <v>338</v>
      </c>
      <c r="C58" s="74" t="s">
        <v>339</v>
      </c>
      <c r="D58" s="74" t="s">
        <v>340</v>
      </c>
      <c r="E58" s="74" t="s">
        <v>341</v>
      </c>
      <c r="F58" s="74" t="s">
        <v>342</v>
      </c>
      <c r="G58" s="74" t="s">
        <v>343</v>
      </c>
      <c r="H58" s="74" t="s">
        <v>344</v>
      </c>
      <c r="I58" s="74" t="s">
        <v>345</v>
      </c>
      <c r="J58" s="74" t="s">
        <v>346</v>
      </c>
      <c r="K58" s="74" t="s">
        <v>347</v>
      </c>
      <c r="L58" s="74" t="s">
        <v>348</v>
      </c>
      <c r="M58" s="74" t="s">
        <v>349</v>
      </c>
      <c r="N58" s="73" t="s">
        <v>350</v>
      </c>
    </row>
    <row r="59" spans="1:14" ht="19.5" customHeight="1">
      <c r="A59" s="75" t="s">
        <v>351</v>
      </c>
      <c r="B59" s="76">
        <v>3.8</v>
      </c>
      <c r="C59" s="76">
        <v>5.4</v>
      </c>
      <c r="D59" s="76">
        <v>9.5</v>
      </c>
      <c r="E59" s="76">
        <v>15.2</v>
      </c>
      <c r="F59" s="76">
        <v>19.5</v>
      </c>
      <c r="G59" s="76">
        <v>22.5</v>
      </c>
      <c r="H59" s="76">
        <v>26</v>
      </c>
      <c r="I59" s="76">
        <v>27.2</v>
      </c>
      <c r="J59" s="76">
        <v>23.2</v>
      </c>
      <c r="K59" s="76">
        <v>17.5</v>
      </c>
      <c r="L59" s="76">
        <v>11.2</v>
      </c>
      <c r="M59" s="76">
        <v>5.5</v>
      </c>
      <c r="N59" s="77">
        <f t="shared" ref="N59:N83" si="48">AVERAGE(B59,C59,D59,E59,F59,G59,H59,I59,J59,K59,L59,M59)</f>
        <v>15.541666666666664</v>
      </c>
    </row>
    <row r="60" spans="1:14" ht="18" customHeight="1">
      <c r="A60" s="75" t="s">
        <v>352</v>
      </c>
      <c r="B60" s="76">
        <v>6.2</v>
      </c>
      <c r="C60" s="76">
        <v>7</v>
      </c>
      <c r="D60" s="76">
        <v>8.5</v>
      </c>
      <c r="E60" s="76">
        <v>9.8000000000000007</v>
      </c>
      <c r="F60" s="76">
        <v>9.1999999999999993</v>
      </c>
      <c r="G60" s="76">
        <v>8</v>
      </c>
      <c r="H60" s="76">
        <v>7.5</v>
      </c>
      <c r="I60" s="76">
        <v>7.2</v>
      </c>
      <c r="J60" s="76">
        <v>7.8</v>
      </c>
      <c r="K60" s="76">
        <v>8.5</v>
      </c>
      <c r="L60" s="76">
        <v>8.1999999999999993</v>
      </c>
      <c r="M60" s="76">
        <v>7</v>
      </c>
      <c r="N60" s="77">
        <f t="shared" si="48"/>
        <v>7.9083333333333341</v>
      </c>
    </row>
    <row r="61" spans="1:14" ht="16.5" customHeight="1">
      <c r="A61" s="66">
        <v>0</v>
      </c>
      <c r="B61" s="76">
        <f t="shared" ref="B61:M61" si="49">B59+(B60/2)*-0.866025</f>
        <v>1.1153224999999996</v>
      </c>
      <c r="C61" s="76">
        <f t="shared" si="49"/>
        <v>2.3689125000000004</v>
      </c>
      <c r="D61" s="76">
        <f t="shared" si="49"/>
        <v>5.8193937499999997</v>
      </c>
      <c r="E61" s="76">
        <f t="shared" si="49"/>
        <v>10.956477499999998</v>
      </c>
      <c r="F61" s="76">
        <f t="shared" si="49"/>
        <v>15.516285</v>
      </c>
      <c r="G61" s="76">
        <f t="shared" si="49"/>
        <v>19.035899999999998</v>
      </c>
      <c r="H61" s="76">
        <f t="shared" si="49"/>
        <v>22.75240625</v>
      </c>
      <c r="I61" s="76">
        <f t="shared" si="49"/>
        <v>24.08231</v>
      </c>
      <c r="J61" s="76">
        <f t="shared" si="49"/>
        <v>19.822502499999999</v>
      </c>
      <c r="K61" s="76">
        <f t="shared" si="49"/>
        <v>13.81939375</v>
      </c>
      <c r="L61" s="76">
        <f t="shared" si="49"/>
        <v>7.6492974999999994</v>
      </c>
      <c r="M61" s="76">
        <f t="shared" si="49"/>
        <v>2.4689125000000001</v>
      </c>
      <c r="N61" s="67">
        <f t="shared" si="48"/>
        <v>12.117259479166664</v>
      </c>
    </row>
    <row r="62" spans="1:14" ht="16.5" customHeight="1">
      <c r="A62" s="66">
        <v>1</v>
      </c>
      <c r="B62" s="76">
        <f t="shared" ref="B62:M62" si="50">B59+(B60/2)*-0.965926</f>
        <v>0.80562939999999994</v>
      </c>
      <c r="C62" s="76">
        <f t="shared" si="50"/>
        <v>2.0192590000000004</v>
      </c>
      <c r="D62" s="76">
        <f t="shared" si="50"/>
        <v>5.3948144999999998</v>
      </c>
      <c r="E62" s="76">
        <f t="shared" si="50"/>
        <v>10.466962599999999</v>
      </c>
      <c r="F62" s="76">
        <f t="shared" si="50"/>
        <v>15.056740400000001</v>
      </c>
      <c r="G62" s="76">
        <f t="shared" si="50"/>
        <v>18.636296000000002</v>
      </c>
      <c r="H62" s="76">
        <f t="shared" si="50"/>
        <v>22.377777500000001</v>
      </c>
      <c r="I62" s="76">
        <f t="shared" si="50"/>
        <v>23.722666400000001</v>
      </c>
      <c r="J62" s="76">
        <f t="shared" si="50"/>
        <v>19.432888599999998</v>
      </c>
      <c r="K62" s="76">
        <f t="shared" si="50"/>
        <v>13.394814499999999</v>
      </c>
      <c r="L62" s="76">
        <f t="shared" si="50"/>
        <v>7.2397033999999998</v>
      </c>
      <c r="M62" s="76">
        <f t="shared" si="50"/>
        <v>2.119259</v>
      </c>
      <c r="N62" s="67">
        <f t="shared" si="48"/>
        <v>11.722234275</v>
      </c>
    </row>
    <row r="63" spans="1:14" ht="16.5" customHeight="1">
      <c r="A63" s="66">
        <v>2</v>
      </c>
      <c r="B63" s="76">
        <f t="shared" ref="B63:M63" si="51">B59+(B60/2)*-1</f>
        <v>0.69999999999999973</v>
      </c>
      <c r="C63" s="76">
        <f t="shared" si="51"/>
        <v>1.9000000000000004</v>
      </c>
      <c r="D63" s="76">
        <f t="shared" si="51"/>
        <v>5.25</v>
      </c>
      <c r="E63" s="76">
        <f t="shared" si="51"/>
        <v>10.299999999999999</v>
      </c>
      <c r="F63" s="76">
        <f t="shared" si="51"/>
        <v>14.9</v>
      </c>
      <c r="G63" s="76">
        <f t="shared" si="51"/>
        <v>18.5</v>
      </c>
      <c r="H63" s="76">
        <f t="shared" si="51"/>
        <v>22.25</v>
      </c>
      <c r="I63" s="76">
        <f t="shared" si="51"/>
        <v>23.599999999999998</v>
      </c>
      <c r="J63" s="76">
        <f t="shared" si="51"/>
        <v>19.3</v>
      </c>
      <c r="K63" s="76">
        <f t="shared" si="51"/>
        <v>13.25</v>
      </c>
      <c r="L63" s="76">
        <f t="shared" si="51"/>
        <v>7.1</v>
      </c>
      <c r="M63" s="76">
        <f t="shared" si="51"/>
        <v>2</v>
      </c>
      <c r="N63" s="67">
        <f t="shared" si="48"/>
        <v>11.587499999999999</v>
      </c>
    </row>
    <row r="64" spans="1:14" ht="16.5" customHeight="1">
      <c r="A64" s="66">
        <v>3</v>
      </c>
      <c r="B64" s="76">
        <f t="shared" ref="B64:M64" si="52">B59+(B60/2)*-0.965926</f>
        <v>0.80562939999999994</v>
      </c>
      <c r="C64" s="76">
        <f t="shared" si="52"/>
        <v>2.0192590000000004</v>
      </c>
      <c r="D64" s="76">
        <f t="shared" si="52"/>
        <v>5.3948144999999998</v>
      </c>
      <c r="E64" s="76">
        <f t="shared" si="52"/>
        <v>10.466962599999999</v>
      </c>
      <c r="F64" s="76">
        <f t="shared" si="52"/>
        <v>15.056740400000001</v>
      </c>
      <c r="G64" s="76">
        <f t="shared" si="52"/>
        <v>18.636296000000002</v>
      </c>
      <c r="H64" s="76">
        <f t="shared" si="52"/>
        <v>22.377777500000001</v>
      </c>
      <c r="I64" s="76">
        <f t="shared" si="52"/>
        <v>23.722666400000001</v>
      </c>
      <c r="J64" s="76">
        <f t="shared" si="52"/>
        <v>19.432888599999998</v>
      </c>
      <c r="K64" s="76">
        <f t="shared" si="52"/>
        <v>13.394814499999999</v>
      </c>
      <c r="L64" s="76">
        <f t="shared" si="52"/>
        <v>7.2397033999999998</v>
      </c>
      <c r="M64" s="76">
        <f t="shared" si="52"/>
        <v>2.119259</v>
      </c>
      <c r="N64" s="67">
        <f t="shared" si="48"/>
        <v>11.722234275</v>
      </c>
    </row>
    <row r="65" spans="1:14" ht="16.5" customHeight="1">
      <c r="A65" s="66">
        <v>4</v>
      </c>
      <c r="B65" s="76">
        <f t="shared" ref="B65:M65" si="53">B59+(B60/2)*-0.866025</f>
        <v>1.1153224999999996</v>
      </c>
      <c r="C65" s="76">
        <f t="shared" si="53"/>
        <v>2.3689125000000004</v>
      </c>
      <c r="D65" s="76">
        <f t="shared" si="53"/>
        <v>5.8193937499999997</v>
      </c>
      <c r="E65" s="76">
        <f t="shared" si="53"/>
        <v>10.956477499999998</v>
      </c>
      <c r="F65" s="76">
        <f t="shared" si="53"/>
        <v>15.516285</v>
      </c>
      <c r="G65" s="76">
        <f t="shared" si="53"/>
        <v>19.035899999999998</v>
      </c>
      <c r="H65" s="76">
        <f t="shared" si="53"/>
        <v>22.75240625</v>
      </c>
      <c r="I65" s="76">
        <f t="shared" si="53"/>
        <v>24.08231</v>
      </c>
      <c r="J65" s="76">
        <f t="shared" si="53"/>
        <v>19.822502499999999</v>
      </c>
      <c r="K65" s="76">
        <f t="shared" si="53"/>
        <v>13.81939375</v>
      </c>
      <c r="L65" s="76">
        <f t="shared" si="53"/>
        <v>7.6492974999999994</v>
      </c>
      <c r="M65" s="76">
        <f t="shared" si="53"/>
        <v>2.4689125000000001</v>
      </c>
      <c r="N65" s="67">
        <f t="shared" si="48"/>
        <v>12.117259479166664</v>
      </c>
    </row>
    <row r="66" spans="1:14" ht="16.5" customHeight="1">
      <c r="A66" s="66">
        <v>5</v>
      </c>
      <c r="B66" s="76">
        <f t="shared" ref="B66:M66" si="54">B59+(B60/2)*-0.707107</f>
        <v>1.6079682999999996</v>
      </c>
      <c r="C66" s="76">
        <f t="shared" si="54"/>
        <v>2.9251255</v>
      </c>
      <c r="D66" s="76">
        <f t="shared" si="54"/>
        <v>6.4947952499999992</v>
      </c>
      <c r="E66" s="76">
        <f t="shared" si="54"/>
        <v>11.735175699999999</v>
      </c>
      <c r="F66" s="76">
        <f t="shared" si="54"/>
        <v>16.247307800000002</v>
      </c>
      <c r="G66" s="76">
        <f t="shared" si="54"/>
        <v>19.671572000000001</v>
      </c>
      <c r="H66" s="76">
        <f t="shared" si="54"/>
        <v>23.34834875</v>
      </c>
      <c r="I66" s="76">
        <f t="shared" si="54"/>
        <v>24.654414799999998</v>
      </c>
      <c r="J66" s="76">
        <f t="shared" si="54"/>
        <v>20.4422827</v>
      </c>
      <c r="K66" s="76">
        <f t="shared" si="54"/>
        <v>14.494795249999999</v>
      </c>
      <c r="L66" s="76">
        <f t="shared" si="54"/>
        <v>8.3008612999999993</v>
      </c>
      <c r="M66" s="76">
        <f t="shared" si="54"/>
        <v>3.0251254999999997</v>
      </c>
      <c r="N66" s="67">
        <f t="shared" si="48"/>
        <v>12.745647737500001</v>
      </c>
    </row>
    <row r="67" spans="1:14" ht="16.5" customHeight="1">
      <c r="A67" s="66">
        <v>6</v>
      </c>
      <c r="B67" s="76">
        <f t="shared" ref="B67:M67" si="55">B59+(B60/2)*-0.5</f>
        <v>2.25</v>
      </c>
      <c r="C67" s="76">
        <f t="shared" si="55"/>
        <v>3.6500000000000004</v>
      </c>
      <c r="D67" s="76">
        <f t="shared" si="55"/>
        <v>7.375</v>
      </c>
      <c r="E67" s="76">
        <f t="shared" si="55"/>
        <v>12.75</v>
      </c>
      <c r="F67" s="76">
        <f t="shared" si="55"/>
        <v>17.2</v>
      </c>
      <c r="G67" s="76">
        <f t="shared" si="55"/>
        <v>20.5</v>
      </c>
      <c r="H67" s="76">
        <f t="shared" si="55"/>
        <v>24.125</v>
      </c>
      <c r="I67" s="76">
        <f t="shared" si="55"/>
        <v>25.4</v>
      </c>
      <c r="J67" s="76">
        <f t="shared" si="55"/>
        <v>21.25</v>
      </c>
      <c r="K67" s="76">
        <f t="shared" si="55"/>
        <v>15.375</v>
      </c>
      <c r="L67" s="76">
        <f t="shared" si="55"/>
        <v>9.1499999999999986</v>
      </c>
      <c r="M67" s="76">
        <f t="shared" si="55"/>
        <v>3.75</v>
      </c>
      <c r="N67" s="67">
        <f t="shared" si="48"/>
        <v>13.564583333333333</v>
      </c>
    </row>
    <row r="68" spans="1:14" ht="16.5" customHeight="1">
      <c r="A68" s="66">
        <v>7</v>
      </c>
      <c r="B68" s="76">
        <f t="shared" ref="B68:M68" si="56">B59+(B60/2)*-0.258819</f>
        <v>2.9976610999999997</v>
      </c>
      <c r="C68" s="76">
        <f t="shared" si="56"/>
        <v>4.4941335000000002</v>
      </c>
      <c r="D68" s="76">
        <f t="shared" si="56"/>
        <v>8.4000192499999997</v>
      </c>
      <c r="E68" s="76">
        <f t="shared" si="56"/>
        <v>13.931786899999999</v>
      </c>
      <c r="F68" s="76">
        <f t="shared" si="56"/>
        <v>18.309432600000001</v>
      </c>
      <c r="G68" s="76">
        <f t="shared" si="56"/>
        <v>21.464724</v>
      </c>
      <c r="H68" s="76">
        <f t="shared" si="56"/>
        <v>25.029428750000001</v>
      </c>
      <c r="I68" s="76">
        <f t="shared" si="56"/>
        <v>26.268251599999999</v>
      </c>
      <c r="J68" s="76">
        <f t="shared" si="56"/>
        <v>22.190605899999998</v>
      </c>
      <c r="K68" s="76">
        <f t="shared" si="56"/>
        <v>16.40001925</v>
      </c>
      <c r="L68" s="76">
        <f t="shared" si="56"/>
        <v>10.1388421</v>
      </c>
      <c r="M68" s="76">
        <f t="shared" si="56"/>
        <v>4.5941334999999999</v>
      </c>
      <c r="N68" s="67">
        <f t="shared" si="48"/>
        <v>14.518253204166667</v>
      </c>
    </row>
    <row r="69" spans="1:14" ht="16.5" customHeight="1">
      <c r="A69" s="66">
        <v>8</v>
      </c>
      <c r="B69" s="76">
        <f t="shared" ref="B69:M69" si="57">B59+(B60/2)*0</f>
        <v>3.8</v>
      </c>
      <c r="C69" s="76">
        <f t="shared" si="57"/>
        <v>5.4</v>
      </c>
      <c r="D69" s="76">
        <f t="shared" si="57"/>
        <v>9.5</v>
      </c>
      <c r="E69" s="76">
        <f t="shared" si="57"/>
        <v>15.2</v>
      </c>
      <c r="F69" s="76">
        <f t="shared" si="57"/>
        <v>19.5</v>
      </c>
      <c r="G69" s="76">
        <f t="shared" si="57"/>
        <v>22.5</v>
      </c>
      <c r="H69" s="76">
        <f t="shared" si="57"/>
        <v>26</v>
      </c>
      <c r="I69" s="76">
        <f t="shared" si="57"/>
        <v>27.2</v>
      </c>
      <c r="J69" s="76">
        <f t="shared" si="57"/>
        <v>23.2</v>
      </c>
      <c r="K69" s="76">
        <f t="shared" si="57"/>
        <v>17.5</v>
      </c>
      <c r="L69" s="76">
        <f t="shared" si="57"/>
        <v>11.2</v>
      </c>
      <c r="M69" s="76">
        <f t="shared" si="57"/>
        <v>5.5</v>
      </c>
      <c r="N69" s="67">
        <f t="shared" si="48"/>
        <v>15.541666666666664</v>
      </c>
    </row>
    <row r="70" spans="1:14" ht="16.5" customHeight="1">
      <c r="A70" s="66">
        <v>9</v>
      </c>
      <c r="B70" s="76">
        <f t="shared" ref="B70:M70" si="58">B59+(B60/2)*0.258819</f>
        <v>4.6023388999999995</v>
      </c>
      <c r="C70" s="76">
        <f t="shared" si="58"/>
        <v>6.3058665000000005</v>
      </c>
      <c r="D70" s="76">
        <f t="shared" si="58"/>
        <v>10.59998075</v>
      </c>
      <c r="E70" s="76">
        <f t="shared" si="58"/>
        <v>16.4682131</v>
      </c>
      <c r="F70" s="76">
        <f t="shared" si="58"/>
        <v>20.690567399999999</v>
      </c>
      <c r="G70" s="76">
        <f t="shared" si="58"/>
        <v>23.535276</v>
      </c>
      <c r="H70" s="76">
        <f t="shared" si="58"/>
        <v>26.970571249999999</v>
      </c>
      <c r="I70" s="76">
        <f t="shared" si="58"/>
        <v>28.131748399999999</v>
      </c>
      <c r="J70" s="76">
        <f t="shared" si="58"/>
        <v>24.209394100000001</v>
      </c>
      <c r="K70" s="76">
        <f t="shared" si="58"/>
        <v>18.59998075</v>
      </c>
      <c r="L70" s="76">
        <f t="shared" si="58"/>
        <v>12.261157899999999</v>
      </c>
      <c r="M70" s="76">
        <f t="shared" si="58"/>
        <v>6.4058665000000001</v>
      </c>
      <c r="N70" s="67">
        <f t="shared" si="48"/>
        <v>16.565080129166663</v>
      </c>
    </row>
    <row r="71" spans="1:14" ht="16.5" customHeight="1">
      <c r="A71" s="66">
        <v>10</v>
      </c>
      <c r="B71" s="76">
        <f t="shared" ref="B71:M71" si="59">B59+(B60/2)*0.5</f>
        <v>5.35</v>
      </c>
      <c r="C71" s="76">
        <f t="shared" si="59"/>
        <v>7.15</v>
      </c>
      <c r="D71" s="76">
        <f t="shared" si="59"/>
        <v>11.625</v>
      </c>
      <c r="E71" s="76">
        <f t="shared" si="59"/>
        <v>17.649999999999999</v>
      </c>
      <c r="F71" s="76">
        <f t="shared" si="59"/>
        <v>21.8</v>
      </c>
      <c r="G71" s="76">
        <f t="shared" si="59"/>
        <v>24.5</v>
      </c>
      <c r="H71" s="76">
        <f t="shared" si="59"/>
        <v>27.875</v>
      </c>
      <c r="I71" s="76">
        <f t="shared" si="59"/>
        <v>29</v>
      </c>
      <c r="J71" s="76">
        <f t="shared" si="59"/>
        <v>25.15</v>
      </c>
      <c r="K71" s="76">
        <f t="shared" si="59"/>
        <v>19.625</v>
      </c>
      <c r="L71" s="76">
        <f t="shared" si="59"/>
        <v>13.25</v>
      </c>
      <c r="M71" s="76">
        <f t="shared" si="59"/>
        <v>7.25</v>
      </c>
      <c r="N71" s="67">
        <f t="shared" si="48"/>
        <v>17.518750000000001</v>
      </c>
    </row>
    <row r="72" spans="1:14" ht="16.5" customHeight="1">
      <c r="A72" s="66">
        <v>11</v>
      </c>
      <c r="B72" s="76">
        <f t="shared" ref="B72:M72" si="60">B59+(B60/2)*0.707107</f>
        <v>5.9920317000000001</v>
      </c>
      <c r="C72" s="76">
        <f t="shared" si="60"/>
        <v>7.8748745000000007</v>
      </c>
      <c r="D72" s="76">
        <f t="shared" si="60"/>
        <v>12.505204750000001</v>
      </c>
      <c r="E72" s="76">
        <f t="shared" si="60"/>
        <v>18.664824299999999</v>
      </c>
      <c r="F72" s="76">
        <f t="shared" si="60"/>
        <v>22.752692199999998</v>
      </c>
      <c r="G72" s="76">
        <f t="shared" si="60"/>
        <v>25.328427999999999</v>
      </c>
      <c r="H72" s="76">
        <f t="shared" si="60"/>
        <v>28.65165125</v>
      </c>
      <c r="I72" s="76">
        <f t="shared" si="60"/>
        <v>29.745585200000001</v>
      </c>
      <c r="J72" s="76">
        <f t="shared" si="60"/>
        <v>25.957717299999999</v>
      </c>
      <c r="K72" s="76">
        <f t="shared" si="60"/>
        <v>20.505204750000001</v>
      </c>
      <c r="L72" s="76">
        <f t="shared" si="60"/>
        <v>14.099138699999999</v>
      </c>
      <c r="M72" s="76">
        <f t="shared" si="60"/>
        <v>7.9748745000000003</v>
      </c>
      <c r="N72" s="67">
        <f t="shared" si="48"/>
        <v>18.337685595833332</v>
      </c>
    </row>
    <row r="73" spans="1:14" ht="16.5" customHeight="1">
      <c r="A73" s="66">
        <v>12</v>
      </c>
      <c r="B73" s="76">
        <f t="shared" ref="B73:M73" si="61">B59+(B60/2)*0.866025</f>
        <v>6.4846775000000001</v>
      </c>
      <c r="C73" s="76">
        <f t="shared" si="61"/>
        <v>8.4310875000000003</v>
      </c>
      <c r="D73" s="76">
        <f t="shared" si="61"/>
        <v>13.18060625</v>
      </c>
      <c r="E73" s="76">
        <f t="shared" si="61"/>
        <v>19.4435225</v>
      </c>
      <c r="F73" s="76">
        <f t="shared" si="61"/>
        <v>23.483715</v>
      </c>
      <c r="G73" s="76">
        <f t="shared" si="61"/>
        <v>25.964100000000002</v>
      </c>
      <c r="H73" s="76">
        <f t="shared" si="61"/>
        <v>29.24759375</v>
      </c>
      <c r="I73" s="76">
        <f t="shared" si="61"/>
        <v>30.317689999999999</v>
      </c>
      <c r="J73" s="76">
        <f t="shared" si="61"/>
        <v>26.5774975</v>
      </c>
      <c r="K73" s="76">
        <f t="shared" si="61"/>
        <v>21.18060625</v>
      </c>
      <c r="L73" s="76">
        <f t="shared" si="61"/>
        <v>14.750702499999999</v>
      </c>
      <c r="M73" s="76">
        <f t="shared" si="61"/>
        <v>8.5310874999999999</v>
      </c>
      <c r="N73" s="67">
        <f t="shared" si="48"/>
        <v>18.96607385416667</v>
      </c>
    </row>
    <row r="74" spans="1:14" ht="16.5" customHeight="1">
      <c r="A74" s="66">
        <v>13</v>
      </c>
      <c r="B74" s="76">
        <f t="shared" ref="B74:M74" si="62">B59+(B60/2)*0.965926</f>
        <v>6.7943705999999997</v>
      </c>
      <c r="C74" s="76">
        <f t="shared" si="62"/>
        <v>8.7807410000000008</v>
      </c>
      <c r="D74" s="76">
        <f t="shared" si="62"/>
        <v>13.605185500000001</v>
      </c>
      <c r="E74" s="76">
        <f t="shared" si="62"/>
        <v>19.9330374</v>
      </c>
      <c r="F74" s="76">
        <f t="shared" si="62"/>
        <v>23.943259599999998</v>
      </c>
      <c r="G74" s="76">
        <f t="shared" si="62"/>
        <v>26.363703999999998</v>
      </c>
      <c r="H74" s="76">
        <f t="shared" si="62"/>
        <v>29.622222499999999</v>
      </c>
      <c r="I74" s="76">
        <f t="shared" si="62"/>
        <v>30.677333599999997</v>
      </c>
      <c r="J74" s="76">
        <f t="shared" si="62"/>
        <v>26.9671114</v>
      </c>
      <c r="K74" s="76">
        <f t="shared" si="62"/>
        <v>21.605185500000001</v>
      </c>
      <c r="L74" s="76">
        <f t="shared" si="62"/>
        <v>15.160296599999999</v>
      </c>
      <c r="M74" s="76">
        <f t="shared" si="62"/>
        <v>8.8807410000000004</v>
      </c>
      <c r="N74" s="67">
        <f t="shared" si="48"/>
        <v>19.361099058333334</v>
      </c>
    </row>
    <row r="75" spans="1:14" ht="16.5" customHeight="1">
      <c r="A75" s="66">
        <v>14</v>
      </c>
      <c r="B75" s="76">
        <f t="shared" ref="B75:M75" si="63">B59+(B60/2)*1</f>
        <v>6.9</v>
      </c>
      <c r="C75" s="76">
        <f t="shared" si="63"/>
        <v>8.9</v>
      </c>
      <c r="D75" s="76">
        <f t="shared" si="63"/>
        <v>13.75</v>
      </c>
      <c r="E75" s="76">
        <f t="shared" si="63"/>
        <v>20.100000000000001</v>
      </c>
      <c r="F75" s="76">
        <f t="shared" si="63"/>
        <v>24.1</v>
      </c>
      <c r="G75" s="76">
        <f t="shared" si="63"/>
        <v>26.5</v>
      </c>
      <c r="H75" s="76">
        <f t="shared" si="63"/>
        <v>29.75</v>
      </c>
      <c r="I75" s="76">
        <f t="shared" si="63"/>
        <v>30.8</v>
      </c>
      <c r="J75" s="76">
        <f t="shared" si="63"/>
        <v>27.099999999999998</v>
      </c>
      <c r="K75" s="76">
        <f t="shared" si="63"/>
        <v>21.75</v>
      </c>
      <c r="L75" s="76">
        <f t="shared" si="63"/>
        <v>15.299999999999999</v>
      </c>
      <c r="M75" s="76">
        <f t="shared" si="63"/>
        <v>9</v>
      </c>
      <c r="N75" s="67">
        <f t="shared" si="48"/>
        <v>19.495833333333334</v>
      </c>
    </row>
    <row r="76" spans="1:14" ht="16.5" customHeight="1">
      <c r="A76" s="66">
        <v>15</v>
      </c>
      <c r="B76" s="76">
        <f t="shared" ref="B76:M76" si="64">B59+(B60/2)*0.965926</f>
        <v>6.7943705999999997</v>
      </c>
      <c r="C76" s="76">
        <f t="shared" si="64"/>
        <v>8.7807410000000008</v>
      </c>
      <c r="D76" s="76">
        <f t="shared" si="64"/>
        <v>13.605185500000001</v>
      </c>
      <c r="E76" s="76">
        <f t="shared" si="64"/>
        <v>19.9330374</v>
      </c>
      <c r="F76" s="76">
        <f t="shared" si="64"/>
        <v>23.943259599999998</v>
      </c>
      <c r="G76" s="76">
        <f t="shared" si="64"/>
        <v>26.363703999999998</v>
      </c>
      <c r="H76" s="76">
        <f t="shared" si="64"/>
        <v>29.622222499999999</v>
      </c>
      <c r="I76" s="76">
        <f t="shared" si="64"/>
        <v>30.677333599999997</v>
      </c>
      <c r="J76" s="76">
        <f t="shared" si="64"/>
        <v>26.9671114</v>
      </c>
      <c r="K76" s="76">
        <f t="shared" si="64"/>
        <v>21.605185500000001</v>
      </c>
      <c r="L76" s="76">
        <f t="shared" si="64"/>
        <v>15.160296599999999</v>
      </c>
      <c r="M76" s="76">
        <f t="shared" si="64"/>
        <v>8.8807410000000004</v>
      </c>
      <c r="N76" s="67">
        <f t="shared" si="48"/>
        <v>19.361099058333334</v>
      </c>
    </row>
    <row r="77" spans="1:14" ht="16.5" customHeight="1">
      <c r="A77" s="66">
        <v>16</v>
      </c>
      <c r="B77" s="76">
        <f t="shared" ref="B77:M77" si="65">B59+(B60/2)*0.866025</f>
        <v>6.4846775000000001</v>
      </c>
      <c r="C77" s="76">
        <f t="shared" si="65"/>
        <v>8.4310875000000003</v>
      </c>
      <c r="D77" s="76">
        <f t="shared" si="65"/>
        <v>13.18060625</v>
      </c>
      <c r="E77" s="76">
        <f t="shared" si="65"/>
        <v>19.4435225</v>
      </c>
      <c r="F77" s="76">
        <f t="shared" si="65"/>
        <v>23.483715</v>
      </c>
      <c r="G77" s="76">
        <f t="shared" si="65"/>
        <v>25.964100000000002</v>
      </c>
      <c r="H77" s="76">
        <f t="shared" si="65"/>
        <v>29.24759375</v>
      </c>
      <c r="I77" s="76">
        <f t="shared" si="65"/>
        <v>30.317689999999999</v>
      </c>
      <c r="J77" s="76">
        <f t="shared" si="65"/>
        <v>26.5774975</v>
      </c>
      <c r="K77" s="76">
        <f t="shared" si="65"/>
        <v>21.18060625</v>
      </c>
      <c r="L77" s="76">
        <f t="shared" si="65"/>
        <v>14.750702499999999</v>
      </c>
      <c r="M77" s="76">
        <f t="shared" si="65"/>
        <v>8.5310874999999999</v>
      </c>
      <c r="N77" s="67">
        <f t="shared" si="48"/>
        <v>18.96607385416667</v>
      </c>
    </row>
    <row r="78" spans="1:14" ht="16.5" customHeight="1">
      <c r="A78" s="66">
        <v>17</v>
      </c>
      <c r="B78" s="76">
        <f t="shared" ref="B78:M78" si="66">B59+(B60/2)*0.707107</f>
        <v>5.9920317000000001</v>
      </c>
      <c r="C78" s="76">
        <f t="shared" si="66"/>
        <v>7.8748745000000007</v>
      </c>
      <c r="D78" s="76">
        <f t="shared" si="66"/>
        <v>12.505204750000001</v>
      </c>
      <c r="E78" s="76">
        <f t="shared" si="66"/>
        <v>18.664824299999999</v>
      </c>
      <c r="F78" s="76">
        <f t="shared" si="66"/>
        <v>22.752692199999998</v>
      </c>
      <c r="G78" s="76">
        <f t="shared" si="66"/>
        <v>25.328427999999999</v>
      </c>
      <c r="H78" s="76">
        <f t="shared" si="66"/>
        <v>28.65165125</v>
      </c>
      <c r="I78" s="76">
        <f t="shared" si="66"/>
        <v>29.745585200000001</v>
      </c>
      <c r="J78" s="76">
        <f t="shared" si="66"/>
        <v>25.957717299999999</v>
      </c>
      <c r="K78" s="76">
        <f t="shared" si="66"/>
        <v>20.505204750000001</v>
      </c>
      <c r="L78" s="76">
        <f t="shared" si="66"/>
        <v>14.099138699999999</v>
      </c>
      <c r="M78" s="76">
        <f t="shared" si="66"/>
        <v>7.9748745000000003</v>
      </c>
      <c r="N78" s="67">
        <f t="shared" si="48"/>
        <v>18.337685595833332</v>
      </c>
    </row>
    <row r="79" spans="1:14" ht="16.5" customHeight="1">
      <c r="A79" s="66">
        <v>18</v>
      </c>
      <c r="B79" s="76">
        <f t="shared" ref="B79:M79" si="67">B59+(B60/2)*0.5</f>
        <v>5.35</v>
      </c>
      <c r="C79" s="76">
        <f t="shared" si="67"/>
        <v>7.15</v>
      </c>
      <c r="D79" s="76">
        <f t="shared" si="67"/>
        <v>11.625</v>
      </c>
      <c r="E79" s="76">
        <f t="shared" si="67"/>
        <v>17.649999999999999</v>
      </c>
      <c r="F79" s="76">
        <f t="shared" si="67"/>
        <v>21.8</v>
      </c>
      <c r="G79" s="76">
        <f t="shared" si="67"/>
        <v>24.5</v>
      </c>
      <c r="H79" s="76">
        <f t="shared" si="67"/>
        <v>27.875</v>
      </c>
      <c r="I79" s="76">
        <f t="shared" si="67"/>
        <v>29</v>
      </c>
      <c r="J79" s="76">
        <f t="shared" si="67"/>
        <v>25.15</v>
      </c>
      <c r="K79" s="76">
        <f t="shared" si="67"/>
        <v>19.625</v>
      </c>
      <c r="L79" s="76">
        <f t="shared" si="67"/>
        <v>13.25</v>
      </c>
      <c r="M79" s="76">
        <f t="shared" si="67"/>
        <v>7.25</v>
      </c>
      <c r="N79" s="67">
        <f t="shared" si="48"/>
        <v>17.518750000000001</v>
      </c>
    </row>
    <row r="80" spans="1:14" ht="16.5" customHeight="1">
      <c r="A80" s="66">
        <v>19</v>
      </c>
      <c r="B80" s="76">
        <f t="shared" ref="B80:M80" si="68">B59+(B60/2)*0.258819</f>
        <v>4.6023388999999995</v>
      </c>
      <c r="C80" s="76">
        <f t="shared" si="68"/>
        <v>6.3058665000000005</v>
      </c>
      <c r="D80" s="76">
        <f t="shared" si="68"/>
        <v>10.59998075</v>
      </c>
      <c r="E80" s="76">
        <f t="shared" si="68"/>
        <v>16.4682131</v>
      </c>
      <c r="F80" s="76">
        <f t="shared" si="68"/>
        <v>20.690567399999999</v>
      </c>
      <c r="G80" s="76">
        <f t="shared" si="68"/>
        <v>23.535276</v>
      </c>
      <c r="H80" s="76">
        <f t="shared" si="68"/>
        <v>26.970571249999999</v>
      </c>
      <c r="I80" s="76">
        <f t="shared" si="68"/>
        <v>28.131748399999999</v>
      </c>
      <c r="J80" s="76">
        <f t="shared" si="68"/>
        <v>24.209394100000001</v>
      </c>
      <c r="K80" s="76">
        <f t="shared" si="68"/>
        <v>18.59998075</v>
      </c>
      <c r="L80" s="76">
        <f t="shared" si="68"/>
        <v>12.261157899999999</v>
      </c>
      <c r="M80" s="76">
        <f t="shared" si="68"/>
        <v>6.4058665000000001</v>
      </c>
      <c r="N80" s="67">
        <f t="shared" si="48"/>
        <v>16.565080129166663</v>
      </c>
    </row>
    <row r="81" spans="1:14" ht="16.5" customHeight="1">
      <c r="A81" s="66">
        <v>20</v>
      </c>
      <c r="B81" s="76">
        <f t="shared" ref="B81:M81" si="69">B59+(B60/2)*0</f>
        <v>3.8</v>
      </c>
      <c r="C81" s="76">
        <f t="shared" si="69"/>
        <v>5.4</v>
      </c>
      <c r="D81" s="76">
        <f t="shared" si="69"/>
        <v>9.5</v>
      </c>
      <c r="E81" s="76">
        <f t="shared" si="69"/>
        <v>15.2</v>
      </c>
      <c r="F81" s="76">
        <f t="shared" si="69"/>
        <v>19.5</v>
      </c>
      <c r="G81" s="76">
        <f t="shared" si="69"/>
        <v>22.5</v>
      </c>
      <c r="H81" s="76">
        <f t="shared" si="69"/>
        <v>26</v>
      </c>
      <c r="I81" s="76">
        <f t="shared" si="69"/>
        <v>27.2</v>
      </c>
      <c r="J81" s="76">
        <f t="shared" si="69"/>
        <v>23.2</v>
      </c>
      <c r="K81" s="76">
        <f t="shared" si="69"/>
        <v>17.5</v>
      </c>
      <c r="L81" s="76">
        <f t="shared" si="69"/>
        <v>11.2</v>
      </c>
      <c r="M81" s="76">
        <f t="shared" si="69"/>
        <v>5.5</v>
      </c>
      <c r="N81" s="67">
        <f t="shared" si="48"/>
        <v>15.541666666666664</v>
      </c>
    </row>
    <row r="82" spans="1:14" ht="16.5" customHeight="1">
      <c r="A82" s="66">
        <v>21</v>
      </c>
      <c r="B82" s="76">
        <f t="shared" ref="B82:M82" si="70">B59+(B60/2)*-0.258819</f>
        <v>2.9976610999999997</v>
      </c>
      <c r="C82" s="76">
        <f t="shared" si="70"/>
        <v>4.4941335000000002</v>
      </c>
      <c r="D82" s="76">
        <f t="shared" si="70"/>
        <v>8.4000192499999997</v>
      </c>
      <c r="E82" s="76">
        <f t="shared" si="70"/>
        <v>13.931786899999999</v>
      </c>
      <c r="F82" s="76">
        <f t="shared" si="70"/>
        <v>18.309432600000001</v>
      </c>
      <c r="G82" s="76">
        <f t="shared" si="70"/>
        <v>21.464724</v>
      </c>
      <c r="H82" s="76">
        <f t="shared" si="70"/>
        <v>25.029428750000001</v>
      </c>
      <c r="I82" s="76">
        <f t="shared" si="70"/>
        <v>26.268251599999999</v>
      </c>
      <c r="J82" s="76">
        <f t="shared" si="70"/>
        <v>22.190605899999998</v>
      </c>
      <c r="K82" s="76">
        <f t="shared" si="70"/>
        <v>16.40001925</v>
      </c>
      <c r="L82" s="76">
        <f t="shared" si="70"/>
        <v>10.1388421</v>
      </c>
      <c r="M82" s="76">
        <f t="shared" si="70"/>
        <v>4.5941334999999999</v>
      </c>
      <c r="N82" s="67">
        <f t="shared" si="48"/>
        <v>14.518253204166667</v>
      </c>
    </row>
    <row r="83" spans="1:14" ht="16.5" customHeight="1">
      <c r="A83" s="66">
        <v>22</v>
      </c>
      <c r="B83" s="76">
        <f t="shared" ref="B83:M83" si="71">B59+(B60/2)*-0.5</f>
        <v>2.25</v>
      </c>
      <c r="C83" s="76">
        <f t="shared" si="71"/>
        <v>3.6500000000000004</v>
      </c>
      <c r="D83" s="76">
        <f t="shared" si="71"/>
        <v>7.375</v>
      </c>
      <c r="E83" s="76">
        <f t="shared" si="71"/>
        <v>12.75</v>
      </c>
      <c r="F83" s="76">
        <f t="shared" si="71"/>
        <v>17.2</v>
      </c>
      <c r="G83" s="76">
        <f t="shared" si="71"/>
        <v>20.5</v>
      </c>
      <c r="H83" s="76">
        <f t="shared" si="71"/>
        <v>24.125</v>
      </c>
      <c r="I83" s="76">
        <f t="shared" si="71"/>
        <v>25.4</v>
      </c>
      <c r="J83" s="76">
        <f t="shared" si="71"/>
        <v>21.25</v>
      </c>
      <c r="K83" s="76">
        <f t="shared" si="71"/>
        <v>15.375</v>
      </c>
      <c r="L83" s="76">
        <f t="shared" si="71"/>
        <v>9.1499999999999986</v>
      </c>
      <c r="M83" s="76">
        <f t="shared" si="71"/>
        <v>3.75</v>
      </c>
      <c r="N83" s="67">
        <f t="shared" si="48"/>
        <v>13.564583333333333</v>
      </c>
    </row>
    <row r="84" spans="1:14" ht="21.75" customHeight="1">
      <c r="A84" s="178" t="s">
        <v>355</v>
      </c>
      <c r="B84" s="178"/>
      <c r="C84" s="178"/>
      <c r="D84" s="178"/>
      <c r="E84" s="178"/>
      <c r="F84" s="178"/>
      <c r="G84" s="178"/>
      <c r="H84" s="178"/>
      <c r="I84" s="178"/>
      <c r="J84" s="178"/>
      <c r="K84" s="178"/>
      <c r="L84" s="178"/>
      <c r="M84" s="178"/>
      <c r="N84" s="178"/>
    </row>
    <row r="85" spans="1:14" ht="21.75" customHeight="1">
      <c r="A85" s="78" t="s">
        <v>337</v>
      </c>
      <c r="B85" s="79" t="s">
        <v>338</v>
      </c>
      <c r="C85" s="79" t="s">
        <v>339</v>
      </c>
      <c r="D85" s="79" t="s">
        <v>340</v>
      </c>
      <c r="E85" s="79" t="s">
        <v>341</v>
      </c>
      <c r="F85" s="79" t="s">
        <v>342</v>
      </c>
      <c r="G85" s="79" t="s">
        <v>343</v>
      </c>
      <c r="H85" s="79" t="s">
        <v>344</v>
      </c>
      <c r="I85" s="79" t="s">
        <v>345</v>
      </c>
      <c r="J85" s="79" t="s">
        <v>346</v>
      </c>
      <c r="K85" s="79" t="s">
        <v>347</v>
      </c>
      <c r="L85" s="79" t="s">
        <v>348</v>
      </c>
      <c r="M85" s="79" t="s">
        <v>349</v>
      </c>
      <c r="N85" s="78" t="s">
        <v>350</v>
      </c>
    </row>
    <row r="86" spans="1:14" ht="19.5" customHeight="1">
      <c r="A86" s="80" t="s">
        <v>351</v>
      </c>
      <c r="B86" s="81">
        <v>6.2</v>
      </c>
      <c r="C86" s="81">
        <v>7</v>
      </c>
      <c r="D86" s="81">
        <v>10.5</v>
      </c>
      <c r="E86" s="81">
        <v>15.2</v>
      </c>
      <c r="F86" s="81">
        <v>19.5</v>
      </c>
      <c r="G86" s="81">
        <v>23</v>
      </c>
      <c r="H86" s="81">
        <v>27.2</v>
      </c>
      <c r="I86" s="81">
        <v>28</v>
      </c>
      <c r="J86" s="81">
        <v>24</v>
      </c>
      <c r="K86" s="81">
        <v>19</v>
      </c>
      <c r="L86" s="81">
        <v>13.5</v>
      </c>
      <c r="M86" s="81">
        <v>8.1999999999999993</v>
      </c>
      <c r="N86" s="82">
        <f t="shared" ref="N86:N111" si="72">AVERAGE(B86,C86,D86,E86,F86,G86,H86,I86,J86,K86,L86,M86)</f>
        <v>16.775000000000002</v>
      </c>
    </row>
    <row r="87" spans="1:14" ht="18" customHeight="1">
      <c r="A87" s="80" t="s">
        <v>352</v>
      </c>
      <c r="B87" s="81">
        <v>5.8</v>
      </c>
      <c r="C87" s="81">
        <v>6.5</v>
      </c>
      <c r="D87" s="81">
        <v>7.2</v>
      </c>
      <c r="E87" s="81">
        <v>8.5</v>
      </c>
      <c r="F87" s="81">
        <v>8</v>
      </c>
      <c r="G87" s="81">
        <v>7.5</v>
      </c>
      <c r="H87" s="81">
        <v>7</v>
      </c>
      <c r="I87" s="81">
        <v>6.8</v>
      </c>
      <c r="J87" s="81">
        <v>7.2</v>
      </c>
      <c r="K87" s="81">
        <v>8</v>
      </c>
      <c r="L87" s="81">
        <v>7.5</v>
      </c>
      <c r="M87" s="81">
        <v>6.2</v>
      </c>
      <c r="N87" s="82">
        <f t="shared" si="72"/>
        <v>7.1833333333333336</v>
      </c>
    </row>
    <row r="88" spans="1:14" ht="16.5" customHeight="1">
      <c r="A88" s="66">
        <v>0</v>
      </c>
      <c r="B88" s="81">
        <f t="shared" ref="B88:M88" si="73">B86+(B87/2)*-0.866025</f>
        <v>3.6885275000000002</v>
      </c>
      <c r="C88" s="81">
        <f t="shared" si="73"/>
        <v>4.1854187500000002</v>
      </c>
      <c r="D88" s="81">
        <f t="shared" si="73"/>
        <v>7.3823100000000004</v>
      </c>
      <c r="E88" s="81">
        <f t="shared" si="73"/>
        <v>11.519393749999999</v>
      </c>
      <c r="F88" s="81">
        <f t="shared" si="73"/>
        <v>16.035899999999998</v>
      </c>
      <c r="G88" s="81">
        <f t="shared" si="73"/>
        <v>19.75240625</v>
      </c>
      <c r="H88" s="81">
        <f t="shared" si="73"/>
        <v>24.168912499999998</v>
      </c>
      <c r="I88" s="81">
        <f t="shared" si="73"/>
        <v>25.055515</v>
      </c>
      <c r="J88" s="81">
        <f t="shared" si="73"/>
        <v>20.88231</v>
      </c>
      <c r="K88" s="81">
        <f t="shared" si="73"/>
        <v>15.5359</v>
      </c>
      <c r="L88" s="81">
        <f t="shared" si="73"/>
        <v>10.25240625</v>
      </c>
      <c r="M88" s="81">
        <f t="shared" si="73"/>
        <v>5.515322499999999</v>
      </c>
      <c r="N88" s="67">
        <f t="shared" si="72"/>
        <v>13.664526875</v>
      </c>
    </row>
    <row r="89" spans="1:14" ht="16.5" customHeight="1">
      <c r="A89" s="66">
        <v>1</v>
      </c>
      <c r="B89" s="81">
        <f t="shared" ref="B89:M89" si="74">B86+(B87/2)*-0.965926</f>
        <v>3.3988146000000006</v>
      </c>
      <c r="C89" s="81">
        <f t="shared" si="74"/>
        <v>3.8607405000000004</v>
      </c>
      <c r="D89" s="81">
        <f t="shared" si="74"/>
        <v>7.0226664000000003</v>
      </c>
      <c r="E89" s="81">
        <f t="shared" si="74"/>
        <v>11.094814499999998</v>
      </c>
      <c r="F89" s="81">
        <f t="shared" si="74"/>
        <v>15.636296</v>
      </c>
      <c r="G89" s="81">
        <f t="shared" si="74"/>
        <v>19.377777500000001</v>
      </c>
      <c r="H89" s="81">
        <f t="shared" si="74"/>
        <v>23.819258999999999</v>
      </c>
      <c r="I89" s="81">
        <f t="shared" si="74"/>
        <v>24.715851600000001</v>
      </c>
      <c r="J89" s="81">
        <f t="shared" si="74"/>
        <v>20.522666399999999</v>
      </c>
      <c r="K89" s="81">
        <f t="shared" si="74"/>
        <v>15.136296</v>
      </c>
      <c r="L89" s="81">
        <f t="shared" si="74"/>
        <v>9.8777775000000005</v>
      </c>
      <c r="M89" s="81">
        <f t="shared" si="74"/>
        <v>5.2056293999999994</v>
      </c>
      <c r="N89" s="67">
        <f t="shared" si="72"/>
        <v>13.305715783333332</v>
      </c>
    </row>
    <row r="90" spans="1:14" ht="16.5" customHeight="1">
      <c r="A90" s="66">
        <v>2</v>
      </c>
      <c r="B90" s="81">
        <f t="shared" ref="B90:M90" si="75">B86+(B87/2)*-1</f>
        <v>3.3000000000000003</v>
      </c>
      <c r="C90" s="81">
        <f t="shared" si="75"/>
        <v>3.75</v>
      </c>
      <c r="D90" s="81">
        <f t="shared" si="75"/>
        <v>6.9</v>
      </c>
      <c r="E90" s="81">
        <f t="shared" si="75"/>
        <v>10.95</v>
      </c>
      <c r="F90" s="81">
        <f t="shared" si="75"/>
        <v>15.5</v>
      </c>
      <c r="G90" s="81">
        <f t="shared" si="75"/>
        <v>19.25</v>
      </c>
      <c r="H90" s="81">
        <f t="shared" si="75"/>
        <v>23.7</v>
      </c>
      <c r="I90" s="81">
        <f t="shared" si="75"/>
        <v>24.6</v>
      </c>
      <c r="J90" s="81">
        <f t="shared" si="75"/>
        <v>20.399999999999999</v>
      </c>
      <c r="K90" s="81">
        <f t="shared" si="75"/>
        <v>15</v>
      </c>
      <c r="L90" s="81">
        <f t="shared" si="75"/>
        <v>9.75</v>
      </c>
      <c r="M90" s="81">
        <f t="shared" si="75"/>
        <v>5.0999999999999996</v>
      </c>
      <c r="N90" s="67">
        <f t="shared" si="72"/>
        <v>13.183333333333332</v>
      </c>
    </row>
    <row r="91" spans="1:14" ht="16.5" customHeight="1">
      <c r="A91" s="66">
        <v>3</v>
      </c>
      <c r="B91" s="81">
        <f t="shared" ref="B91:M91" si="76">B86+(B87/2)*-0.965926</f>
        <v>3.3988146000000006</v>
      </c>
      <c r="C91" s="81">
        <f t="shared" si="76"/>
        <v>3.8607405000000004</v>
      </c>
      <c r="D91" s="81">
        <f t="shared" si="76"/>
        <v>7.0226664000000003</v>
      </c>
      <c r="E91" s="81">
        <f t="shared" si="76"/>
        <v>11.094814499999998</v>
      </c>
      <c r="F91" s="81">
        <f t="shared" si="76"/>
        <v>15.636296</v>
      </c>
      <c r="G91" s="81">
        <f t="shared" si="76"/>
        <v>19.377777500000001</v>
      </c>
      <c r="H91" s="81">
        <f t="shared" si="76"/>
        <v>23.819258999999999</v>
      </c>
      <c r="I91" s="81">
        <f t="shared" si="76"/>
        <v>24.715851600000001</v>
      </c>
      <c r="J91" s="81">
        <f t="shared" si="76"/>
        <v>20.522666399999999</v>
      </c>
      <c r="K91" s="81">
        <f t="shared" si="76"/>
        <v>15.136296</v>
      </c>
      <c r="L91" s="81">
        <f t="shared" si="76"/>
        <v>9.8777775000000005</v>
      </c>
      <c r="M91" s="81">
        <f t="shared" si="76"/>
        <v>5.2056293999999994</v>
      </c>
      <c r="N91" s="67">
        <f t="shared" si="72"/>
        <v>13.305715783333332</v>
      </c>
    </row>
    <row r="92" spans="1:14" ht="16.5" customHeight="1">
      <c r="A92" s="66">
        <v>4</v>
      </c>
      <c r="B92" s="81">
        <f t="shared" ref="B92:M92" si="77">B86+(B87/2)*-0.866025</f>
        <v>3.6885275000000002</v>
      </c>
      <c r="C92" s="81">
        <f t="shared" si="77"/>
        <v>4.1854187500000002</v>
      </c>
      <c r="D92" s="81">
        <f t="shared" si="77"/>
        <v>7.3823100000000004</v>
      </c>
      <c r="E92" s="81">
        <f t="shared" si="77"/>
        <v>11.519393749999999</v>
      </c>
      <c r="F92" s="81">
        <f t="shared" si="77"/>
        <v>16.035899999999998</v>
      </c>
      <c r="G92" s="81">
        <f t="shared" si="77"/>
        <v>19.75240625</v>
      </c>
      <c r="H92" s="81">
        <f t="shared" si="77"/>
        <v>24.168912499999998</v>
      </c>
      <c r="I92" s="81">
        <f t="shared" si="77"/>
        <v>25.055515</v>
      </c>
      <c r="J92" s="81">
        <f t="shared" si="77"/>
        <v>20.88231</v>
      </c>
      <c r="K92" s="81">
        <f t="shared" si="77"/>
        <v>15.5359</v>
      </c>
      <c r="L92" s="81">
        <f t="shared" si="77"/>
        <v>10.25240625</v>
      </c>
      <c r="M92" s="81">
        <f t="shared" si="77"/>
        <v>5.515322499999999</v>
      </c>
      <c r="N92" s="67">
        <f t="shared" si="72"/>
        <v>13.664526875</v>
      </c>
    </row>
    <row r="93" spans="1:14" ht="16.5" customHeight="1">
      <c r="A93" s="66">
        <v>5</v>
      </c>
      <c r="B93" s="81">
        <f t="shared" ref="B93:M93" si="78">B86+(B87/2)*-0.707107</f>
        <v>4.1493897000000004</v>
      </c>
      <c r="C93" s="81">
        <f t="shared" si="78"/>
        <v>4.7019022499999998</v>
      </c>
      <c r="D93" s="81">
        <f t="shared" si="78"/>
        <v>7.9544148000000003</v>
      </c>
      <c r="E93" s="81">
        <f t="shared" si="78"/>
        <v>12.194795249999999</v>
      </c>
      <c r="F93" s="81">
        <f t="shared" si="78"/>
        <v>16.671572000000001</v>
      </c>
      <c r="G93" s="81">
        <f t="shared" si="78"/>
        <v>20.34834875</v>
      </c>
      <c r="H93" s="81">
        <f t="shared" si="78"/>
        <v>24.725125499999997</v>
      </c>
      <c r="I93" s="81">
        <f t="shared" si="78"/>
        <v>25.595836200000001</v>
      </c>
      <c r="J93" s="81">
        <f t="shared" si="78"/>
        <v>21.454414799999999</v>
      </c>
      <c r="K93" s="81">
        <f t="shared" si="78"/>
        <v>16.171572000000001</v>
      </c>
      <c r="L93" s="81">
        <f t="shared" si="78"/>
        <v>10.84834875</v>
      </c>
      <c r="M93" s="81">
        <f t="shared" si="78"/>
        <v>6.007968299999999</v>
      </c>
      <c r="N93" s="67">
        <f t="shared" si="72"/>
        <v>14.235307358333332</v>
      </c>
    </row>
    <row r="94" spans="1:14" ht="16.5" customHeight="1">
      <c r="A94" s="66">
        <v>6</v>
      </c>
      <c r="B94" s="81">
        <f t="shared" ref="B94:M94" si="79">B86+(B87/2)*-0.5</f>
        <v>4.75</v>
      </c>
      <c r="C94" s="81">
        <f t="shared" si="79"/>
        <v>5.375</v>
      </c>
      <c r="D94" s="81">
        <f t="shared" si="79"/>
        <v>8.6999999999999993</v>
      </c>
      <c r="E94" s="81">
        <f t="shared" si="79"/>
        <v>13.074999999999999</v>
      </c>
      <c r="F94" s="81">
        <f t="shared" si="79"/>
        <v>17.5</v>
      </c>
      <c r="G94" s="81">
        <f t="shared" si="79"/>
        <v>21.125</v>
      </c>
      <c r="H94" s="81">
        <f t="shared" si="79"/>
        <v>25.45</v>
      </c>
      <c r="I94" s="81">
        <f t="shared" si="79"/>
        <v>26.3</v>
      </c>
      <c r="J94" s="81">
        <f t="shared" si="79"/>
        <v>22.2</v>
      </c>
      <c r="K94" s="81">
        <f t="shared" si="79"/>
        <v>17</v>
      </c>
      <c r="L94" s="81">
        <f t="shared" si="79"/>
        <v>11.625</v>
      </c>
      <c r="M94" s="81">
        <f t="shared" si="79"/>
        <v>6.6499999999999995</v>
      </c>
      <c r="N94" s="67">
        <f t="shared" si="72"/>
        <v>14.979166666666666</v>
      </c>
    </row>
    <row r="95" spans="1:14" ht="16.5" customHeight="1">
      <c r="A95" s="66">
        <v>7</v>
      </c>
      <c r="B95" s="81">
        <f t="shared" ref="B95:M95" si="80">B86+(B87/2)*-0.258819</f>
        <v>5.4494249000000003</v>
      </c>
      <c r="C95" s="81">
        <f t="shared" si="80"/>
        <v>6.1588382499999996</v>
      </c>
      <c r="D95" s="81">
        <f t="shared" si="80"/>
        <v>9.5682516</v>
      </c>
      <c r="E95" s="81">
        <f t="shared" si="80"/>
        <v>14.100019249999999</v>
      </c>
      <c r="F95" s="81">
        <f t="shared" si="80"/>
        <v>18.464724</v>
      </c>
      <c r="G95" s="81">
        <f t="shared" si="80"/>
        <v>22.029428750000001</v>
      </c>
      <c r="H95" s="81">
        <f t="shared" si="80"/>
        <v>26.294133500000001</v>
      </c>
      <c r="I95" s="81">
        <f t="shared" si="80"/>
        <v>27.1200154</v>
      </c>
      <c r="J95" s="81">
        <f t="shared" si="80"/>
        <v>23.0682516</v>
      </c>
      <c r="K95" s="81">
        <f t="shared" si="80"/>
        <v>17.964724</v>
      </c>
      <c r="L95" s="81">
        <f t="shared" si="80"/>
        <v>12.529428749999999</v>
      </c>
      <c r="M95" s="81">
        <f t="shared" si="80"/>
        <v>7.3976610999999988</v>
      </c>
      <c r="N95" s="67">
        <f t="shared" si="72"/>
        <v>15.845408425</v>
      </c>
    </row>
    <row r="96" spans="1:14" ht="16.5" customHeight="1">
      <c r="A96" s="66">
        <v>8</v>
      </c>
      <c r="B96" s="81">
        <f t="shared" ref="B96:M96" si="81">B86+(B87/2)*0</f>
        <v>6.2</v>
      </c>
      <c r="C96" s="81">
        <f t="shared" si="81"/>
        <v>7</v>
      </c>
      <c r="D96" s="81">
        <f t="shared" si="81"/>
        <v>10.5</v>
      </c>
      <c r="E96" s="81">
        <f t="shared" si="81"/>
        <v>15.2</v>
      </c>
      <c r="F96" s="81">
        <f t="shared" si="81"/>
        <v>19.5</v>
      </c>
      <c r="G96" s="81">
        <f t="shared" si="81"/>
        <v>23</v>
      </c>
      <c r="H96" s="81">
        <f t="shared" si="81"/>
        <v>27.2</v>
      </c>
      <c r="I96" s="81">
        <f t="shared" si="81"/>
        <v>28</v>
      </c>
      <c r="J96" s="81">
        <f t="shared" si="81"/>
        <v>24</v>
      </c>
      <c r="K96" s="81">
        <f t="shared" si="81"/>
        <v>19</v>
      </c>
      <c r="L96" s="81">
        <f t="shared" si="81"/>
        <v>13.5</v>
      </c>
      <c r="M96" s="81">
        <f t="shared" si="81"/>
        <v>8.1999999999999993</v>
      </c>
      <c r="N96" s="67">
        <f t="shared" si="72"/>
        <v>16.775000000000002</v>
      </c>
    </row>
    <row r="97" spans="1:14" ht="16.5" customHeight="1">
      <c r="A97" s="66">
        <v>9</v>
      </c>
      <c r="B97" s="81">
        <f t="shared" ref="B97:M97" si="82">B86+(B87/2)*0.258819</f>
        <v>6.9505751</v>
      </c>
      <c r="C97" s="81">
        <f t="shared" si="82"/>
        <v>7.8411617500000004</v>
      </c>
      <c r="D97" s="81">
        <f t="shared" si="82"/>
        <v>11.4317484</v>
      </c>
      <c r="E97" s="81">
        <f t="shared" si="82"/>
        <v>16.29998075</v>
      </c>
      <c r="F97" s="81">
        <f t="shared" si="82"/>
        <v>20.535276</v>
      </c>
      <c r="G97" s="81">
        <f t="shared" si="82"/>
        <v>23.970571249999999</v>
      </c>
      <c r="H97" s="81">
        <f t="shared" si="82"/>
        <v>28.105866499999998</v>
      </c>
      <c r="I97" s="81">
        <f t="shared" si="82"/>
        <v>28.8799846</v>
      </c>
      <c r="J97" s="81">
        <f t="shared" si="82"/>
        <v>24.9317484</v>
      </c>
      <c r="K97" s="81">
        <f t="shared" si="82"/>
        <v>20.035276</v>
      </c>
      <c r="L97" s="81">
        <f t="shared" si="82"/>
        <v>14.470571250000001</v>
      </c>
      <c r="M97" s="81">
        <f t="shared" si="82"/>
        <v>9.0023388999999998</v>
      </c>
      <c r="N97" s="67">
        <f t="shared" si="72"/>
        <v>17.704591575000002</v>
      </c>
    </row>
    <row r="98" spans="1:14" ht="16.5" customHeight="1">
      <c r="A98" s="66">
        <v>10</v>
      </c>
      <c r="B98" s="81">
        <f t="shared" ref="B98:M98" si="83">B86+(B87/2)*0.5</f>
        <v>7.65</v>
      </c>
      <c r="C98" s="81">
        <f t="shared" si="83"/>
        <v>8.625</v>
      </c>
      <c r="D98" s="81">
        <f t="shared" si="83"/>
        <v>12.3</v>
      </c>
      <c r="E98" s="81">
        <f t="shared" si="83"/>
        <v>17.324999999999999</v>
      </c>
      <c r="F98" s="81">
        <f t="shared" si="83"/>
        <v>21.5</v>
      </c>
      <c r="G98" s="81">
        <f t="shared" si="83"/>
        <v>24.875</v>
      </c>
      <c r="H98" s="81">
        <f t="shared" si="83"/>
        <v>28.95</v>
      </c>
      <c r="I98" s="81">
        <f t="shared" si="83"/>
        <v>29.7</v>
      </c>
      <c r="J98" s="81">
        <f t="shared" si="83"/>
        <v>25.8</v>
      </c>
      <c r="K98" s="81">
        <f t="shared" si="83"/>
        <v>21</v>
      </c>
      <c r="L98" s="81">
        <f t="shared" si="83"/>
        <v>15.375</v>
      </c>
      <c r="M98" s="81">
        <f t="shared" si="83"/>
        <v>9.75</v>
      </c>
      <c r="N98" s="67">
        <f t="shared" si="72"/>
        <v>18.570833333333336</v>
      </c>
    </row>
    <row r="99" spans="1:14" ht="16.5" customHeight="1">
      <c r="A99" s="66">
        <v>11</v>
      </c>
      <c r="B99" s="81">
        <f t="shared" ref="B99:M99" si="84">B86+(B87/2)*0.707107</f>
        <v>8.2506103</v>
      </c>
      <c r="C99" s="81">
        <f t="shared" si="84"/>
        <v>9.2980977500000002</v>
      </c>
      <c r="D99" s="81">
        <f t="shared" si="84"/>
        <v>13.0455852</v>
      </c>
      <c r="E99" s="81">
        <f t="shared" si="84"/>
        <v>18.20520475</v>
      </c>
      <c r="F99" s="81">
        <f t="shared" si="84"/>
        <v>22.328427999999999</v>
      </c>
      <c r="G99" s="81">
        <f t="shared" si="84"/>
        <v>25.65165125</v>
      </c>
      <c r="H99" s="81">
        <f t="shared" si="84"/>
        <v>29.674874500000001</v>
      </c>
      <c r="I99" s="81">
        <f t="shared" si="84"/>
        <v>30.404163799999999</v>
      </c>
      <c r="J99" s="81">
        <f t="shared" si="84"/>
        <v>26.545585200000001</v>
      </c>
      <c r="K99" s="81">
        <f t="shared" si="84"/>
        <v>21.828427999999999</v>
      </c>
      <c r="L99" s="81">
        <f t="shared" si="84"/>
        <v>16.15165125</v>
      </c>
      <c r="M99" s="81">
        <f t="shared" si="84"/>
        <v>10.3920317</v>
      </c>
      <c r="N99" s="67">
        <f t="shared" si="72"/>
        <v>19.314692641666664</v>
      </c>
    </row>
    <row r="100" spans="1:14" ht="16.5" customHeight="1">
      <c r="A100" s="66">
        <v>12</v>
      </c>
      <c r="B100" s="81">
        <f t="shared" ref="B100:M100" si="85">B86+(B87/2)*0.866025</f>
        <v>8.7114724999999993</v>
      </c>
      <c r="C100" s="81">
        <f t="shared" si="85"/>
        <v>9.8145812499999998</v>
      </c>
      <c r="D100" s="81">
        <f t="shared" si="85"/>
        <v>13.61769</v>
      </c>
      <c r="E100" s="81">
        <f t="shared" si="85"/>
        <v>18.88060625</v>
      </c>
      <c r="F100" s="81">
        <f t="shared" si="85"/>
        <v>22.964100000000002</v>
      </c>
      <c r="G100" s="81">
        <f t="shared" si="85"/>
        <v>26.24759375</v>
      </c>
      <c r="H100" s="81">
        <f t="shared" si="85"/>
        <v>30.231087500000001</v>
      </c>
      <c r="I100" s="81">
        <f t="shared" si="85"/>
        <v>30.944485</v>
      </c>
      <c r="J100" s="81">
        <f t="shared" si="85"/>
        <v>27.11769</v>
      </c>
      <c r="K100" s="81">
        <f t="shared" si="85"/>
        <v>22.464100000000002</v>
      </c>
      <c r="L100" s="81">
        <f t="shared" si="85"/>
        <v>16.74759375</v>
      </c>
      <c r="M100" s="81">
        <f t="shared" si="85"/>
        <v>10.884677499999999</v>
      </c>
      <c r="N100" s="67">
        <f t="shared" si="72"/>
        <v>19.885473125000001</v>
      </c>
    </row>
    <row r="101" spans="1:14" ht="16.5" customHeight="1">
      <c r="A101" s="66">
        <v>13</v>
      </c>
      <c r="B101" s="81">
        <f t="shared" ref="B101:M101" si="86">B86+(B87/2)*0.965926</f>
        <v>9.0011854000000007</v>
      </c>
      <c r="C101" s="81">
        <f t="shared" si="86"/>
        <v>10.1392595</v>
      </c>
      <c r="D101" s="81">
        <f t="shared" si="86"/>
        <v>13.9773336</v>
      </c>
      <c r="E101" s="81">
        <f t="shared" si="86"/>
        <v>19.3051855</v>
      </c>
      <c r="F101" s="81">
        <f t="shared" si="86"/>
        <v>23.363703999999998</v>
      </c>
      <c r="G101" s="81">
        <f t="shared" si="86"/>
        <v>26.622222499999999</v>
      </c>
      <c r="H101" s="81">
        <f t="shared" si="86"/>
        <v>30.580741</v>
      </c>
      <c r="I101" s="81">
        <f t="shared" si="86"/>
        <v>31.284148399999999</v>
      </c>
      <c r="J101" s="81">
        <f t="shared" si="86"/>
        <v>27.477333600000001</v>
      </c>
      <c r="K101" s="81">
        <f t="shared" si="86"/>
        <v>22.863703999999998</v>
      </c>
      <c r="L101" s="81">
        <f t="shared" si="86"/>
        <v>17.122222499999999</v>
      </c>
      <c r="M101" s="81">
        <f t="shared" si="86"/>
        <v>11.194370599999999</v>
      </c>
      <c r="N101" s="67">
        <f t="shared" si="72"/>
        <v>20.24428421666666</v>
      </c>
    </row>
    <row r="102" spans="1:14" ht="16.5" customHeight="1">
      <c r="A102" s="66">
        <v>14</v>
      </c>
      <c r="B102" s="81">
        <f t="shared" ref="B102:M102" si="87">B86+(B87/2)*1</f>
        <v>9.1</v>
      </c>
      <c r="C102" s="81">
        <f t="shared" si="87"/>
        <v>10.25</v>
      </c>
      <c r="D102" s="81">
        <f t="shared" si="87"/>
        <v>14.1</v>
      </c>
      <c r="E102" s="81">
        <f t="shared" si="87"/>
        <v>19.45</v>
      </c>
      <c r="F102" s="81">
        <f t="shared" si="87"/>
        <v>23.5</v>
      </c>
      <c r="G102" s="81">
        <f t="shared" si="87"/>
        <v>26.75</v>
      </c>
      <c r="H102" s="81">
        <f t="shared" si="87"/>
        <v>30.7</v>
      </c>
      <c r="I102" s="81">
        <f t="shared" si="87"/>
        <v>31.4</v>
      </c>
      <c r="J102" s="81">
        <f t="shared" si="87"/>
        <v>27.6</v>
      </c>
      <c r="K102" s="81">
        <f t="shared" si="87"/>
        <v>23</v>
      </c>
      <c r="L102" s="81">
        <f t="shared" si="87"/>
        <v>17.25</v>
      </c>
      <c r="M102" s="81">
        <f t="shared" si="87"/>
        <v>11.299999999999999</v>
      </c>
      <c r="N102" s="67">
        <f t="shared" si="72"/>
        <v>20.366666666666667</v>
      </c>
    </row>
    <row r="103" spans="1:14" ht="16.5" customHeight="1">
      <c r="A103" s="66">
        <v>15</v>
      </c>
      <c r="B103" s="81">
        <f t="shared" ref="B103:M103" si="88">B86+(B87/2)*0.965926</f>
        <v>9.0011854000000007</v>
      </c>
      <c r="C103" s="81">
        <f t="shared" si="88"/>
        <v>10.1392595</v>
      </c>
      <c r="D103" s="81">
        <f t="shared" si="88"/>
        <v>13.9773336</v>
      </c>
      <c r="E103" s="81">
        <f t="shared" si="88"/>
        <v>19.3051855</v>
      </c>
      <c r="F103" s="81">
        <f t="shared" si="88"/>
        <v>23.363703999999998</v>
      </c>
      <c r="G103" s="81">
        <f t="shared" si="88"/>
        <v>26.622222499999999</v>
      </c>
      <c r="H103" s="81">
        <f t="shared" si="88"/>
        <v>30.580741</v>
      </c>
      <c r="I103" s="81">
        <f t="shared" si="88"/>
        <v>31.284148399999999</v>
      </c>
      <c r="J103" s="81">
        <f t="shared" si="88"/>
        <v>27.477333600000001</v>
      </c>
      <c r="K103" s="81">
        <f t="shared" si="88"/>
        <v>22.863703999999998</v>
      </c>
      <c r="L103" s="81">
        <f t="shared" si="88"/>
        <v>17.122222499999999</v>
      </c>
      <c r="M103" s="81">
        <f t="shared" si="88"/>
        <v>11.194370599999999</v>
      </c>
      <c r="N103" s="67">
        <f t="shared" si="72"/>
        <v>20.24428421666666</v>
      </c>
    </row>
    <row r="104" spans="1:14" ht="16.5" customHeight="1">
      <c r="A104" s="66">
        <v>16</v>
      </c>
      <c r="B104" s="81">
        <f t="shared" ref="B104:M104" si="89">B86+(B87/2)*0.866025</f>
        <v>8.7114724999999993</v>
      </c>
      <c r="C104" s="81">
        <f t="shared" si="89"/>
        <v>9.8145812499999998</v>
      </c>
      <c r="D104" s="81">
        <f t="shared" si="89"/>
        <v>13.61769</v>
      </c>
      <c r="E104" s="81">
        <f t="shared" si="89"/>
        <v>18.88060625</v>
      </c>
      <c r="F104" s="81">
        <f t="shared" si="89"/>
        <v>22.964100000000002</v>
      </c>
      <c r="G104" s="81">
        <f t="shared" si="89"/>
        <v>26.24759375</v>
      </c>
      <c r="H104" s="81">
        <f t="shared" si="89"/>
        <v>30.231087500000001</v>
      </c>
      <c r="I104" s="81">
        <f t="shared" si="89"/>
        <v>30.944485</v>
      </c>
      <c r="J104" s="81">
        <f t="shared" si="89"/>
        <v>27.11769</v>
      </c>
      <c r="K104" s="81">
        <f t="shared" si="89"/>
        <v>22.464100000000002</v>
      </c>
      <c r="L104" s="81">
        <f t="shared" si="89"/>
        <v>16.74759375</v>
      </c>
      <c r="M104" s="81">
        <f t="shared" si="89"/>
        <v>10.884677499999999</v>
      </c>
      <c r="N104" s="67">
        <f t="shared" si="72"/>
        <v>19.885473125000001</v>
      </c>
    </row>
    <row r="105" spans="1:14" ht="16.5" customHeight="1">
      <c r="A105" s="66">
        <v>17</v>
      </c>
      <c r="B105" s="81">
        <f t="shared" ref="B105:M105" si="90">B86+(B87/2)*0.707107</f>
        <v>8.2506103</v>
      </c>
      <c r="C105" s="81">
        <f t="shared" si="90"/>
        <v>9.2980977500000002</v>
      </c>
      <c r="D105" s="81">
        <f t="shared" si="90"/>
        <v>13.0455852</v>
      </c>
      <c r="E105" s="81">
        <f t="shared" si="90"/>
        <v>18.20520475</v>
      </c>
      <c r="F105" s="81">
        <f t="shared" si="90"/>
        <v>22.328427999999999</v>
      </c>
      <c r="G105" s="81">
        <f t="shared" si="90"/>
        <v>25.65165125</v>
      </c>
      <c r="H105" s="81">
        <f t="shared" si="90"/>
        <v>29.674874500000001</v>
      </c>
      <c r="I105" s="81">
        <f t="shared" si="90"/>
        <v>30.404163799999999</v>
      </c>
      <c r="J105" s="81">
        <f t="shared" si="90"/>
        <v>26.545585200000001</v>
      </c>
      <c r="K105" s="81">
        <f t="shared" si="90"/>
        <v>21.828427999999999</v>
      </c>
      <c r="L105" s="81">
        <f t="shared" si="90"/>
        <v>16.15165125</v>
      </c>
      <c r="M105" s="81">
        <f t="shared" si="90"/>
        <v>10.3920317</v>
      </c>
      <c r="N105" s="67">
        <f t="shared" si="72"/>
        <v>19.314692641666664</v>
      </c>
    </row>
    <row r="106" spans="1:14" ht="16.5" customHeight="1">
      <c r="A106" s="66">
        <v>18</v>
      </c>
      <c r="B106" s="81">
        <f t="shared" ref="B106:M106" si="91">B86+(B87/2)*0.5</f>
        <v>7.65</v>
      </c>
      <c r="C106" s="81">
        <f t="shared" si="91"/>
        <v>8.625</v>
      </c>
      <c r="D106" s="81">
        <f t="shared" si="91"/>
        <v>12.3</v>
      </c>
      <c r="E106" s="81">
        <f t="shared" si="91"/>
        <v>17.324999999999999</v>
      </c>
      <c r="F106" s="81">
        <f t="shared" si="91"/>
        <v>21.5</v>
      </c>
      <c r="G106" s="81">
        <f t="shared" si="91"/>
        <v>24.875</v>
      </c>
      <c r="H106" s="81">
        <f t="shared" si="91"/>
        <v>28.95</v>
      </c>
      <c r="I106" s="81">
        <f t="shared" si="91"/>
        <v>29.7</v>
      </c>
      <c r="J106" s="81">
        <f t="shared" si="91"/>
        <v>25.8</v>
      </c>
      <c r="K106" s="81">
        <f t="shared" si="91"/>
        <v>21</v>
      </c>
      <c r="L106" s="81">
        <f t="shared" si="91"/>
        <v>15.375</v>
      </c>
      <c r="M106" s="81">
        <f t="shared" si="91"/>
        <v>9.75</v>
      </c>
      <c r="N106" s="67">
        <f t="shared" si="72"/>
        <v>18.570833333333336</v>
      </c>
    </row>
    <row r="107" spans="1:14" ht="16.5" customHeight="1">
      <c r="A107" s="66">
        <v>19</v>
      </c>
      <c r="B107" s="81">
        <f t="shared" ref="B107:M107" si="92">B86+(B87/2)*0.258819</f>
        <v>6.9505751</v>
      </c>
      <c r="C107" s="81">
        <f t="shared" si="92"/>
        <v>7.8411617500000004</v>
      </c>
      <c r="D107" s="81">
        <f t="shared" si="92"/>
        <v>11.4317484</v>
      </c>
      <c r="E107" s="81">
        <f t="shared" si="92"/>
        <v>16.29998075</v>
      </c>
      <c r="F107" s="81">
        <f t="shared" si="92"/>
        <v>20.535276</v>
      </c>
      <c r="G107" s="81">
        <f t="shared" si="92"/>
        <v>23.970571249999999</v>
      </c>
      <c r="H107" s="81">
        <f t="shared" si="92"/>
        <v>28.105866499999998</v>
      </c>
      <c r="I107" s="81">
        <f t="shared" si="92"/>
        <v>28.8799846</v>
      </c>
      <c r="J107" s="81">
        <f t="shared" si="92"/>
        <v>24.9317484</v>
      </c>
      <c r="K107" s="81">
        <f t="shared" si="92"/>
        <v>20.035276</v>
      </c>
      <c r="L107" s="81">
        <f t="shared" si="92"/>
        <v>14.470571250000001</v>
      </c>
      <c r="M107" s="81">
        <f t="shared" si="92"/>
        <v>9.0023388999999998</v>
      </c>
      <c r="N107" s="67">
        <f t="shared" si="72"/>
        <v>17.704591575000002</v>
      </c>
    </row>
    <row r="108" spans="1:14" ht="16.5" customHeight="1">
      <c r="A108" s="66">
        <v>20</v>
      </c>
      <c r="B108" s="81">
        <f t="shared" ref="B108:M108" si="93">B86+(B87/2)*0</f>
        <v>6.2</v>
      </c>
      <c r="C108" s="81">
        <f t="shared" si="93"/>
        <v>7</v>
      </c>
      <c r="D108" s="81">
        <f t="shared" si="93"/>
        <v>10.5</v>
      </c>
      <c r="E108" s="81">
        <f t="shared" si="93"/>
        <v>15.2</v>
      </c>
      <c r="F108" s="81">
        <f t="shared" si="93"/>
        <v>19.5</v>
      </c>
      <c r="G108" s="81">
        <f t="shared" si="93"/>
        <v>23</v>
      </c>
      <c r="H108" s="81">
        <f t="shared" si="93"/>
        <v>27.2</v>
      </c>
      <c r="I108" s="81">
        <f t="shared" si="93"/>
        <v>28</v>
      </c>
      <c r="J108" s="81">
        <f t="shared" si="93"/>
        <v>24</v>
      </c>
      <c r="K108" s="81">
        <f t="shared" si="93"/>
        <v>19</v>
      </c>
      <c r="L108" s="81">
        <f t="shared" si="93"/>
        <v>13.5</v>
      </c>
      <c r="M108" s="81">
        <f t="shared" si="93"/>
        <v>8.1999999999999993</v>
      </c>
      <c r="N108" s="67">
        <f t="shared" si="72"/>
        <v>16.775000000000002</v>
      </c>
    </row>
    <row r="109" spans="1:14" ht="16.5" customHeight="1">
      <c r="A109" s="66">
        <v>21</v>
      </c>
      <c r="B109" s="81">
        <f t="shared" ref="B109:M109" si="94">B86+(B87/2)*-0.258819</f>
        <v>5.4494249000000003</v>
      </c>
      <c r="C109" s="81">
        <f t="shared" si="94"/>
        <v>6.1588382499999996</v>
      </c>
      <c r="D109" s="81">
        <f t="shared" si="94"/>
        <v>9.5682516</v>
      </c>
      <c r="E109" s="81">
        <f t="shared" si="94"/>
        <v>14.100019249999999</v>
      </c>
      <c r="F109" s="81">
        <f t="shared" si="94"/>
        <v>18.464724</v>
      </c>
      <c r="G109" s="81">
        <f t="shared" si="94"/>
        <v>22.029428750000001</v>
      </c>
      <c r="H109" s="81">
        <f t="shared" si="94"/>
        <v>26.294133500000001</v>
      </c>
      <c r="I109" s="81">
        <f t="shared" si="94"/>
        <v>27.1200154</v>
      </c>
      <c r="J109" s="81">
        <f t="shared" si="94"/>
        <v>23.0682516</v>
      </c>
      <c r="K109" s="81">
        <f t="shared" si="94"/>
        <v>17.964724</v>
      </c>
      <c r="L109" s="81">
        <f t="shared" si="94"/>
        <v>12.529428749999999</v>
      </c>
      <c r="M109" s="81">
        <f t="shared" si="94"/>
        <v>7.3976610999999988</v>
      </c>
      <c r="N109" s="67">
        <f t="shared" si="72"/>
        <v>15.845408425</v>
      </c>
    </row>
    <row r="110" spans="1:14" ht="16.5" customHeight="1">
      <c r="A110" s="66">
        <v>22</v>
      </c>
      <c r="B110" s="81">
        <f t="shared" ref="B110:M110" si="95">B86+(B87/2)*-0.5</f>
        <v>4.75</v>
      </c>
      <c r="C110" s="81">
        <f t="shared" si="95"/>
        <v>5.375</v>
      </c>
      <c r="D110" s="81">
        <f t="shared" si="95"/>
        <v>8.6999999999999993</v>
      </c>
      <c r="E110" s="81">
        <f t="shared" si="95"/>
        <v>13.074999999999999</v>
      </c>
      <c r="F110" s="81">
        <f t="shared" si="95"/>
        <v>17.5</v>
      </c>
      <c r="G110" s="81">
        <f t="shared" si="95"/>
        <v>21.125</v>
      </c>
      <c r="H110" s="81">
        <f t="shared" si="95"/>
        <v>25.45</v>
      </c>
      <c r="I110" s="81">
        <f t="shared" si="95"/>
        <v>26.3</v>
      </c>
      <c r="J110" s="81">
        <f t="shared" si="95"/>
        <v>22.2</v>
      </c>
      <c r="K110" s="81">
        <f t="shared" si="95"/>
        <v>17</v>
      </c>
      <c r="L110" s="81">
        <f t="shared" si="95"/>
        <v>11.625</v>
      </c>
      <c r="M110" s="81">
        <f t="shared" si="95"/>
        <v>6.6499999999999995</v>
      </c>
      <c r="N110" s="67">
        <f t="shared" si="72"/>
        <v>14.979166666666666</v>
      </c>
    </row>
    <row r="111" spans="1:14" ht="16.5" customHeight="1">
      <c r="A111" s="66">
        <v>23</v>
      </c>
      <c r="B111" s="81">
        <f t="shared" ref="B111:M111" si="96">B86+(B87/2)*-0.707107</f>
        <v>4.1493897000000004</v>
      </c>
      <c r="C111" s="81">
        <f t="shared" si="96"/>
        <v>4.7019022499999998</v>
      </c>
      <c r="D111" s="81">
        <f t="shared" si="96"/>
        <v>7.9544148000000003</v>
      </c>
      <c r="E111" s="81">
        <f t="shared" si="96"/>
        <v>12.194795249999999</v>
      </c>
      <c r="F111" s="81">
        <f t="shared" si="96"/>
        <v>16.671572000000001</v>
      </c>
      <c r="G111" s="81">
        <f t="shared" si="96"/>
        <v>20.34834875</v>
      </c>
      <c r="H111" s="81">
        <f t="shared" si="96"/>
        <v>24.725125499999997</v>
      </c>
      <c r="I111" s="81">
        <f t="shared" si="96"/>
        <v>25.595836200000001</v>
      </c>
      <c r="J111" s="81">
        <f t="shared" si="96"/>
        <v>21.454414799999999</v>
      </c>
      <c r="K111" s="81">
        <f t="shared" si="96"/>
        <v>16.171572000000001</v>
      </c>
      <c r="L111" s="81">
        <f t="shared" si="96"/>
        <v>10.84834875</v>
      </c>
      <c r="M111" s="81">
        <f t="shared" si="96"/>
        <v>6.007968299999999</v>
      </c>
      <c r="N111" s="67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60" customWidth="1"/>
    <col min="2" max="2" width="17.5" style="60" customWidth="1"/>
    <col min="3" max="4" width="6.125" style="60" customWidth="1"/>
    <col min="5" max="5" width="30.625" style="60" customWidth="1"/>
    <col min="6" max="14" width="6.125" style="60" customWidth="1"/>
    <col min="15" max="15" width="9.625" style="60" customWidth="1"/>
    <col min="16" max="16" width="8.75" style="60" customWidth="1"/>
    <col min="17" max="18" width="7" style="60" customWidth="1"/>
    <col min="19" max="16384" width="7.625" style="60"/>
  </cols>
  <sheetData>
    <row r="1" spans="1:18" ht="27.75" customHeight="1">
      <c r="A1" s="185" t="s">
        <v>356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</row>
    <row r="3" spans="1:18" ht="21.75" customHeight="1">
      <c r="A3" s="175" t="s">
        <v>357</v>
      </c>
      <c r="B3" s="175"/>
      <c r="C3" s="175"/>
      <c r="D3" s="175"/>
    </row>
    <row r="4" spans="1:18" ht="21.75" customHeight="1">
      <c r="A4" s="182" t="s">
        <v>358</v>
      </c>
      <c r="B4" s="182"/>
      <c r="C4" s="182"/>
      <c r="D4" s="83">
        <v>55</v>
      </c>
      <c r="E4" s="184" t="s">
        <v>359</v>
      </c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</row>
    <row r="5" spans="1:18" ht="21.75" customHeight="1">
      <c r="A5" s="182" t="s">
        <v>360</v>
      </c>
      <c r="B5" s="182"/>
      <c r="C5" s="182"/>
      <c r="D5" s="84">
        <v>0.5</v>
      </c>
      <c r="E5" s="184" t="s">
        <v>361</v>
      </c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</row>
    <row r="6" spans="1:18" ht="21.75" customHeight="1">
      <c r="A6" s="182" t="s">
        <v>362</v>
      </c>
      <c r="B6" s="182"/>
      <c r="C6" s="182"/>
      <c r="D6" s="83">
        <v>18</v>
      </c>
      <c r="E6" s="183" t="s">
        <v>363</v>
      </c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</row>
    <row r="7" spans="1:18" ht="21.75" customHeight="1">
      <c r="A7" s="182" t="s">
        <v>364</v>
      </c>
      <c r="B7" s="182"/>
      <c r="C7" s="182"/>
      <c r="D7" s="85">
        <v>3</v>
      </c>
      <c r="E7" s="184" t="s">
        <v>365</v>
      </c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</row>
    <row r="9" spans="1:18" ht="18" customHeight="1">
      <c r="A9" s="184" t="s">
        <v>366</v>
      </c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</row>
    <row r="11" spans="1:18" ht="24" customHeight="1">
      <c r="A11" s="86" t="s">
        <v>32</v>
      </c>
      <c r="B11" s="86" t="s">
        <v>367</v>
      </c>
      <c r="C11" s="87" t="s">
        <v>338</v>
      </c>
      <c r="D11" s="87" t="s">
        <v>339</v>
      </c>
      <c r="E11" s="87" t="s">
        <v>340</v>
      </c>
      <c r="F11" s="87" t="s">
        <v>341</v>
      </c>
      <c r="G11" s="87" t="s">
        <v>342</v>
      </c>
      <c r="H11" s="87" t="s">
        <v>343</v>
      </c>
      <c r="I11" s="87" t="s">
        <v>344</v>
      </c>
      <c r="J11" s="87" t="s">
        <v>345</v>
      </c>
      <c r="K11" s="87" t="s">
        <v>346</v>
      </c>
      <c r="L11" s="87" t="s">
        <v>347</v>
      </c>
      <c r="M11" s="87" t="s">
        <v>348</v>
      </c>
      <c r="N11" s="87" t="s">
        <v>349</v>
      </c>
      <c r="O11" s="86" t="s">
        <v>368</v>
      </c>
      <c r="P11" s="88" t="s">
        <v>369</v>
      </c>
      <c r="Q11" s="89" t="s">
        <v>370</v>
      </c>
      <c r="R11" s="89" t="s">
        <v>371</v>
      </c>
    </row>
    <row r="12" spans="1:18" ht="19.5" customHeight="1">
      <c r="A12" s="90" t="s">
        <v>372</v>
      </c>
      <c r="B12" s="91" t="s">
        <v>373</v>
      </c>
      <c r="C12" s="64">
        <f>외기온도_시간분포!B5</f>
        <v>-9.1999999999999993</v>
      </c>
      <c r="D12" s="64">
        <f>외기온도_시간분포!C5</f>
        <v>-6.3</v>
      </c>
      <c r="E12" s="64">
        <f>외기온도_시간분포!D5</f>
        <v>0.3</v>
      </c>
      <c r="F12" s="64">
        <f>외기온도_시간분포!E5</f>
        <v>8.4</v>
      </c>
      <c r="G12" s="64">
        <f>외기온도_시간분포!F5</f>
        <v>15</v>
      </c>
      <c r="H12" s="64">
        <f>외기온도_시간분포!G5</f>
        <v>19.600000000000001</v>
      </c>
      <c r="I12" s="64">
        <f>외기온도_시간분포!H5</f>
        <v>24.1</v>
      </c>
      <c r="J12" s="64">
        <f>외기온도_시간분포!I5</f>
        <v>24.3</v>
      </c>
      <c r="K12" s="64">
        <f>외기온도_시간분포!J5</f>
        <v>17.8</v>
      </c>
      <c r="L12" s="64">
        <f>외기온도_시간분포!K5</f>
        <v>9.8000000000000007</v>
      </c>
      <c r="M12" s="64">
        <f>외기온도_시간분포!L5</f>
        <v>1.5</v>
      </c>
      <c r="N12" s="64">
        <f>외기온도_시간분포!M5</f>
        <v>-6.8</v>
      </c>
      <c r="O12" s="64">
        <f>AVERAGE(C12:N12)</f>
        <v>8.2083333333333339</v>
      </c>
      <c r="P12" s="179">
        <f>IFERROR(SUMPRODUCT(C13:N13,C14:N14)/SUM(C13:N13),0)</f>
        <v>2.8965836910861085</v>
      </c>
      <c r="Q12" s="180">
        <f>$D$7</f>
        <v>3</v>
      </c>
      <c r="R12" s="181" t="str">
        <f>IF(P12&gt;=$D$7,"✓ 달성","✗ 미달")</f>
        <v>✗ 미달</v>
      </c>
    </row>
    <row r="13" spans="1:18" ht="19.5" customHeight="1">
      <c r="A13" s="92"/>
      <c r="B13" s="93" t="s">
        <v>374</v>
      </c>
      <c r="C13" s="94">
        <f>MAX(0,$D$6-C12)*31</f>
        <v>843.19999999999993</v>
      </c>
      <c r="D13" s="94">
        <f>MAX(0,$D$6-D12)*28</f>
        <v>680.4</v>
      </c>
      <c r="E13" s="94">
        <f>MAX(0,$D$6-E12)*31</f>
        <v>548.69999999999993</v>
      </c>
      <c r="F13" s="94">
        <f>MAX(0,$D$6-F12)*30</f>
        <v>288</v>
      </c>
      <c r="G13" s="94">
        <f>MAX(0,$D$6-G12)*31</f>
        <v>93</v>
      </c>
      <c r="H13" s="94">
        <f>MAX(0,$D$6-H12)*30</f>
        <v>0</v>
      </c>
      <c r="I13" s="94">
        <f>MAX(0,$D$6-I12)*31</f>
        <v>0</v>
      </c>
      <c r="J13" s="94">
        <f>MAX(0,$D$6-J12)*31</f>
        <v>0</v>
      </c>
      <c r="K13" s="94">
        <f>MAX(0,$D$6-K12)*30</f>
        <v>5.9999999999999787</v>
      </c>
      <c r="L13" s="94">
        <f>MAX(0,$D$6-L12)*31</f>
        <v>254.2</v>
      </c>
      <c r="M13" s="94">
        <f>MAX(0,$D$6-M12)*30</f>
        <v>495</v>
      </c>
      <c r="N13" s="94">
        <f>MAX(0,$D$6-N12)*31</f>
        <v>768.80000000000007</v>
      </c>
      <c r="O13" s="95">
        <f>SUM(C13:N13)</f>
        <v>3977.2999999999997</v>
      </c>
      <c r="P13" s="179"/>
      <c r="Q13" s="180"/>
      <c r="R13" s="180"/>
    </row>
    <row r="14" spans="1:18" ht="21.75" customHeight="1">
      <c r="A14" s="92"/>
      <c r="B14" s="93" t="s">
        <v>375</v>
      </c>
      <c r="C14" s="96">
        <f t="shared" ref="C14:N14" si="0">$D$5*($D$4+273)/MAX(1,$D$4-C12)</f>
        <v>2.5545171339563861</v>
      </c>
      <c r="D14" s="96">
        <f t="shared" si="0"/>
        <v>2.67536704730832</v>
      </c>
      <c r="E14" s="96">
        <f t="shared" si="0"/>
        <v>2.9981718464351004</v>
      </c>
      <c r="F14" s="96">
        <f>$D$5*($D$4+273)/MAX(1,$D$4-F12)</f>
        <v>3.5193133047210301</v>
      </c>
      <c r="G14" s="96">
        <f t="shared" si="0"/>
        <v>4.0999999999999996</v>
      </c>
      <c r="H14" s="96">
        <f t="shared" si="0"/>
        <v>4.6327683615819213</v>
      </c>
      <c r="I14" s="96">
        <f t="shared" si="0"/>
        <v>5.3074433656957929</v>
      </c>
      <c r="J14" s="96">
        <f t="shared" si="0"/>
        <v>5.3420195439739411</v>
      </c>
      <c r="K14" s="96">
        <f t="shared" si="0"/>
        <v>4.408602150537634</v>
      </c>
      <c r="L14" s="96">
        <f t="shared" si="0"/>
        <v>3.6283185840707963</v>
      </c>
      <c r="M14" s="96">
        <f t="shared" si="0"/>
        <v>3.0654205607476634</v>
      </c>
      <c r="N14" s="96">
        <f t="shared" si="0"/>
        <v>2.6537216828478964</v>
      </c>
      <c r="O14" s="97">
        <f>AVERAGE(C14:N14)</f>
        <v>3.7404719651563734</v>
      </c>
      <c r="P14" s="179"/>
      <c r="Q14" s="180"/>
      <c r="R14" s="180"/>
    </row>
    <row r="15" spans="1:18" ht="6" customHeight="1"/>
    <row r="16" spans="1:18" ht="19.5" customHeight="1">
      <c r="A16" s="98" t="s">
        <v>376</v>
      </c>
      <c r="B16" s="99" t="s">
        <v>373</v>
      </c>
      <c r="C16" s="71">
        <f>외기온도_시간분포!B32</f>
        <v>-1.8</v>
      </c>
      <c r="D16" s="71">
        <f>외기온도_시간분포!C32</f>
        <v>0.8</v>
      </c>
      <c r="E16" s="71">
        <f>외기온도_시간분포!D32</f>
        <v>6.5</v>
      </c>
      <c r="F16" s="71">
        <f>외기온도_시간분포!E32</f>
        <v>13.2</v>
      </c>
      <c r="G16" s="71">
        <f>외기온도_시간분포!F32</f>
        <v>18.5</v>
      </c>
      <c r="H16" s="71">
        <f>외기온도_시간분포!G32</f>
        <v>23</v>
      </c>
      <c r="I16" s="71">
        <f>외기온도_시간분포!H32</f>
        <v>26.4</v>
      </c>
      <c r="J16" s="71">
        <f>외기온도_시간분포!I32</f>
        <v>27.1</v>
      </c>
      <c r="K16" s="71">
        <f>외기온도_시간분포!J32</f>
        <v>22</v>
      </c>
      <c r="L16" s="71">
        <f>외기온도_시간분포!K32</f>
        <v>15.2</v>
      </c>
      <c r="M16" s="71">
        <f>외기온도_시간분포!L32</f>
        <v>7.5</v>
      </c>
      <c r="N16" s="71">
        <f>외기온도_시간분포!M32</f>
        <v>0.5</v>
      </c>
      <c r="O16" s="71">
        <f>AVERAGE(C16:N16)</f>
        <v>13.241666666666665</v>
      </c>
      <c r="P16" s="179">
        <f>IFERROR(SUMPRODUCT(C17:N17,C18:N18)/SUM(C17:N17),0)</f>
        <v>3.1799323891634077</v>
      </c>
      <c r="Q16" s="180">
        <f>$D$7</f>
        <v>3</v>
      </c>
      <c r="R16" s="181" t="str">
        <f>IF(P16&gt;=$D$7,"✓ 달성","✗ 미달")</f>
        <v>✓ 달성</v>
      </c>
    </row>
    <row r="17" spans="1:18" ht="19.5" customHeight="1">
      <c r="A17" s="100"/>
      <c r="B17" s="101" t="s">
        <v>374</v>
      </c>
      <c r="C17" s="102">
        <f>MAX(0,$D$6-C16)*31</f>
        <v>613.80000000000007</v>
      </c>
      <c r="D17" s="102">
        <f>MAX(0,$D$6-D16)*28</f>
        <v>481.59999999999997</v>
      </c>
      <c r="E17" s="102">
        <f>MAX(0,$D$6-E16)*31</f>
        <v>356.5</v>
      </c>
      <c r="F17" s="102">
        <f>MAX(0,$D$6-F16)*30</f>
        <v>144.00000000000003</v>
      </c>
      <c r="G17" s="102">
        <f>MAX(0,$D$6-G16)*31</f>
        <v>0</v>
      </c>
      <c r="H17" s="102">
        <f>MAX(0,$D$6-H16)*30</f>
        <v>0</v>
      </c>
      <c r="I17" s="102">
        <f>MAX(0,$D$6-I16)*31</f>
        <v>0</v>
      </c>
      <c r="J17" s="102">
        <f>MAX(0,$D$6-J16)*31</f>
        <v>0</v>
      </c>
      <c r="K17" s="102">
        <f>MAX(0,$D$6-K16)*30</f>
        <v>0</v>
      </c>
      <c r="L17" s="102">
        <f>MAX(0,$D$6-L16)*31</f>
        <v>86.800000000000026</v>
      </c>
      <c r="M17" s="102">
        <f>MAX(0,$D$6-M16)*30</f>
        <v>315</v>
      </c>
      <c r="N17" s="102">
        <f>MAX(0,$D$6-N16)*31</f>
        <v>542.5</v>
      </c>
      <c r="O17" s="103">
        <f>SUM(C17:N17)</f>
        <v>2540.1999999999998</v>
      </c>
      <c r="P17" s="179"/>
      <c r="Q17" s="180"/>
      <c r="R17" s="180"/>
    </row>
    <row r="18" spans="1:18" ht="21.75" customHeight="1">
      <c r="A18" s="100"/>
      <c r="B18" s="101" t="s">
        <v>375</v>
      </c>
      <c r="C18" s="104">
        <f t="shared" ref="C18:N18" si="1">$D$5*($D$4+273)/MAX(1,$D$4-C16)</f>
        <v>2.887323943661972</v>
      </c>
      <c r="D18" s="104">
        <f t="shared" si="1"/>
        <v>3.0258302583025829</v>
      </c>
      <c r="E18" s="104">
        <f t="shared" si="1"/>
        <v>3.3814432989690721</v>
      </c>
      <c r="F18" s="104">
        <f t="shared" si="1"/>
        <v>3.9234449760765555</v>
      </c>
      <c r="G18" s="104">
        <f t="shared" si="1"/>
        <v>4.493150684931507</v>
      </c>
      <c r="H18" s="104">
        <f t="shared" si="1"/>
        <v>5.125</v>
      </c>
      <c r="I18" s="104">
        <f t="shared" si="1"/>
        <v>5.7342657342657342</v>
      </c>
      <c r="J18" s="104">
        <f t="shared" si="1"/>
        <v>5.8781362007168463</v>
      </c>
      <c r="K18" s="104">
        <f t="shared" si="1"/>
        <v>4.9696969696969697</v>
      </c>
      <c r="L18" s="104">
        <f t="shared" si="1"/>
        <v>4.1206030150753774</v>
      </c>
      <c r="M18" s="104">
        <f t="shared" si="1"/>
        <v>3.4526315789473685</v>
      </c>
      <c r="N18" s="104">
        <f t="shared" si="1"/>
        <v>3.0091743119266057</v>
      </c>
      <c r="O18" s="105">
        <f>AVERAGE(C18:N18)</f>
        <v>4.1667250810475496</v>
      </c>
      <c r="P18" s="179"/>
      <c r="Q18" s="180"/>
      <c r="R18" s="180"/>
    </row>
    <row r="19" spans="1:18" ht="6" customHeight="1"/>
    <row r="20" spans="1:18" ht="19.5" customHeight="1">
      <c r="A20" s="106" t="s">
        <v>377</v>
      </c>
      <c r="B20" s="107" t="s">
        <v>373</v>
      </c>
      <c r="C20" s="76">
        <f>외기온도_시간분포!B59</f>
        <v>3.8</v>
      </c>
      <c r="D20" s="76">
        <f>외기온도_시간분포!C59</f>
        <v>5.4</v>
      </c>
      <c r="E20" s="76">
        <f>외기온도_시간분포!D59</f>
        <v>9.5</v>
      </c>
      <c r="F20" s="76">
        <f>외기온도_시간분포!E59</f>
        <v>15.2</v>
      </c>
      <c r="G20" s="76">
        <f>외기온도_시간분포!F59</f>
        <v>19.5</v>
      </c>
      <c r="H20" s="76">
        <f>외기온도_시간분포!G59</f>
        <v>22.5</v>
      </c>
      <c r="I20" s="76">
        <f>외기온도_시간분포!H59</f>
        <v>26</v>
      </c>
      <c r="J20" s="76">
        <f>외기온도_시간분포!I59</f>
        <v>27.2</v>
      </c>
      <c r="K20" s="76">
        <f>외기온도_시간분포!J59</f>
        <v>23.2</v>
      </c>
      <c r="L20" s="76">
        <f>외기온도_시간분포!K59</f>
        <v>17.5</v>
      </c>
      <c r="M20" s="76">
        <f>외기온도_시간분포!L59</f>
        <v>11.2</v>
      </c>
      <c r="N20" s="76">
        <f>외기온도_시간분포!M59</f>
        <v>5.5</v>
      </c>
      <c r="O20" s="76">
        <f>AVERAGE(C20:N20)</f>
        <v>15.541666666666664</v>
      </c>
      <c r="P20" s="179">
        <f>IFERROR(SUMPRODUCT(C21:N21,C22:N22)/SUM(C21:N21),0)</f>
        <v>3.4265415256081484</v>
      </c>
      <c r="Q20" s="180">
        <f>$D$7</f>
        <v>3</v>
      </c>
      <c r="R20" s="181" t="str">
        <f>IF(P20&gt;=$D$7,"✓ 달성","✗ 미달")</f>
        <v>✓ 달성</v>
      </c>
    </row>
    <row r="21" spans="1:18" ht="19.5" customHeight="1">
      <c r="A21" s="108"/>
      <c r="B21" s="109" t="s">
        <v>374</v>
      </c>
      <c r="C21" s="110">
        <f>MAX(0,$D$6-C20)*31</f>
        <v>440.2</v>
      </c>
      <c r="D21" s="110">
        <f>MAX(0,$D$6-D20)*28</f>
        <v>352.8</v>
      </c>
      <c r="E21" s="110">
        <f>MAX(0,$D$6-E20)*31</f>
        <v>263.5</v>
      </c>
      <c r="F21" s="110">
        <f>MAX(0,$D$6-F20)*30</f>
        <v>84.000000000000028</v>
      </c>
      <c r="G21" s="110">
        <f>MAX(0,$D$6-G20)*31</f>
        <v>0</v>
      </c>
      <c r="H21" s="110">
        <f>MAX(0,$D$6-H20)*30</f>
        <v>0</v>
      </c>
      <c r="I21" s="110">
        <f>MAX(0,$D$6-I20)*31</f>
        <v>0</v>
      </c>
      <c r="J21" s="110">
        <f>MAX(0,$D$6-J20)*31</f>
        <v>0</v>
      </c>
      <c r="K21" s="110">
        <f>MAX(0,$D$6-K20)*30</f>
        <v>0</v>
      </c>
      <c r="L21" s="110">
        <f>MAX(0,$D$6-L20)*31</f>
        <v>15.5</v>
      </c>
      <c r="M21" s="110">
        <f>MAX(0,$D$6-M20)*30</f>
        <v>204.00000000000003</v>
      </c>
      <c r="N21" s="110">
        <f>MAX(0,$D$6-N20)*31</f>
        <v>387.5</v>
      </c>
      <c r="O21" s="111">
        <f>SUM(C21:N21)</f>
        <v>1747.5</v>
      </c>
      <c r="P21" s="179"/>
      <c r="Q21" s="180"/>
      <c r="R21" s="180"/>
    </row>
    <row r="22" spans="1:18" ht="21.75" customHeight="1">
      <c r="A22" s="108"/>
      <c r="B22" s="109" t="s">
        <v>375</v>
      </c>
      <c r="C22" s="112">
        <f t="shared" ref="C22:N22" si="2">$D$5*($D$4+273)/MAX(1,$D$4-C20)</f>
        <v>3.203125</v>
      </c>
      <c r="D22" s="112">
        <f t="shared" si="2"/>
        <v>3.3064516129032255</v>
      </c>
      <c r="E22" s="112">
        <f t="shared" si="2"/>
        <v>3.6043956043956045</v>
      </c>
      <c r="F22" s="112">
        <f t="shared" si="2"/>
        <v>4.1206030150753774</v>
      </c>
      <c r="G22" s="112">
        <f t="shared" si="2"/>
        <v>4.619718309859155</v>
      </c>
      <c r="H22" s="112">
        <f t="shared" si="2"/>
        <v>5.046153846153846</v>
      </c>
      <c r="I22" s="112">
        <f t="shared" si="2"/>
        <v>5.6551724137931032</v>
      </c>
      <c r="J22" s="112">
        <f t="shared" si="2"/>
        <v>5.8992805755395681</v>
      </c>
      <c r="K22" s="112">
        <f t="shared" si="2"/>
        <v>5.1572327044025155</v>
      </c>
      <c r="L22" s="112">
        <f t="shared" si="2"/>
        <v>4.3733333333333331</v>
      </c>
      <c r="M22" s="112">
        <f t="shared" si="2"/>
        <v>3.7442922374429228</v>
      </c>
      <c r="N22" s="112">
        <f t="shared" si="2"/>
        <v>3.3131313131313131</v>
      </c>
      <c r="O22" s="113">
        <f>AVERAGE(C22:N22)</f>
        <v>4.3369074971691637</v>
      </c>
      <c r="P22" s="179"/>
      <c r="Q22" s="180"/>
      <c r="R22" s="180"/>
    </row>
    <row r="23" spans="1:18" ht="6" customHeight="1"/>
    <row r="24" spans="1:18" ht="19.5" customHeight="1">
      <c r="A24" s="114" t="s">
        <v>378</v>
      </c>
      <c r="B24" s="115" t="s">
        <v>373</v>
      </c>
      <c r="C24" s="81">
        <f>외기온도_시간분포!B86</f>
        <v>6.2</v>
      </c>
      <c r="D24" s="81">
        <f>외기온도_시간분포!C86</f>
        <v>7</v>
      </c>
      <c r="E24" s="81">
        <f>외기온도_시간분포!D86</f>
        <v>10.5</v>
      </c>
      <c r="F24" s="81">
        <f>외기온도_시간분포!E86</f>
        <v>15.2</v>
      </c>
      <c r="G24" s="81">
        <f>외기온도_시간분포!F86</f>
        <v>19.5</v>
      </c>
      <c r="H24" s="81">
        <f>외기온도_시간분포!G86</f>
        <v>23</v>
      </c>
      <c r="I24" s="81">
        <f>외기온도_시간분포!H86</f>
        <v>27.2</v>
      </c>
      <c r="J24" s="81">
        <f>외기온도_시간분포!I86</f>
        <v>28</v>
      </c>
      <c r="K24" s="81">
        <f>외기온도_시간분포!J86</f>
        <v>24</v>
      </c>
      <c r="L24" s="81">
        <f>외기온도_시간분포!K86</f>
        <v>19</v>
      </c>
      <c r="M24" s="81">
        <f>외기온도_시간분포!L86</f>
        <v>13.5</v>
      </c>
      <c r="N24" s="81">
        <f>외기온도_시간분포!M86</f>
        <v>8.1999999999999993</v>
      </c>
      <c r="O24" s="81">
        <f>AVERAGE(C24:N24)</f>
        <v>16.775000000000002</v>
      </c>
      <c r="P24" s="179">
        <f>IFERROR(SUMPRODUCT(C25:N25,C26:N26)/SUM(C25:N25),0)</f>
        <v>3.5566006959193195</v>
      </c>
      <c r="Q24" s="180">
        <f>$D$7</f>
        <v>3</v>
      </c>
      <c r="R24" s="181" t="str">
        <f>IF(P24&gt;=$D$7,"✓ 달성","✗ 미달")</f>
        <v>✓ 달성</v>
      </c>
    </row>
    <row r="25" spans="1:18" ht="19.5" customHeight="1">
      <c r="A25" s="116"/>
      <c r="B25" s="117" t="s">
        <v>374</v>
      </c>
      <c r="C25" s="118">
        <f>MAX(0,$D$6-C24)*31</f>
        <v>365.8</v>
      </c>
      <c r="D25" s="118">
        <f>MAX(0,$D$6-D24)*28</f>
        <v>308</v>
      </c>
      <c r="E25" s="118">
        <f>MAX(0,$D$6-E24)*31</f>
        <v>232.5</v>
      </c>
      <c r="F25" s="118">
        <f>MAX(0,$D$6-F24)*30</f>
        <v>84.000000000000028</v>
      </c>
      <c r="G25" s="118">
        <f>MAX(0,$D$6-G24)*31</f>
        <v>0</v>
      </c>
      <c r="H25" s="118">
        <f>MAX(0,$D$6-H24)*30</f>
        <v>0</v>
      </c>
      <c r="I25" s="118">
        <f>MAX(0,$D$6-I24)*31</f>
        <v>0</v>
      </c>
      <c r="J25" s="118">
        <f>MAX(0,$D$6-J24)*31</f>
        <v>0</v>
      </c>
      <c r="K25" s="118">
        <f>MAX(0,$D$6-K24)*30</f>
        <v>0</v>
      </c>
      <c r="L25" s="118">
        <f>MAX(0,$D$6-L24)*31</f>
        <v>0</v>
      </c>
      <c r="M25" s="118">
        <f>MAX(0,$D$6-M24)*30</f>
        <v>135</v>
      </c>
      <c r="N25" s="118">
        <f>MAX(0,$D$6-N24)*31</f>
        <v>303.8</v>
      </c>
      <c r="O25" s="119">
        <f>SUM(C25:N25)</f>
        <v>1429.1</v>
      </c>
      <c r="P25" s="179"/>
      <c r="Q25" s="180"/>
      <c r="R25" s="180"/>
    </row>
    <row r="26" spans="1:18" ht="21.75" customHeight="1">
      <c r="A26" s="116"/>
      <c r="B26" s="117" t="s">
        <v>375</v>
      </c>
      <c r="C26" s="120">
        <f t="shared" ref="C26:N26" si="3">$D$5*($D$4+273)/MAX(1,$D$4-C24)</f>
        <v>3.3606557377049184</v>
      </c>
      <c r="D26" s="120">
        <f t="shared" si="3"/>
        <v>3.4166666666666665</v>
      </c>
      <c r="E26" s="120">
        <f t="shared" si="3"/>
        <v>3.6853932584269664</v>
      </c>
      <c r="F26" s="120">
        <f t="shared" si="3"/>
        <v>4.1206030150753774</v>
      </c>
      <c r="G26" s="120">
        <f t="shared" si="3"/>
        <v>4.619718309859155</v>
      </c>
      <c r="H26" s="120">
        <f t="shared" si="3"/>
        <v>5.125</v>
      </c>
      <c r="I26" s="120">
        <f t="shared" si="3"/>
        <v>5.8992805755395681</v>
      </c>
      <c r="J26" s="120">
        <f t="shared" si="3"/>
        <v>6.0740740740740744</v>
      </c>
      <c r="K26" s="120">
        <f t="shared" si="3"/>
        <v>5.290322580645161</v>
      </c>
      <c r="L26" s="120">
        <f t="shared" si="3"/>
        <v>4.5555555555555554</v>
      </c>
      <c r="M26" s="120">
        <f t="shared" si="3"/>
        <v>3.9518072289156625</v>
      </c>
      <c r="N26" s="120">
        <f t="shared" si="3"/>
        <v>3.5042735042735047</v>
      </c>
      <c r="O26" s="121">
        <f>AVERAGE(C26:N26)</f>
        <v>4.4669458755613842</v>
      </c>
      <c r="P26" s="179"/>
      <c r="Q26" s="180"/>
      <c r="R26" s="180"/>
    </row>
    <row r="27" spans="1:18" ht="6" customHeight="1"/>
  </sheetData>
  <mergeCells count="23">
    <mergeCell ref="A1:R1"/>
    <mergeCell ref="A3:D3"/>
    <mergeCell ref="A4:C4"/>
    <mergeCell ref="E4:R4"/>
    <mergeCell ref="A5:C5"/>
    <mergeCell ref="E5:R5"/>
    <mergeCell ref="A6:C6"/>
    <mergeCell ref="E6:R6"/>
    <mergeCell ref="A7:C7"/>
    <mergeCell ref="E7:R7"/>
    <mergeCell ref="A9:R9"/>
    <mergeCell ref="P12:P14"/>
    <mergeCell ref="Q12:Q14"/>
    <mergeCell ref="R12:R14"/>
    <mergeCell ref="P16:P18"/>
    <mergeCell ref="Q16:Q18"/>
    <mergeCell ref="R16:R18"/>
    <mergeCell ref="P20:P22"/>
    <mergeCell ref="Q20:Q22"/>
    <mergeCell ref="R20:R22"/>
    <mergeCell ref="P24:P26"/>
    <mergeCell ref="Q24:Q26"/>
    <mergeCell ref="R24:R26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zoomScale="60" zoomScaleNormal="60" workbookViewId="0">
      <selection activeCell="J6" sqref="J6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417</v>
      </c>
    </row>
    <row r="4" spans="2:50">
      <c r="C4" s="6" t="s">
        <v>379</v>
      </c>
      <c r="S4" t="s">
        <v>380</v>
      </c>
      <c r="T4" s="6" t="s">
        <v>381</v>
      </c>
      <c r="U4" s="6" t="s">
        <v>382</v>
      </c>
      <c r="AK4" t="s">
        <v>418</v>
      </c>
      <c r="AM4" t="s">
        <v>419</v>
      </c>
      <c r="AN4" t="s">
        <v>420</v>
      </c>
      <c r="AO4" t="s">
        <v>421</v>
      </c>
      <c r="AP4" t="s">
        <v>422</v>
      </c>
      <c r="AQ4" t="s">
        <v>423</v>
      </c>
      <c r="AR4" t="s">
        <v>424</v>
      </c>
      <c r="AS4" t="s">
        <v>425</v>
      </c>
      <c r="AT4" t="s">
        <v>426</v>
      </c>
      <c r="AU4" t="s">
        <v>427</v>
      </c>
      <c r="AV4" t="s">
        <v>428</v>
      </c>
      <c r="AW4" t="s">
        <v>429</v>
      </c>
      <c r="AX4" t="s">
        <v>430</v>
      </c>
    </row>
    <row r="5" spans="2:50">
      <c r="B5" s="6" t="s">
        <v>383</v>
      </c>
      <c r="D5" s="6" t="s">
        <v>384</v>
      </c>
      <c r="H5" s="139" t="s">
        <v>415</v>
      </c>
      <c r="I5" s="140" t="s">
        <v>385</v>
      </c>
      <c r="J5" s="140" t="s">
        <v>386</v>
      </c>
      <c r="K5" s="140" t="s">
        <v>387</v>
      </c>
      <c r="L5" s="140" t="s">
        <v>388</v>
      </c>
      <c r="M5" s="140" t="s">
        <v>389</v>
      </c>
      <c r="N5" s="140" t="s">
        <v>390</v>
      </c>
      <c r="O5" s="140" t="s">
        <v>391</v>
      </c>
      <c r="P5" s="140" t="s">
        <v>392</v>
      </c>
      <c r="Q5" s="140" t="s">
        <v>393</v>
      </c>
      <c r="R5" s="140" t="s">
        <v>414</v>
      </c>
      <c r="S5" s="141">
        <f>SUM(R6:R17)</f>
        <v>404736.384965498</v>
      </c>
      <c r="T5" s="141">
        <f>Sheet2!O18</f>
        <v>650516.39601400623</v>
      </c>
      <c r="U5" s="142">
        <f>(T5-S5)/T5</f>
        <v>0.37782293045111248</v>
      </c>
      <c r="AK5" s="9" t="s">
        <v>95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394</v>
      </c>
      <c r="C6" s="122">
        <v>910</v>
      </c>
      <c r="D6" s="6" t="s">
        <v>395</v>
      </c>
      <c r="E6">
        <v>120</v>
      </c>
      <c r="H6" s="143"/>
      <c r="I6">
        <v>1</v>
      </c>
      <c r="J6">
        <f>IF((Sheet2!C53+C23)&lt;=200, 910, IF((Sheet2!C53+C23)&lt;=400, 1600, 7300))</f>
        <v>7300</v>
      </c>
      <c r="K6" s="144">
        <f>INT(IF((Sheet2!C53+C23)&lt;=200, (Sheet2!C53+C23)*120, IF((Sheet2!C53+C23)&lt;=400, 24000+((Sheet2!C53+C23)-200)*214.6, 66920+((Sheet2!C53+C23)-400)*307.3)))</f>
        <v>153524</v>
      </c>
      <c r="L6" s="144">
        <f>INT((Sheet2!C53+C23)*9)</f>
        <v>6136</v>
      </c>
      <c r="M6" s="144">
        <f>INT((Sheet2!C53+C23)*5)</f>
        <v>3409</v>
      </c>
      <c r="N6" s="144">
        <f t="shared" ref="N6:N17" si="0">SUM(J6:M6)</f>
        <v>170369</v>
      </c>
      <c r="O6" s="144">
        <f t="shared" ref="O6:O17" si="1">ROUND(N6*0.1, 0)</f>
        <v>17037</v>
      </c>
      <c r="P6" s="144">
        <f t="shared" ref="P6:P17" si="2">FLOOR(N6*0.027, 10)</f>
        <v>4590</v>
      </c>
      <c r="Q6" s="144">
        <f t="shared" ref="Q6:Q17" si="3">FLOOR(N6+O6+P6, 10)</f>
        <v>191990</v>
      </c>
      <c r="R6" s="144">
        <f>Q6*(Sheet2!C53/(Sheet2!C53+C23))</f>
        <v>105966.51967191756</v>
      </c>
      <c r="S6" s="145"/>
      <c r="T6" s="145"/>
      <c r="U6" s="146"/>
      <c r="AK6" s="9" t="s">
        <v>100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396</v>
      </c>
      <c r="C7" s="122">
        <v>1600</v>
      </c>
      <c r="D7" s="6" t="s">
        <v>397</v>
      </c>
      <c r="E7">
        <v>214.6</v>
      </c>
      <c r="H7" s="143"/>
      <c r="I7">
        <v>2</v>
      </c>
      <c r="J7">
        <f>IF((Sheet2!D53+C24)&lt;=200, 910, IF((Sheet2!D53+C24)&lt;=400, 1600, 7300))</f>
        <v>7300</v>
      </c>
      <c r="K7" s="144">
        <f>INT(IF((Sheet2!D53+C24)&lt;=200, (Sheet2!D53+C24)*120, IF((Sheet2!D53+C24)&lt;=400, 24000+((Sheet2!D53+C24)-200)*214.6, 66920+((Sheet2!D53+C24)-400)*307.3)))</f>
        <v>140310</v>
      </c>
      <c r="L7" s="144">
        <f>INT((Sheet2!D53+C24)*9)</f>
        <v>5749</v>
      </c>
      <c r="M7" s="144">
        <f>INT((Sheet2!D53+C24)*5)</f>
        <v>3194</v>
      </c>
      <c r="N7" s="144">
        <f t="shared" si="0"/>
        <v>156553</v>
      </c>
      <c r="O7" s="144">
        <f t="shared" si="1"/>
        <v>15655</v>
      </c>
      <c r="P7" s="144">
        <f t="shared" si="2"/>
        <v>4220</v>
      </c>
      <c r="Q7" s="144">
        <f t="shared" si="3"/>
        <v>176420</v>
      </c>
      <c r="R7" s="144">
        <f>Q7*(Sheet2!D$53/(Sheet2!D$53+$C24))</f>
        <v>93377.332405744208</v>
      </c>
      <c r="S7" s="145"/>
      <c r="T7" s="145"/>
      <c r="U7" s="146"/>
      <c r="AK7" s="6" t="s">
        <v>108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398</v>
      </c>
      <c r="C8" s="122">
        <v>7300</v>
      </c>
      <c r="D8" t="s">
        <v>399</v>
      </c>
      <c r="E8">
        <v>307.3</v>
      </c>
      <c r="G8">
        <f>(120*200)+(214.6*200)</f>
        <v>66920</v>
      </c>
      <c r="H8" s="143"/>
      <c r="I8">
        <v>3</v>
      </c>
      <c r="J8">
        <f>IF((Sheet2!E53+C25)&lt;=200, 910, IF((Sheet2!E53+C25)&lt;=400, 1600, 7300))</f>
        <v>7300</v>
      </c>
      <c r="K8" s="144">
        <f>INT(IF((Sheet2!E53+C25)&lt;=200, (Sheet2!E53+C25)*120, IF((Sheet2!E53+C25)&lt;=400, 24000+((Sheet2!E53+C25)-200)*214.6, 66920+((Sheet2!E53+C25)-400)*307.3)))</f>
        <v>105041</v>
      </c>
      <c r="L8" s="144">
        <f>INT((Sheet2!E53+C25)*9)</f>
        <v>4716</v>
      </c>
      <c r="M8" s="144">
        <f>INT((Sheet2!E53+C25)*5)</f>
        <v>2620</v>
      </c>
      <c r="N8" s="144">
        <f t="shared" si="0"/>
        <v>119677</v>
      </c>
      <c r="O8" s="144">
        <f t="shared" si="1"/>
        <v>11968</v>
      </c>
      <c r="P8" s="144">
        <f t="shared" si="2"/>
        <v>3230</v>
      </c>
      <c r="Q8" s="144">
        <f t="shared" si="3"/>
        <v>134870</v>
      </c>
      <c r="R8" s="144">
        <f>Q8*(Sheet2!E$53/(Sheet2!E$53+$C25))</f>
        <v>63375.341543423965</v>
      </c>
      <c r="S8" s="145"/>
      <c r="T8" s="145"/>
      <c r="U8" s="146"/>
      <c r="AK8" s="9" t="s">
        <v>104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3"/>
      <c r="I9">
        <v>4</v>
      </c>
      <c r="J9">
        <f>IF((Sheet2!F53+C26)&lt;=200, 910, IF((Sheet2!F53+C26)&lt;=400, 1600, 7300))</f>
        <v>1600</v>
      </c>
      <c r="K9" s="144">
        <f>INT(IF((Sheet2!F53+C26)&lt;=200, (Sheet2!F53+C26)*120, IF((Sheet2!F53+C26)&lt;=400, 24000+((Sheet2!F53+C26)-200)*214.6, 66920+((Sheet2!F53+C26)-400)*307.3)))</f>
        <v>65870</v>
      </c>
      <c r="L9" s="144">
        <f>INT((Sheet2!F53+C26)*9)</f>
        <v>3555</v>
      </c>
      <c r="M9" s="144">
        <f>INT((Sheet2!F53+C26)*5)</f>
        <v>1975</v>
      </c>
      <c r="N9" s="144">
        <f t="shared" si="0"/>
        <v>73000</v>
      </c>
      <c r="O9" s="144">
        <f t="shared" si="1"/>
        <v>7300</v>
      </c>
      <c r="P9" s="144">
        <f t="shared" si="2"/>
        <v>1970</v>
      </c>
      <c r="Q9" s="144">
        <f t="shared" si="3"/>
        <v>82270</v>
      </c>
      <c r="R9" s="144">
        <f>Q9*(Sheet2!F$53/(Sheet2!F$53+$C26))</f>
        <v>29048.674524388178</v>
      </c>
      <c r="S9" s="145"/>
      <c r="T9" s="145"/>
      <c r="U9" s="146"/>
      <c r="AK9" s="9" t="s">
        <v>98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400</v>
      </c>
      <c r="H10" s="143"/>
      <c r="I10">
        <v>5</v>
      </c>
      <c r="J10">
        <f>IF((Sheet2!G53+C27)&lt;=200, 910, IF((Sheet2!G53+C27)&lt;=400, 1600, 7300))</f>
        <v>1600</v>
      </c>
      <c r="K10" s="144">
        <f>INT(IF((Sheet2!G53+C27)&lt;=200, (Sheet2!G53+C27)*120, IF((Sheet2!G53+C27)&lt;=400, 24000+((Sheet2!G53+C27)-200)*214.6, 66920+((Sheet2!G53+C27)-400)*307.3)))</f>
        <v>48665</v>
      </c>
      <c r="L10" s="144">
        <f>INT((Sheet2!G53+C27)*9)</f>
        <v>2834</v>
      </c>
      <c r="M10" s="144">
        <f>INT((Sheet2!G53+C27)*5)</f>
        <v>1574</v>
      </c>
      <c r="N10" s="144">
        <f t="shared" si="0"/>
        <v>54673</v>
      </c>
      <c r="O10" s="144">
        <f t="shared" si="1"/>
        <v>5467</v>
      </c>
      <c r="P10" s="144">
        <f t="shared" si="2"/>
        <v>1470</v>
      </c>
      <c r="Q10" s="144">
        <f t="shared" si="3"/>
        <v>61610</v>
      </c>
      <c r="R10" s="144">
        <f>Q10*(Sheet2!G$53/(Sheet2!G$53+$C27))</f>
        <v>13975.157027016576</v>
      </c>
      <c r="S10" s="145"/>
      <c r="T10" s="145"/>
      <c r="U10" s="146"/>
      <c r="AK10" s="9" t="s">
        <v>96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401</v>
      </c>
      <c r="H11" s="143"/>
      <c r="I11">
        <v>6</v>
      </c>
      <c r="J11">
        <f>IF((Sheet2!H53+C28)&lt;=200, 910, IF((Sheet2!H53+C28)&lt;=400, 1600, 7300))</f>
        <v>1600</v>
      </c>
      <c r="K11" s="144">
        <f>INT(IF((Sheet2!H53+C28)&lt;=200, (Sheet2!H53+C28)*120, IF((Sheet2!H53+C28)&lt;=400, 24000+((Sheet2!H53+C28)-200)*214.6, 66920+((Sheet2!H53+C28)-400)*307.3)))</f>
        <v>42558</v>
      </c>
      <c r="L11" s="144">
        <f>INT((Sheet2!H53+C28)*9)</f>
        <v>2578</v>
      </c>
      <c r="M11" s="144">
        <f>INT((Sheet2!H53+C28)*5)</f>
        <v>1432</v>
      </c>
      <c r="N11" s="144">
        <f t="shared" si="0"/>
        <v>48168</v>
      </c>
      <c r="O11" s="144">
        <f t="shared" si="1"/>
        <v>4817</v>
      </c>
      <c r="P11" s="144">
        <f t="shared" si="2"/>
        <v>1300</v>
      </c>
      <c r="Q11" s="144">
        <f t="shared" si="3"/>
        <v>54280</v>
      </c>
      <c r="R11" s="144">
        <f>Q11*(Sheet2!H$53/(Sheet2!H$53+$C28))</f>
        <v>7821.0707638888598</v>
      </c>
      <c r="S11" s="145"/>
      <c r="T11" s="145"/>
      <c r="U11" s="146"/>
      <c r="AK11" s="9" t="s">
        <v>106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3"/>
      <c r="I12">
        <v>7</v>
      </c>
      <c r="J12">
        <f>IF((Sheet2!I53+C29)&lt;=300, 910, IF((Sheet2!I53+C29)&lt;=450, 1600, 7300))</f>
        <v>1600</v>
      </c>
      <c r="K12">
        <f>INT(IF((Sheet2!I53+C29)&lt;=300, (Sheet2!I53+C29)*120, IF((Sheet2!I53+C29)&lt;=450, 36000+((Sheet2!I53+C29)-300)*214.6, 68190+((Sheet2!I53+C29)-450)*307.3)))</f>
        <v>44038</v>
      </c>
      <c r="L12" s="144">
        <f>INT((Sheet2!I53+C29)*9)</f>
        <v>3037</v>
      </c>
      <c r="M12" s="144">
        <f>INT((Sheet2!I53+C29)*5)</f>
        <v>1687</v>
      </c>
      <c r="N12" s="144">
        <f t="shared" si="0"/>
        <v>50362</v>
      </c>
      <c r="O12" s="144">
        <f t="shared" si="1"/>
        <v>5036</v>
      </c>
      <c r="P12" s="144">
        <f t="shared" si="2"/>
        <v>1350</v>
      </c>
      <c r="Q12" s="144">
        <f t="shared" si="3"/>
        <v>56740</v>
      </c>
      <c r="R12" s="144">
        <f>Q12*(Sheet2!I$53/(Sheet2!I$53+$C29))</f>
        <v>3944.023079589138</v>
      </c>
      <c r="S12" s="145"/>
      <c r="T12" s="145"/>
      <c r="U12" s="146"/>
      <c r="AK12" s="9" t="s">
        <v>102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402</v>
      </c>
      <c r="H13" s="143"/>
      <c r="I13">
        <v>8</v>
      </c>
      <c r="J13">
        <f>IF((Sheet2!J53+C30)&lt;=300, 910, IF((Sheet2!J53+C30)&lt;=450, 1600, 7300))</f>
        <v>1600</v>
      </c>
      <c r="K13">
        <f>INT(IF((Sheet2!J53+C30)&lt;=300, (Sheet2!J53+C30)*120, IF((Sheet2!J53+C30)&lt;=450, 36000+((Sheet2!J53+C30)-300)*214.6, 68190+((Sheet2!J53+C30)-450)*307.3)))</f>
        <v>52042</v>
      </c>
      <c r="L13" s="144">
        <f>INT((Sheet2!J53+C30)*9)</f>
        <v>3372</v>
      </c>
      <c r="M13" s="144">
        <f>INT((Sheet2!J53+C30)*5)</f>
        <v>1873</v>
      </c>
      <c r="N13" s="144">
        <f t="shared" si="0"/>
        <v>58887</v>
      </c>
      <c r="O13" s="144">
        <f t="shared" si="1"/>
        <v>5889</v>
      </c>
      <c r="P13" s="144">
        <f t="shared" si="2"/>
        <v>1580</v>
      </c>
      <c r="Q13" s="144">
        <f t="shared" si="3"/>
        <v>66350</v>
      </c>
      <c r="R13" s="144">
        <f>Q13*(Sheet2!J$53/(Sheet2!J$53+$C30))</f>
        <v>3709.9802247261368</v>
      </c>
      <c r="S13" s="145"/>
      <c r="T13" s="145"/>
      <c r="U13" s="146"/>
      <c r="AK13" t="s">
        <v>110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383</v>
      </c>
      <c r="D14" s="6" t="s">
        <v>384</v>
      </c>
      <c r="H14" s="143"/>
      <c r="I14">
        <v>9</v>
      </c>
      <c r="J14">
        <f>IF((Sheet2!K53+C31)&lt;=200, 910, IF((Sheet2!K53+C31)&lt;=400, 1600, 7300))</f>
        <v>1600</v>
      </c>
      <c r="K14" s="144">
        <f>INT(IF((Sheet2!K53+C31)&lt;=200, (Sheet2!K53+C31)*120, IF((Sheet2!K53+C31)&lt;=400, 24000+((Sheet2!K53+C31)-200)*214.6, 66920+((Sheet2!K53+C31)-400)*307.3)))</f>
        <v>48889</v>
      </c>
      <c r="L14" s="144">
        <f>INT((Sheet2!K53+C31)*9)</f>
        <v>2843</v>
      </c>
      <c r="M14" s="144">
        <f>INT((Sheet2!K53+C31)*5)</f>
        <v>1579</v>
      </c>
      <c r="N14" s="144">
        <f t="shared" si="0"/>
        <v>54911</v>
      </c>
      <c r="O14" s="144">
        <f t="shared" si="1"/>
        <v>5491</v>
      </c>
      <c r="P14" s="144">
        <f t="shared" si="2"/>
        <v>1480</v>
      </c>
      <c r="Q14" s="144">
        <f t="shared" si="3"/>
        <v>61880</v>
      </c>
      <c r="R14" s="144">
        <f>Q14*(Sheet2!K$53/(Sheet2!K$53+$C31))</f>
        <v>6419.7308387234243</v>
      </c>
      <c r="S14" s="145"/>
      <c r="T14" s="145"/>
      <c r="U14" s="146"/>
      <c r="AK14" s="9" t="s">
        <v>112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403</v>
      </c>
      <c r="C15">
        <v>910</v>
      </c>
      <c r="D15" s="6" t="s">
        <v>404</v>
      </c>
      <c r="E15">
        <v>120</v>
      </c>
      <c r="H15" s="143"/>
      <c r="I15">
        <v>10</v>
      </c>
      <c r="J15">
        <f>IF((Sheet2!L53+C32)&lt;=200, 910, IF((Sheet2!L53+C32)&lt;=400, 1600, 7300))</f>
        <v>1600</v>
      </c>
      <c r="K15" s="144">
        <f>INT(IF((Sheet2!L53+C32)&lt;=200, (Sheet2!L53+C32)*120, IF((Sheet2!L53+C32)&lt;=400, 24000+((Sheet2!L53+C32)-200)*214.6, 66920+((Sheet2!L53+C32)-400)*307.3)))</f>
        <v>44081</v>
      </c>
      <c r="L15" s="144">
        <f>INT((Sheet2!L53+C32)*9)</f>
        <v>2642</v>
      </c>
      <c r="M15" s="144">
        <f>INT((Sheet2!L53+C32)*5)</f>
        <v>1467</v>
      </c>
      <c r="N15" s="144">
        <f t="shared" si="0"/>
        <v>49790</v>
      </c>
      <c r="O15" s="144">
        <f t="shared" si="1"/>
        <v>4979</v>
      </c>
      <c r="P15" s="144">
        <f t="shared" si="2"/>
        <v>1340</v>
      </c>
      <c r="Q15" s="144">
        <f t="shared" si="3"/>
        <v>56100</v>
      </c>
      <c r="R15" s="144">
        <f>Q15*(Sheet2!L$53/(Sheet2!L$53+$C32))</f>
        <v>9225.0700178338429</v>
      </c>
      <c r="S15" s="145"/>
      <c r="T15" s="145"/>
      <c r="U15" s="146"/>
      <c r="AK15" t="s">
        <v>114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405</v>
      </c>
      <c r="C16" s="123">
        <v>1600</v>
      </c>
      <c r="D16" s="6" t="s">
        <v>406</v>
      </c>
      <c r="E16">
        <v>214.6</v>
      </c>
      <c r="H16" s="143"/>
      <c r="I16">
        <v>11</v>
      </c>
      <c r="J16">
        <f>IF((Sheet2!M53+C33)&lt;=200, 910, IF((Sheet2!M53+C33)&lt;=400, 1600, 7300))</f>
        <v>1600</v>
      </c>
      <c r="K16" s="144">
        <f>INT(IF((Sheet2!M53+C33)&lt;=200, (Sheet2!M53+C33)*120, IF((Sheet2!M53+C33)&lt;=400, 24000+((Sheet2!M53+C33)-200)*214.6, 66920+((Sheet2!M53+C33)-400)*307.3)))</f>
        <v>59333</v>
      </c>
      <c r="L16" s="144">
        <f>INT((Sheet2!M53+C33)*9)</f>
        <v>3281</v>
      </c>
      <c r="M16" s="144">
        <f>INT((Sheet2!M53+C33)*5)</f>
        <v>1823</v>
      </c>
      <c r="N16" s="144">
        <f t="shared" si="0"/>
        <v>66037</v>
      </c>
      <c r="O16" s="144">
        <f t="shared" si="1"/>
        <v>6604</v>
      </c>
      <c r="P16" s="144">
        <f t="shared" si="2"/>
        <v>1780</v>
      </c>
      <c r="Q16" s="144">
        <f t="shared" si="3"/>
        <v>74420</v>
      </c>
      <c r="R16" s="144">
        <f>Q16*(Sheet2!M$53/(Sheet2!M$53+$C33))</f>
        <v>22214.774196544869</v>
      </c>
      <c r="S16" s="145"/>
      <c r="T16" s="145"/>
      <c r="U16" s="146"/>
      <c r="AK16" t="s">
        <v>116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407</v>
      </c>
      <c r="C17" s="123">
        <v>7300</v>
      </c>
      <c r="D17" t="s">
        <v>408</v>
      </c>
      <c r="E17">
        <v>307.3</v>
      </c>
      <c r="G17" s="137">
        <f>(120*300)+(150*214.6)</f>
        <v>68190</v>
      </c>
      <c r="H17" s="143"/>
      <c r="I17">
        <v>12</v>
      </c>
      <c r="J17">
        <f>IF((Sheet2!N53+C34)&lt;=200, 910, IF((Sheet2!N53+C34)&lt;=400, 1600, 7300))</f>
        <v>7300</v>
      </c>
      <c r="K17" s="144">
        <f>INT(IF((Sheet2!N53+C34)&lt;=200, (Sheet2!N53+C34)*120, IF((Sheet2!N53+C34)&lt;=400, 24000+((Sheet2!N53+C34)-200)*214.6, 66920+((Sheet2!N53+C34)-400)*307.3)))</f>
        <v>85889</v>
      </c>
      <c r="L17" s="144">
        <f>INT((Sheet2!N53+C34)*9)</f>
        <v>4155</v>
      </c>
      <c r="M17" s="144">
        <f>INT((Sheet2!N53+C34)*5)</f>
        <v>2308</v>
      </c>
      <c r="N17" s="144">
        <f t="shared" si="0"/>
        <v>99652</v>
      </c>
      <c r="O17" s="144">
        <f t="shared" si="1"/>
        <v>9965</v>
      </c>
      <c r="P17" s="144">
        <f t="shared" si="2"/>
        <v>2690</v>
      </c>
      <c r="Q17" s="144">
        <f t="shared" si="3"/>
        <v>112300</v>
      </c>
      <c r="R17" s="144">
        <f>Q17*(Sheet2!N$53/(Sheet2!N$53+$C34))</f>
        <v>45658.710671701243</v>
      </c>
      <c r="S17" s="145"/>
      <c r="T17" s="145"/>
      <c r="U17" s="146"/>
      <c r="AK17" t="s">
        <v>122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3"/>
      <c r="I18" s="6" t="s">
        <v>409</v>
      </c>
      <c r="J18" s="6" t="s">
        <v>386</v>
      </c>
      <c r="K18" s="6" t="s">
        <v>387</v>
      </c>
      <c r="L18" s="6" t="s">
        <v>388</v>
      </c>
      <c r="M18" s="6" t="s">
        <v>389</v>
      </c>
      <c r="N18" s="6" t="s">
        <v>390</v>
      </c>
      <c r="O18" s="6" t="s">
        <v>391</v>
      </c>
      <c r="P18" s="6" t="s">
        <v>392</v>
      </c>
      <c r="Q18" s="6" t="s">
        <v>393</v>
      </c>
      <c r="R18" s="6" t="s">
        <v>414</v>
      </c>
      <c r="S18" s="147">
        <f>SUM(R19:R30)</f>
        <v>359600.1507233525</v>
      </c>
      <c r="T18" s="147">
        <f>Sheet2!O18</f>
        <v>650516.39601400623</v>
      </c>
      <c r="U18" s="148">
        <f>(T18-S18)/T18</f>
        <v>0.44720816734708407</v>
      </c>
      <c r="AK18" s="6" t="s">
        <v>118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410</v>
      </c>
      <c r="H19" s="143"/>
      <c r="I19">
        <v>1</v>
      </c>
      <c r="J19">
        <f>IF((Sheet2!C54+C23)&lt;=200, 910, IF((Sheet2!C54+C23)&lt;=400, 1600, 7300))</f>
        <v>7300</v>
      </c>
      <c r="K19" s="144">
        <f>INT(IF((Sheet2!C54+C23)&lt;=200, (Sheet2!C54+C23)*120, IF((Sheet2!C54+C23)&lt;=400, 24000+((Sheet2!C54+C23)-200)*214.6, 66920+((Sheet2!C54+C23)-400)*307.3)))</f>
        <v>142211</v>
      </c>
      <c r="L19" s="144">
        <f>INT((Sheet2!C54+C23)*9)</f>
        <v>5805</v>
      </c>
      <c r="M19" s="144">
        <f>INT((Sheet2!C54+C23)*5)</f>
        <v>3225</v>
      </c>
      <c r="N19" s="144">
        <f t="shared" ref="N19:N30" si="4">SUM(J19:M19)</f>
        <v>158541</v>
      </c>
      <c r="O19" s="144">
        <f t="shared" ref="O19:O30" si="5">ROUND(N19*0.1, 0)</f>
        <v>15854</v>
      </c>
      <c r="P19" s="144">
        <f t="shared" ref="P19:P30" si="6">FLOOR(N19*0.027, 10)</f>
        <v>4280</v>
      </c>
      <c r="Q19" s="144">
        <f t="shared" ref="Q19:Q30" si="7">FLOOR(N19+O19+P19, 10)</f>
        <v>178670</v>
      </c>
      <c r="R19" s="144">
        <f>Q19*(Sheet2!C54/(Sheet2!C54+C23))</f>
        <v>94045.502309128773</v>
      </c>
      <c r="S19" s="145"/>
      <c r="T19" s="145"/>
      <c r="U19" s="146"/>
      <c r="AK19" t="s">
        <v>33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411</v>
      </c>
      <c r="H20" s="143"/>
      <c r="I20">
        <v>2</v>
      </c>
      <c r="J20">
        <f>IF((Sheet2!D54+C24)&lt;=200, 910, IF((Sheet2!D54+C24)&lt;=400, 1600, 7300))</f>
        <v>7300</v>
      </c>
      <c r="K20" s="144">
        <f>INT(IF((Sheet2!D54+C24)&lt;=200, (Sheet2!D54+C24)*120, IF((Sheet2!D54+C24)&lt;=400, 24000+((Sheet2!D54+C24)-200)*214.6, 66920+((Sheet2!D54+C24)-400)*307.3)))</f>
        <v>130145</v>
      </c>
      <c r="L20" s="144">
        <f>INT((Sheet2!D54+C24)*9)</f>
        <v>5451</v>
      </c>
      <c r="M20" s="144">
        <f>INT((Sheet2!D54+C24)*5)</f>
        <v>3028</v>
      </c>
      <c r="N20" s="144">
        <f t="shared" si="4"/>
        <v>145924</v>
      </c>
      <c r="O20" s="144">
        <f t="shared" si="5"/>
        <v>14592</v>
      </c>
      <c r="P20" s="144">
        <f t="shared" si="6"/>
        <v>3930</v>
      </c>
      <c r="Q20" s="144">
        <f t="shared" si="7"/>
        <v>164440</v>
      </c>
      <c r="R20" s="144">
        <f>Q20*(Sheet2!D54/(Sheet2!D54+C24))</f>
        <v>82809.758454455136</v>
      </c>
      <c r="S20" s="145"/>
      <c r="T20" s="145"/>
      <c r="U20" s="146"/>
      <c r="AK20" t="s">
        <v>120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3"/>
      <c r="I21">
        <v>3</v>
      </c>
      <c r="J21">
        <f>IF((Sheet2!E54+C25)&lt;=200, 910, IF((Sheet2!E54+C25)&lt;=400, 1600, 7300))</f>
        <v>7300</v>
      </c>
      <c r="K21" s="144">
        <f>INT(IF((Sheet2!E54+C25)&lt;=200, (Sheet2!E54+C25)*120, IF((Sheet2!E54+C25)&lt;=400, 24000+((Sheet2!E54+C25)-200)*214.6, 66920+((Sheet2!E54+C25)-400)*307.3)))</f>
        <v>97638</v>
      </c>
      <c r="L21" s="144">
        <f>INT((Sheet2!E54+C25)*9)</f>
        <v>4499</v>
      </c>
      <c r="M21" s="144">
        <f>INT((Sheet2!E54+C25)*5)</f>
        <v>2499</v>
      </c>
      <c r="N21" s="144">
        <f t="shared" si="4"/>
        <v>111936</v>
      </c>
      <c r="O21" s="144">
        <f t="shared" si="5"/>
        <v>11194</v>
      </c>
      <c r="P21" s="144">
        <f t="shared" si="6"/>
        <v>3020</v>
      </c>
      <c r="Q21" s="144">
        <f t="shared" si="7"/>
        <v>126150</v>
      </c>
      <c r="R21" s="144">
        <f>Q21*(Sheet2!E54/(Sheet2!E54+C25))</f>
        <v>56055.693177026369</v>
      </c>
      <c r="S21" s="145"/>
      <c r="T21" s="145"/>
      <c r="U21" s="146"/>
      <c r="AK21" s="6" t="s">
        <v>125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413</v>
      </c>
      <c r="H22" s="143"/>
      <c r="I22">
        <v>4</v>
      </c>
      <c r="J22">
        <f>IF((Sheet2!F54+C26)&lt;=200, 910, IF((Sheet2!F54+C26)&lt;=400, 1600, 7300))</f>
        <v>1600</v>
      </c>
      <c r="K22" s="144">
        <f>INT(IF((Sheet2!F54+C26)&lt;=200, (Sheet2!F54+C26)*120, IF((Sheet2!F54+C26)&lt;=400, 24000+((Sheet2!F54+C26)-200)*214.6, 66920+((Sheet2!F54+C26)-400)*307.3)))</f>
        <v>62941</v>
      </c>
      <c r="L22" s="144">
        <f>INT((Sheet2!F54+C26)*9)</f>
        <v>3433</v>
      </c>
      <c r="M22" s="144">
        <f>INT((Sheet2!F54+C26)*5)</f>
        <v>1907</v>
      </c>
      <c r="N22" s="144">
        <f t="shared" si="4"/>
        <v>69881</v>
      </c>
      <c r="O22" s="144">
        <f t="shared" si="5"/>
        <v>6988</v>
      </c>
      <c r="P22" s="144">
        <f t="shared" si="6"/>
        <v>1880</v>
      </c>
      <c r="Q22" s="144">
        <f t="shared" si="7"/>
        <v>78740</v>
      </c>
      <c r="R22" s="144">
        <f>Q22*(Sheet2!F54/(Sheet2!F54+C26))</f>
        <v>25979.861282773225</v>
      </c>
      <c r="S22" s="145"/>
      <c r="T22" s="145"/>
      <c r="U22" s="146"/>
    </row>
    <row r="23" spans="2:50">
      <c r="B23" s="125">
        <v>1</v>
      </c>
      <c r="C23" s="127">
        <v>305.5</v>
      </c>
      <c r="D23" s="128">
        <v>1</v>
      </c>
      <c r="H23" s="143"/>
      <c r="I23">
        <v>5</v>
      </c>
      <c r="J23">
        <f>IF((Sheet2!G54+C27)&lt;=200, 910, IF((Sheet2!G54+C27)&lt;=400, 1600, 7300))</f>
        <v>1600</v>
      </c>
      <c r="K23" s="144">
        <f>INT(IF((Sheet2!G54+C27)&lt;=200, (Sheet2!G54+C27)*120, IF((Sheet2!G54+C27)&lt;=400, 24000+((Sheet2!G54+C27)-200)*214.6, 66920+((Sheet2!G54+C27)-400)*307.3)))</f>
        <v>47166</v>
      </c>
      <c r="L23" s="144">
        <f>INT((Sheet2!G54+C27)*9)</f>
        <v>2771</v>
      </c>
      <c r="M23" s="144">
        <f>INT((Sheet2!G54+C27)*5)</f>
        <v>1539</v>
      </c>
      <c r="N23" s="144">
        <f t="shared" si="4"/>
        <v>53076</v>
      </c>
      <c r="O23" s="144">
        <f t="shared" si="5"/>
        <v>5308</v>
      </c>
      <c r="P23" s="144">
        <f t="shared" si="6"/>
        <v>1430</v>
      </c>
      <c r="Q23" s="144">
        <f t="shared" si="7"/>
        <v>59810</v>
      </c>
      <c r="R23" s="144">
        <f>Q23*(Sheet2!G54/(Sheet2!G54+C27))</f>
        <v>12517.429257543086</v>
      </c>
      <c r="S23" s="145"/>
      <c r="T23" s="145"/>
      <c r="U23" s="146"/>
    </row>
    <row r="24" spans="2:50">
      <c r="B24" s="125">
        <v>2</v>
      </c>
      <c r="C24" s="126">
        <v>300.7</v>
      </c>
      <c r="D24" s="128">
        <v>2</v>
      </c>
      <c r="H24" s="143"/>
      <c r="I24">
        <v>6</v>
      </c>
      <c r="J24">
        <f>IF((Sheet2!H54+C28)&lt;=200, 910, IF((Sheet2!H54+C28)&lt;=400, 1600, 7300))</f>
        <v>1600</v>
      </c>
      <c r="K24" s="144">
        <f>INT(IF((Sheet2!H54+C28)&lt;=200, (Sheet2!H54+C28)*120, IF((Sheet2!H54+C28)&lt;=400, 24000+((Sheet2!H54+C28)-200)*214.6, 66920+((Sheet2!H54+C28)-400)*307.3)))</f>
        <v>41691</v>
      </c>
      <c r="L24" s="144">
        <f>INT((Sheet2!H54+C28)*9)</f>
        <v>2541</v>
      </c>
      <c r="M24" s="144">
        <f>INT((Sheet2!H54+C28)*5)</f>
        <v>1412</v>
      </c>
      <c r="N24" s="144">
        <f t="shared" si="4"/>
        <v>47244</v>
      </c>
      <c r="O24" s="144">
        <f t="shared" si="5"/>
        <v>4724</v>
      </c>
      <c r="P24" s="144">
        <f t="shared" si="6"/>
        <v>1270</v>
      </c>
      <c r="Q24" s="144">
        <f t="shared" si="7"/>
        <v>53230</v>
      </c>
      <c r="R24" s="144">
        <f>Q24*(Sheet2!H54/(Sheet2!H54+C28))</f>
        <v>7018.4024322105288</v>
      </c>
      <c r="S24" s="145"/>
      <c r="T24" s="145"/>
      <c r="U24" s="146"/>
    </row>
    <row r="25" spans="2:50">
      <c r="B25" s="125">
        <v>3</v>
      </c>
      <c r="C25" s="126">
        <v>277.8</v>
      </c>
      <c r="D25" s="128">
        <v>3</v>
      </c>
      <c r="H25" s="143"/>
      <c r="I25">
        <v>7</v>
      </c>
      <c r="J25">
        <f>IF((Sheet2!I54+C29)&lt;=300, 910, IF((Sheet2!I54+C29)&lt;=450, 1600, 7300))</f>
        <v>1600</v>
      </c>
      <c r="K25">
        <f>INT(IF((Sheet2!I54+C29)&lt;=300, (Sheet2!I54+C29)*120, IF((Sheet2!I54+C29)&lt;=450, 36000+((Sheet2!I54+C29)-300)*214.6, 68190+((Sheet2!I54+C29)-450)*307.3)))</f>
        <v>43545</v>
      </c>
      <c r="L25" s="144">
        <f>INT((Sheet2!I54+C29)*9)</f>
        <v>3016</v>
      </c>
      <c r="M25" s="144">
        <f>INT((Sheet2!I54+C29)*5)</f>
        <v>1675</v>
      </c>
      <c r="N25" s="144">
        <f t="shared" si="4"/>
        <v>49836</v>
      </c>
      <c r="O25" s="144">
        <f t="shared" si="5"/>
        <v>4984</v>
      </c>
      <c r="P25" s="144">
        <f t="shared" si="6"/>
        <v>1340</v>
      </c>
      <c r="Q25" s="144">
        <f t="shared" si="7"/>
        <v>56160</v>
      </c>
      <c r="R25" s="144">
        <f>Q25*(Sheet2!I54/(Sheet2!I54+C29))</f>
        <v>3545.9347629386893</v>
      </c>
      <c r="S25" s="145"/>
      <c r="T25" s="145"/>
      <c r="U25" s="146"/>
    </row>
    <row r="26" spans="2:50">
      <c r="B26" s="125">
        <v>4</v>
      </c>
      <c r="C26" s="126">
        <v>255.6</v>
      </c>
      <c r="D26" s="128">
        <v>4</v>
      </c>
      <c r="H26" s="143"/>
      <c r="I26">
        <v>8</v>
      </c>
      <c r="J26">
        <f>IF((Sheet2!J54+C30)&lt;=300, 910, IF((Sheet2!J54+C30)&lt;=450, 1600, 7300))</f>
        <v>1600</v>
      </c>
      <c r="K26">
        <f>INT(IF((Sheet2!J54+C30)&lt;=300, (Sheet2!J54+C30)*120, IF((Sheet2!J54+C30)&lt;=450, 36000+((Sheet2!J54+C30)-300)*214.6, 68190+((Sheet2!J54+C30)-450)*307.3)))</f>
        <v>51602</v>
      </c>
      <c r="L26" s="144">
        <f>INT((Sheet2!J54+C30)*9)</f>
        <v>3354</v>
      </c>
      <c r="M26" s="144">
        <f>INT((Sheet2!J54+C30)*5)</f>
        <v>1863</v>
      </c>
      <c r="N26" s="144">
        <f t="shared" si="4"/>
        <v>58419</v>
      </c>
      <c r="O26" s="144">
        <f t="shared" si="5"/>
        <v>5842</v>
      </c>
      <c r="P26" s="144">
        <f t="shared" si="6"/>
        <v>1570</v>
      </c>
      <c r="Q26" s="144">
        <f t="shared" si="7"/>
        <v>65830</v>
      </c>
      <c r="R26" s="144">
        <f>Q26*(Sheet2!J54/(Sheet2!J54+C30))</f>
        <v>3339.0804943323565</v>
      </c>
      <c r="S26" s="145"/>
      <c r="T26" s="145"/>
      <c r="U26" s="146"/>
    </row>
    <row r="27" spans="2:50">
      <c r="B27" s="125">
        <v>5</v>
      </c>
      <c r="C27" s="126">
        <v>243.5</v>
      </c>
      <c r="D27" s="128">
        <v>5</v>
      </c>
      <c r="H27" s="143"/>
      <c r="I27">
        <v>9</v>
      </c>
      <c r="J27">
        <f>IF((Sheet2!K54+C31)&lt;=200, 910, IF((Sheet2!K54+C31)&lt;=400, 1600, 7300))</f>
        <v>1600</v>
      </c>
      <c r="K27" s="144">
        <f>INT(IF((Sheet2!K54+C31)&lt;=200, (Sheet2!K54+C31)*120, IF((Sheet2!K54+C31)&lt;=400, 24000+((Sheet2!K54+C31)-200)*214.6, 66920+((Sheet2!K54+C31)-400)*307.3)))</f>
        <v>48201</v>
      </c>
      <c r="L27" s="144">
        <f>INT((Sheet2!K54+C31)*9)</f>
        <v>2814</v>
      </c>
      <c r="M27" s="144">
        <f>INT((Sheet2!K54+C31)*5)</f>
        <v>1563</v>
      </c>
      <c r="N27" s="144">
        <f t="shared" si="4"/>
        <v>54178</v>
      </c>
      <c r="O27" s="144">
        <f t="shared" si="5"/>
        <v>5418</v>
      </c>
      <c r="P27" s="144">
        <f t="shared" si="6"/>
        <v>1460</v>
      </c>
      <c r="Q27" s="144">
        <f t="shared" si="7"/>
        <v>61050</v>
      </c>
      <c r="R27" s="144">
        <f>Q27*(Sheet2!K54/(Sheet2!K54+C31))</f>
        <v>5772.6150958012649</v>
      </c>
      <c r="S27" s="145"/>
      <c r="T27" s="145"/>
      <c r="U27" s="146"/>
      <c r="AK27" s="9"/>
    </row>
    <row r="28" spans="2:50">
      <c r="B28" s="125">
        <v>6</v>
      </c>
      <c r="C28" s="126">
        <v>245.2</v>
      </c>
      <c r="D28" s="128">
        <v>6</v>
      </c>
      <c r="H28" s="143"/>
      <c r="I28">
        <v>10</v>
      </c>
      <c r="J28">
        <f>IF((Sheet2!L54+C32)&lt;=200, 910, IF((Sheet2!L54+C32)&lt;=400, 1600, 7300))</f>
        <v>1600</v>
      </c>
      <c r="K28" s="144">
        <f>INT(IF((Sheet2!L54+C32)&lt;=200, (Sheet2!L54+C32)*120, IF((Sheet2!L54+C32)&lt;=400, 24000+((Sheet2!L54+C32)-200)*214.6, 66920+((Sheet2!L54+C32)-400)*307.3)))</f>
        <v>43067</v>
      </c>
      <c r="L28" s="144">
        <f>INT((Sheet2!L54+C32)*9)</f>
        <v>2599</v>
      </c>
      <c r="M28" s="144">
        <f>INT((Sheet2!L54+C32)*5)</f>
        <v>1444</v>
      </c>
      <c r="N28" s="144">
        <f t="shared" si="4"/>
        <v>48710</v>
      </c>
      <c r="O28" s="144">
        <f t="shared" si="5"/>
        <v>4871</v>
      </c>
      <c r="P28" s="144">
        <f t="shared" si="6"/>
        <v>1310</v>
      </c>
      <c r="Q28" s="144">
        <f t="shared" si="7"/>
        <v>54890</v>
      </c>
      <c r="R28" s="144">
        <f>Q28*(Sheet2!L54/(Sheet2!L54+C32))</f>
        <v>8276.2458870582359</v>
      </c>
      <c r="S28" s="145"/>
      <c r="T28" s="145"/>
      <c r="U28" s="146"/>
      <c r="AK28" s="130"/>
    </row>
    <row r="29" spans="2:50">
      <c r="B29" s="125">
        <v>7</v>
      </c>
      <c r="C29" s="126">
        <v>314</v>
      </c>
      <c r="D29" s="128">
        <v>7</v>
      </c>
      <c r="H29" s="143"/>
      <c r="I29">
        <v>11</v>
      </c>
      <c r="J29">
        <f>IF((Sheet2!M54+C33)&lt;=200, 910, IF((Sheet2!M54+C33)&lt;=400, 1600, 7300))</f>
        <v>1600</v>
      </c>
      <c r="K29" s="144">
        <f>INT(IF((Sheet2!M54+C33)&lt;=200, (Sheet2!M54+C33)*120, IF((Sheet2!M54+C33)&lt;=400, 24000+((Sheet2!M54+C33)-200)*214.6, 66920+((Sheet2!M54+C33)-400)*307.3)))</f>
        <v>57048</v>
      </c>
      <c r="L29" s="144">
        <f>INT((Sheet2!M54+C33)*9)</f>
        <v>3186</v>
      </c>
      <c r="M29" s="144">
        <f>INT((Sheet2!M54+C33)*5)</f>
        <v>1770</v>
      </c>
      <c r="N29" s="144">
        <f t="shared" si="4"/>
        <v>63604</v>
      </c>
      <c r="O29" s="144">
        <f t="shared" si="5"/>
        <v>6360</v>
      </c>
      <c r="P29" s="144">
        <f t="shared" si="6"/>
        <v>1710</v>
      </c>
      <c r="Q29" s="144">
        <f t="shared" si="7"/>
        <v>71670</v>
      </c>
      <c r="R29" s="144">
        <f>Q29*(Sheet2!M54/(Sheet2!M54+C33))</f>
        <v>19881.578545963243</v>
      </c>
      <c r="S29" s="145"/>
      <c r="T29" s="145"/>
      <c r="U29" s="146"/>
      <c r="AK29" s="130"/>
    </row>
    <row r="30" spans="2:50">
      <c r="B30" s="125">
        <v>8</v>
      </c>
      <c r="C30" s="126">
        <v>353.8</v>
      </c>
      <c r="D30" s="128">
        <v>8</v>
      </c>
      <c r="H30" s="143"/>
      <c r="I30">
        <v>12</v>
      </c>
      <c r="J30">
        <f>IF((Sheet2!N54+C34)&lt;=200, 910, IF((Sheet2!N54+C34)&lt;=400, 1600, 7300))</f>
        <v>7300</v>
      </c>
      <c r="K30" s="144">
        <f>INT(IF((Sheet2!N54+C34)&lt;=200, (Sheet2!N54+C34)*120, IF((Sheet2!N54+C34)&lt;=400, 24000+((Sheet2!N54+C34)-200)*214.6, 66920+((Sheet2!N54+C34)-400)*307.3)))</f>
        <v>80245</v>
      </c>
      <c r="L30" s="144">
        <f>INT((Sheet2!N54+C34)*9)</f>
        <v>3990</v>
      </c>
      <c r="M30" s="144">
        <f>INT((Sheet2!N54+C34)*5)</f>
        <v>2216</v>
      </c>
      <c r="N30" s="144">
        <f t="shared" si="4"/>
        <v>93751</v>
      </c>
      <c r="O30" s="144">
        <f t="shared" si="5"/>
        <v>9375</v>
      </c>
      <c r="P30" s="144">
        <f t="shared" si="6"/>
        <v>2530</v>
      </c>
      <c r="Q30" s="144">
        <f t="shared" si="7"/>
        <v>105650</v>
      </c>
      <c r="R30" s="144">
        <f>Q30*(Sheet2!N54/(Sheet2!N54+C34))</f>
        <v>40358.049024121618</v>
      </c>
      <c r="S30" s="145"/>
      <c r="T30" s="145"/>
      <c r="U30" s="146"/>
      <c r="AK30" s="130"/>
    </row>
    <row r="31" spans="2:50">
      <c r="B31" s="125">
        <v>9</v>
      </c>
      <c r="C31" s="126">
        <v>283.2</v>
      </c>
      <c r="D31" s="128">
        <v>9</v>
      </c>
      <c r="H31" s="143"/>
      <c r="I31" s="149" t="s">
        <v>412</v>
      </c>
      <c r="J31" s="6" t="s">
        <v>386</v>
      </c>
      <c r="K31" s="6" t="s">
        <v>387</v>
      </c>
      <c r="L31" s="6" t="s">
        <v>388</v>
      </c>
      <c r="M31" s="6" t="s">
        <v>389</v>
      </c>
      <c r="N31" s="6" t="s">
        <v>390</v>
      </c>
      <c r="O31" s="6" t="s">
        <v>391</v>
      </c>
      <c r="P31" s="6" t="s">
        <v>392</v>
      </c>
      <c r="Q31" s="6" t="s">
        <v>393</v>
      </c>
      <c r="R31" s="6" t="s">
        <v>414</v>
      </c>
      <c r="S31" s="147">
        <f>SUM(R32:R43)</f>
        <v>283770.55279797362</v>
      </c>
      <c r="T31" s="147">
        <f>Sheet2!O18</f>
        <v>650516.39601400623</v>
      </c>
      <c r="U31" s="148">
        <f>(T31-S31)/T31</f>
        <v>0.56377647890697624</v>
      </c>
      <c r="AK31" s="130"/>
    </row>
    <row r="32" spans="2:50">
      <c r="B32" s="125">
        <v>10</v>
      </c>
      <c r="C32" s="126">
        <v>245.3</v>
      </c>
      <c r="D32" s="128">
        <v>10</v>
      </c>
      <c r="H32" s="143"/>
      <c r="I32">
        <v>1</v>
      </c>
      <c r="J32">
        <f>IF((Sheet2!C55+C23)&lt;=200, 910, IF((Sheet2!C55+C23)&lt;=400, 1600, 7300))</f>
        <v>7300</v>
      </c>
      <c r="K32" s="144">
        <f>INT(IF((Sheet2!C55+C23)&lt;=200, (Sheet2!C55+C23)*120, IF((Sheet2!C55+C23)&lt;=400, 24000+((Sheet2!C55+C23)-200)*214.6, 66920+((Sheet2!C55+C23)-400)*307.3)))</f>
        <v>122785</v>
      </c>
      <c r="L32" s="144">
        <f>INT((Sheet2!C55+C23)*9)</f>
        <v>5236</v>
      </c>
      <c r="M32" s="144">
        <f>INT((Sheet2!C55+C23)*5)</f>
        <v>2908</v>
      </c>
      <c r="N32" s="144">
        <f t="shared" ref="N32:N43" si="8">SUM(J32:M32)</f>
        <v>138229</v>
      </c>
      <c r="O32" s="144">
        <f t="shared" ref="O32:O43" si="9">ROUND(N32*0.1, 0)</f>
        <v>13823</v>
      </c>
      <c r="P32" s="144">
        <f t="shared" ref="P32:P43" si="10">FLOOR(N32*0.027, 10)</f>
        <v>3730</v>
      </c>
      <c r="Q32" s="144">
        <f t="shared" ref="Q32:Q43" si="11">FLOOR(N32+O32+P32, 10)</f>
        <v>155780</v>
      </c>
      <c r="R32" s="144">
        <f>Q32*(Sheet2!C55/(Sheet2!C55+C23))</f>
        <v>73980.083943437436</v>
      </c>
      <c r="S32" s="145"/>
      <c r="T32" s="145"/>
      <c r="U32" s="146"/>
      <c r="AK32" s="130"/>
    </row>
    <row r="33" spans="2:37">
      <c r="B33" s="125">
        <v>11</v>
      </c>
      <c r="C33" s="126">
        <v>255.8</v>
      </c>
      <c r="D33" s="128">
        <v>11</v>
      </c>
      <c r="H33" s="143"/>
      <c r="I33">
        <v>2</v>
      </c>
      <c r="J33">
        <f>IF((Sheet2!D55+C24)&lt;=200, 910, IF((Sheet2!D55+C24)&lt;=400, 1600, 7300))</f>
        <v>7300</v>
      </c>
      <c r="K33" s="144">
        <f>INT(IF((Sheet2!D55+C24)&lt;=200, (Sheet2!D55+C24)*120, IF((Sheet2!D55+C24)&lt;=400, 24000+((Sheet2!D55+C24)-200)*214.6, 66920+((Sheet2!D55+C24)-400)*307.3)))</f>
        <v>112691</v>
      </c>
      <c r="L33" s="144">
        <f>INT((Sheet2!D55+C24)*9)</f>
        <v>4940</v>
      </c>
      <c r="M33" s="144">
        <f>INT((Sheet2!D55+C24)*5)</f>
        <v>2744</v>
      </c>
      <c r="N33" s="144">
        <f t="shared" si="8"/>
        <v>127675</v>
      </c>
      <c r="O33" s="144">
        <f t="shared" si="9"/>
        <v>12768</v>
      </c>
      <c r="P33" s="144">
        <f t="shared" si="10"/>
        <v>3440</v>
      </c>
      <c r="Q33" s="144">
        <f t="shared" si="11"/>
        <v>143880</v>
      </c>
      <c r="R33" s="144">
        <f>Q33*(Sheet2!D55/(Sheet2!D55+C24))</f>
        <v>65065.978020168877</v>
      </c>
      <c r="S33" s="145"/>
      <c r="T33" s="145"/>
      <c r="U33" s="146"/>
      <c r="AK33" s="130"/>
    </row>
    <row r="34" spans="2:37">
      <c r="B34" s="125">
        <v>12</v>
      </c>
      <c r="C34" s="126">
        <v>274</v>
      </c>
      <c r="D34" s="128">
        <v>12</v>
      </c>
      <c r="H34" s="143"/>
      <c r="I34">
        <v>3</v>
      </c>
      <c r="J34">
        <f>IF((Sheet2!E55+C25)&lt;=200, 910, IF((Sheet2!E55+C25)&lt;=400, 1600, 7300))</f>
        <v>7300</v>
      </c>
      <c r="K34" s="144">
        <f>INT(IF((Sheet2!E55+C25)&lt;=200, (Sheet2!E55+C25)*120, IF((Sheet2!E55+C25)&lt;=400, 24000+((Sheet2!E55+C25)-200)*214.6, 66920+((Sheet2!E55+C25)-400)*307.3)))</f>
        <v>84926</v>
      </c>
      <c r="L34" s="144">
        <f>INT((Sheet2!E55+C25)*9)</f>
        <v>4127</v>
      </c>
      <c r="M34" s="144">
        <f>INT((Sheet2!E55+C25)*5)</f>
        <v>2292</v>
      </c>
      <c r="N34" s="144">
        <f t="shared" si="8"/>
        <v>98645</v>
      </c>
      <c r="O34" s="144">
        <f t="shared" si="9"/>
        <v>9865</v>
      </c>
      <c r="P34" s="144">
        <f t="shared" si="10"/>
        <v>2660</v>
      </c>
      <c r="Q34" s="144">
        <f t="shared" si="11"/>
        <v>111170</v>
      </c>
      <c r="R34" s="144">
        <f>Q34*(Sheet2!E55/(Sheet2!E55+C25))</f>
        <v>43827.472724503234</v>
      </c>
      <c r="S34" s="145"/>
      <c r="T34" s="145"/>
      <c r="U34" s="146"/>
      <c r="AK34" s="130"/>
    </row>
    <row r="35" spans="2:37">
      <c r="H35" s="143"/>
      <c r="I35">
        <v>4</v>
      </c>
      <c r="J35">
        <f>IF((Sheet2!F55+C26)&lt;=200, 910, IF((Sheet2!F55+C26)&lt;=400, 1600, 7300))</f>
        <v>1600</v>
      </c>
      <c r="K35" s="144">
        <f>INT(IF((Sheet2!F55+C26)&lt;=200, (Sheet2!F55+C26)*120, IF((Sheet2!F55+C26)&lt;=400, 24000+((Sheet2!F55+C26)-200)*214.6, 66920+((Sheet2!F55+C26)-400)*307.3)))</f>
        <v>57912</v>
      </c>
      <c r="L35" s="144">
        <f>INT((Sheet2!F55+C26)*9)</f>
        <v>3222</v>
      </c>
      <c r="M35" s="144">
        <f>INT((Sheet2!F55+C26)*5)</f>
        <v>1790</v>
      </c>
      <c r="N35" s="144">
        <f t="shared" si="8"/>
        <v>64524</v>
      </c>
      <c r="O35" s="144">
        <f t="shared" si="9"/>
        <v>6452</v>
      </c>
      <c r="P35" s="144">
        <f t="shared" si="10"/>
        <v>1740</v>
      </c>
      <c r="Q35" s="144">
        <f t="shared" si="11"/>
        <v>72710</v>
      </c>
      <c r="R35" s="144">
        <f>Q35*(Sheet2!F55/(Sheet2!F55+C26))</f>
        <v>20801.320836994091</v>
      </c>
      <c r="S35" s="145"/>
      <c r="T35" s="145"/>
      <c r="U35" s="146"/>
      <c r="AK35" s="130"/>
    </row>
    <row r="36" spans="2:37">
      <c r="C36" t="s">
        <v>431</v>
      </c>
      <c r="H36" s="143"/>
      <c r="I36">
        <v>5</v>
      </c>
      <c r="J36">
        <f>IF((Sheet2!G55+C27)&lt;=200, 910, IF((Sheet2!G55+C27)&lt;=400, 1600, 7300))</f>
        <v>1600</v>
      </c>
      <c r="K36" s="144">
        <f>INT(IF((Sheet2!G55+C27)&lt;=200, (Sheet2!G55+C27)*120, IF((Sheet2!G55+C27)&lt;=400, 24000+((Sheet2!G55+C27)-200)*214.6, 66920+((Sheet2!G55+C27)-400)*307.3)))</f>
        <v>44590</v>
      </c>
      <c r="L36" s="144">
        <f>INT((Sheet2!G55+C27)*9)</f>
        <v>2663</v>
      </c>
      <c r="M36" s="144">
        <f>INT((Sheet2!G55+C27)*5)</f>
        <v>1479</v>
      </c>
      <c r="N36" s="144">
        <f t="shared" si="8"/>
        <v>50332</v>
      </c>
      <c r="O36" s="144">
        <f t="shared" si="9"/>
        <v>5033</v>
      </c>
      <c r="P36" s="144">
        <f t="shared" si="10"/>
        <v>1350</v>
      </c>
      <c r="Q36" s="144">
        <f t="shared" si="11"/>
        <v>56710</v>
      </c>
      <c r="R36" s="144">
        <f>Q36*(Sheet2!G55/(Sheet2!G55+C27))</f>
        <v>10050.3985399046</v>
      </c>
      <c r="S36" s="145"/>
      <c r="T36" s="145"/>
      <c r="U36" s="146"/>
      <c r="AK36" s="130"/>
    </row>
    <row r="37" spans="2:37">
      <c r="B37" s="125">
        <v>1</v>
      </c>
      <c r="C37" s="129">
        <f>IFERROR(INDEX($AM$5:$AM$21, MATCH(Sheet2!$B$19, $AK$5:$AK$21, 0)) * Sheet2!$C$29, 0)</f>
        <v>228.18573000000004</v>
      </c>
      <c r="D37" s="128">
        <v>1</v>
      </c>
      <c r="H37" s="143"/>
      <c r="I37">
        <v>6</v>
      </c>
      <c r="J37">
        <f>IF((Sheet2!H55+C28)&lt;=200, 910, IF((Sheet2!H55+C28)&lt;=400, 1600, 7300))</f>
        <v>1600</v>
      </c>
      <c r="K37" s="144">
        <f>INT(IF((Sheet2!H55+C28)&lt;=200, (Sheet2!H55+C28)*120, IF((Sheet2!H55+C28)&lt;=400, 24000+((Sheet2!H55+C28)-200)*214.6, 66920+((Sheet2!H55+C28)-400)*307.3)))</f>
        <v>40203</v>
      </c>
      <c r="L37" s="144">
        <f>INT((Sheet2!H55+C28)*9)</f>
        <v>2479</v>
      </c>
      <c r="M37" s="144">
        <f>INT((Sheet2!H55+C28)*5)</f>
        <v>1377</v>
      </c>
      <c r="N37" s="144">
        <f t="shared" si="8"/>
        <v>45659</v>
      </c>
      <c r="O37" s="144">
        <f t="shared" si="9"/>
        <v>4566</v>
      </c>
      <c r="P37" s="144">
        <f t="shared" si="10"/>
        <v>1230</v>
      </c>
      <c r="Q37" s="144">
        <f t="shared" si="11"/>
        <v>51450</v>
      </c>
      <c r="R37" s="144">
        <f>Q37*(Sheet2!H55/(Sheet2!H55+C28))</f>
        <v>5659.553825336734</v>
      </c>
      <c r="S37" s="145"/>
      <c r="T37" s="145"/>
      <c r="U37" s="146"/>
      <c r="AK37" s="130"/>
    </row>
    <row r="38" spans="2:37">
      <c r="B38" s="125">
        <v>2</v>
      </c>
      <c r="C38" s="129">
        <f>IFERROR(INDEX($AN$5:$AN$21, MATCH(Sheet2!$B$19, $AK$5:$AK$21, 0)) * Sheet2!$C$29, 0)</f>
        <v>280.27188000000001</v>
      </c>
      <c r="D38" s="128">
        <v>2</v>
      </c>
      <c r="H38" s="143"/>
      <c r="I38">
        <v>7</v>
      </c>
      <c r="J38">
        <f>IF((Sheet2!I55+C29)&lt;=300, 910, IF((Sheet2!I55+C29)&lt;=450, 1600, 7300))</f>
        <v>1600</v>
      </c>
      <c r="K38">
        <f>INT(IF((Sheet2!I55+C29)&lt;=300, (Sheet2!I55+C29)*120, IF((Sheet2!I55+C29)&lt;=450, 36000+((Sheet2!I55+C29)-300)*214.6, 68190+((Sheet2!I55+C29)-450)*307.3)))</f>
        <v>42700</v>
      </c>
      <c r="L38" s="144">
        <f>INT((Sheet2!I55+C29)*9)</f>
        <v>2980</v>
      </c>
      <c r="M38" s="144">
        <f>INT((Sheet2!I55+C29)*5)</f>
        <v>1656</v>
      </c>
      <c r="N38" s="144">
        <f t="shared" si="8"/>
        <v>48936</v>
      </c>
      <c r="O38" s="144">
        <f t="shared" si="9"/>
        <v>4894</v>
      </c>
      <c r="P38" s="144">
        <f t="shared" si="10"/>
        <v>1320</v>
      </c>
      <c r="Q38" s="144">
        <f t="shared" si="11"/>
        <v>55150</v>
      </c>
      <c r="R38" s="144">
        <f>Q38*(Sheet2!I55/(Sheet2!I55+C29))</f>
        <v>2867.5114991983742</v>
      </c>
      <c r="S38" s="145"/>
      <c r="T38" s="145"/>
      <c r="U38" s="146"/>
      <c r="AK38" s="130"/>
    </row>
    <row r="39" spans="2:37">
      <c r="B39" s="125">
        <v>3</v>
      </c>
      <c r="C39" s="129">
        <f>IFERROR(INDEX($AO$5:$AO$21, MATCH(Sheet2!$B$19, $AK$5:$AK$21, 0)) * Sheet2!$C$29, 0)</f>
        <v>301.61574000000002</v>
      </c>
      <c r="D39" s="128">
        <v>3</v>
      </c>
      <c r="H39" s="143"/>
      <c r="I39">
        <v>8</v>
      </c>
      <c r="J39">
        <f>IF((Sheet2!J55+C30)&lt;=300, 910, IF((Sheet2!J55+C30)&lt;=450, 1600, 7300))</f>
        <v>1600</v>
      </c>
      <c r="K39">
        <f>INT(IF((Sheet2!J55+C30)&lt;=300, (Sheet2!J55+C30)*120, IF((Sheet2!J55+C30)&lt;=450, 36000+((Sheet2!J55+C30)-300)*214.6, 68190+((Sheet2!J55+C30)-450)*307.3)))</f>
        <v>50847</v>
      </c>
      <c r="L39" s="144">
        <f>INT((Sheet2!J55+C30)*9)</f>
        <v>3322</v>
      </c>
      <c r="M39" s="144">
        <f>INT((Sheet2!J55+C30)*5)</f>
        <v>1845</v>
      </c>
      <c r="N39" s="144">
        <f t="shared" si="8"/>
        <v>57614</v>
      </c>
      <c r="O39" s="144">
        <f t="shared" si="9"/>
        <v>5761</v>
      </c>
      <c r="P39" s="144">
        <f t="shared" si="10"/>
        <v>1550</v>
      </c>
      <c r="Q39" s="144">
        <f t="shared" si="11"/>
        <v>64920</v>
      </c>
      <c r="R39" s="144">
        <f>Q39*(Sheet2!J55/(Sheet2!J55+C30))</f>
        <v>2705.3452950392707</v>
      </c>
      <c r="S39" s="145"/>
      <c r="T39" s="145"/>
      <c r="U39" s="146"/>
      <c r="AK39" s="130"/>
    </row>
    <row r="40" spans="2:37">
      <c r="B40" s="125">
        <v>4</v>
      </c>
      <c r="C40" s="129">
        <f>IFERROR(INDEX($AP$5:$AP$21, MATCH(Sheet2!$B$19, $AK$5:$AK$21, 0)) * Sheet2!$C$29, 0)</f>
        <v>350.72190000000001</v>
      </c>
      <c r="D40" s="128">
        <v>4</v>
      </c>
      <c r="H40" s="143"/>
      <c r="I40">
        <v>9</v>
      </c>
      <c r="J40">
        <f>IF((Sheet2!K55+C31)&lt;=200, 910, IF((Sheet2!K55+C31)&lt;=400, 1600, 7300))</f>
        <v>1600</v>
      </c>
      <c r="K40" s="144">
        <f>INT(IF((Sheet2!K55+C31)&lt;=200, (Sheet2!K55+C31)*120, IF((Sheet2!K55+C31)&lt;=400, 24000+((Sheet2!K55+C31)-200)*214.6, 66920+((Sheet2!K55+C31)-400)*307.3)))</f>
        <v>47019</v>
      </c>
      <c r="L40" s="144">
        <f>INT((Sheet2!K55+C31)*9)</f>
        <v>2765</v>
      </c>
      <c r="M40" s="144">
        <f>INT((Sheet2!K55+C31)*5)</f>
        <v>1536</v>
      </c>
      <c r="N40" s="144">
        <f t="shared" si="8"/>
        <v>52920</v>
      </c>
      <c r="O40" s="144">
        <f t="shared" si="9"/>
        <v>5292</v>
      </c>
      <c r="P40" s="144">
        <f t="shared" si="10"/>
        <v>1420</v>
      </c>
      <c r="Q40" s="144">
        <f t="shared" si="11"/>
        <v>59630</v>
      </c>
      <c r="R40" s="144">
        <f>Q40*(Sheet2!K55/(Sheet2!K55+C31))</f>
        <v>4670.7432792271347</v>
      </c>
      <c r="S40" s="145"/>
      <c r="T40" s="145"/>
      <c r="U40" s="146"/>
      <c r="AK40" s="9"/>
    </row>
    <row r="41" spans="2:37">
      <c r="B41" s="125">
        <v>5</v>
      </c>
      <c r="C41" s="129">
        <f>IFERROR(INDEX($AQ$5:$AQ$21, MATCH(Sheet2!$B$19, $AK$5:$AK$21, 0)) * Sheet2!$C$29, 0)</f>
        <v>322.14456000000001</v>
      </c>
      <c r="D41" s="128">
        <v>5</v>
      </c>
      <c r="H41" s="143"/>
      <c r="I41">
        <v>10</v>
      </c>
      <c r="J41">
        <f>IF((Sheet2!L55+C32)&lt;=200, 910, IF((Sheet2!L55+C32)&lt;=400, 1600, 7300))</f>
        <v>1600</v>
      </c>
      <c r="K41" s="144">
        <f>INT(IF((Sheet2!L55+C32)&lt;=200, (Sheet2!L55+C32)*120, IF((Sheet2!L55+C32)&lt;=400, 24000+((Sheet2!L55+C32)-200)*214.6, 66920+((Sheet2!L55+C32)-400)*307.3)))</f>
        <v>41327</v>
      </c>
      <c r="L41" s="144">
        <f>INT((Sheet2!L55+C32)*9)</f>
        <v>2526</v>
      </c>
      <c r="M41" s="144">
        <f>INT((Sheet2!L55+C32)*5)</f>
        <v>1403</v>
      </c>
      <c r="N41" s="144">
        <f t="shared" si="8"/>
        <v>46856</v>
      </c>
      <c r="O41" s="144">
        <f t="shared" si="9"/>
        <v>4686</v>
      </c>
      <c r="P41" s="144">
        <f t="shared" si="10"/>
        <v>1260</v>
      </c>
      <c r="Q41" s="144">
        <f t="shared" si="11"/>
        <v>52800</v>
      </c>
      <c r="R41" s="144">
        <f>Q41*(Sheet2!L55/(Sheet2!L55+C32))</f>
        <v>6665.9348389648339</v>
      </c>
      <c r="S41" s="145"/>
      <c r="T41" s="145"/>
      <c r="U41" s="146"/>
      <c r="AK41" s="9"/>
    </row>
    <row r="42" spans="2:37">
      <c r="B42" s="125">
        <v>6</v>
      </c>
      <c r="C42" s="129">
        <f>IFERROR(INDEX($AR$5:$AR$21, MATCH(Sheet2!$B$19, $AK$5:$AK$21, 0)) * Sheet2!$C$29, 0)</f>
        <v>325.50659999999999</v>
      </c>
      <c r="D42" s="128">
        <v>6</v>
      </c>
      <c r="H42" s="143"/>
      <c r="I42">
        <v>11</v>
      </c>
      <c r="J42">
        <f>IF((Sheet2!M55+C33)&lt;=200, 910, IF((Sheet2!M55+C33)&lt;=400, 1600, 7300))</f>
        <v>1600</v>
      </c>
      <c r="K42" s="144">
        <f>INT(IF((Sheet2!M55+C33)&lt;=200, (Sheet2!M55+C33)*120, IF((Sheet2!M55+C33)&lt;=400, 24000+((Sheet2!M55+C33)-200)*214.6, 66920+((Sheet2!M55+C33)-400)*307.3)))</f>
        <v>53124</v>
      </c>
      <c r="L42" s="144">
        <f>INT((Sheet2!M55+C33)*9)</f>
        <v>3021</v>
      </c>
      <c r="M42" s="144">
        <f>INT((Sheet2!M55+C33)*5)</f>
        <v>1678</v>
      </c>
      <c r="N42" s="144">
        <f t="shared" si="8"/>
        <v>59423</v>
      </c>
      <c r="O42" s="144">
        <f t="shared" si="9"/>
        <v>5942</v>
      </c>
      <c r="P42" s="144">
        <f t="shared" si="10"/>
        <v>1600</v>
      </c>
      <c r="Q42" s="144">
        <f t="shared" si="11"/>
        <v>66960</v>
      </c>
      <c r="R42" s="144">
        <f>Q42*(Sheet2!M55/(Sheet2!M55+C33))</f>
        <v>15939.730467981732</v>
      </c>
      <c r="S42" s="145"/>
      <c r="T42" s="145"/>
      <c r="U42" s="146"/>
      <c r="AK42" s="6"/>
    </row>
    <row r="43" spans="2:37">
      <c r="B43" s="125">
        <v>7</v>
      </c>
      <c r="C43" s="129">
        <f>IFERROR(INDEX($AS$5:$AS$21, MATCH(Sheet2!$B$19, $AK$5:$AK$21, 0)) * Sheet2!$C$29, 0)</f>
        <v>357.67521000000005</v>
      </c>
      <c r="D43" s="128">
        <v>7</v>
      </c>
      <c r="H43" s="143"/>
      <c r="I43">
        <v>12</v>
      </c>
      <c r="J43">
        <f>IF((Sheet2!N55+C34)&lt;=200, 910, IF((Sheet2!N55+C34)&lt;=400, 1600, 7300))</f>
        <v>7300</v>
      </c>
      <c r="K43" s="144">
        <f>INT(IF((Sheet2!N55+C34)&lt;=200, (Sheet2!N55+C34)*120, IF((Sheet2!N55+C34)&lt;=400, 24000+((Sheet2!N55+C34)-200)*214.6, 66920+((Sheet2!N55+C34)-400)*307.3)))</f>
        <v>70555</v>
      </c>
      <c r="L43" s="144">
        <f>INT((Sheet2!N55+C34)*9)</f>
        <v>3706</v>
      </c>
      <c r="M43" s="144">
        <f>INT((Sheet2!N55+C34)*5)</f>
        <v>2059</v>
      </c>
      <c r="N43" s="144">
        <f t="shared" si="8"/>
        <v>83620</v>
      </c>
      <c r="O43" s="144">
        <f t="shared" si="9"/>
        <v>8362</v>
      </c>
      <c r="P43" s="144">
        <f t="shared" si="10"/>
        <v>2250</v>
      </c>
      <c r="Q43" s="144">
        <f t="shared" si="11"/>
        <v>94230</v>
      </c>
      <c r="R43" s="144">
        <f>Q43*(Sheet2!N55/(Sheet2!N55+C34))</f>
        <v>31536.479527217274</v>
      </c>
      <c r="S43" s="145"/>
      <c r="T43" s="145"/>
      <c r="U43" s="146"/>
      <c r="AK43" s="6"/>
    </row>
    <row r="44" spans="2:37">
      <c r="B44" s="125">
        <v>8</v>
      </c>
      <c r="C44" s="129">
        <f>IFERROR(INDEX($AT$5:$AT$21, MATCH(Sheet2!$B$19, $AK$5:$AK$21, 0)) * Sheet2!$C$29, 0)</f>
        <v>233.71272000000005</v>
      </c>
      <c r="D44" s="128">
        <v>8</v>
      </c>
      <c r="H44" s="143"/>
      <c r="I44" t="s">
        <v>81</v>
      </c>
      <c r="J44" s="6" t="s">
        <v>386</v>
      </c>
      <c r="K44" s="6" t="s">
        <v>387</v>
      </c>
      <c r="L44" s="6" t="s">
        <v>388</v>
      </c>
      <c r="M44" s="6" t="s">
        <v>389</v>
      </c>
      <c r="N44" s="6" t="s">
        <v>390</v>
      </c>
      <c r="O44" s="6" t="s">
        <v>391</v>
      </c>
      <c r="P44" s="6" t="s">
        <v>392</v>
      </c>
      <c r="Q44" s="6" t="s">
        <v>393</v>
      </c>
      <c r="R44" s="6" t="s">
        <v>414</v>
      </c>
      <c r="S44" s="147">
        <f>SUM(R45:R56)</f>
        <v>222554.4926197938</v>
      </c>
      <c r="T44" s="147">
        <f>Sheet2!O18</f>
        <v>650516.39601400623</v>
      </c>
      <c r="U44" s="148">
        <f>(T44-S44)/T44</f>
        <v>0.65788027176028008</v>
      </c>
    </row>
    <row r="45" spans="2:37">
      <c r="B45" s="125">
        <v>9</v>
      </c>
      <c r="C45" s="129">
        <f>IFERROR(INDEX($AU$5:$AU$21, MATCH(Sheet2!$B$19, $AK$5:$AK$21, 0)) * Sheet2!$C$29, 0)</f>
        <v>197.13780000000003</v>
      </c>
      <c r="D45" s="128">
        <v>9</v>
      </c>
      <c r="H45" s="143"/>
      <c r="I45">
        <v>1</v>
      </c>
      <c r="J45">
        <f>IF((Sheet2!C56+C23)&lt;=200, 910, IF((Sheet2!C56+C23)&lt;=400, 1600, 7300))</f>
        <v>7300</v>
      </c>
      <c r="K45" s="144">
        <f>INT(IF((Sheet2!C56+C23)&lt;=200, (Sheet2!C56+C23)*120, IF((Sheet2!C56+C23)&lt;=400, 24000+((Sheet2!C56+C23)-200)*214.6, 66920+((Sheet2!C56+C23)-400)*307.3)))</f>
        <v>106984</v>
      </c>
      <c r="L45" s="144">
        <f>INT((Sheet2!C56+C23)*9)</f>
        <v>4773</v>
      </c>
      <c r="M45" s="144">
        <f>INT((Sheet2!C56+C23)*5)</f>
        <v>2651</v>
      </c>
      <c r="N45" s="144">
        <f t="shared" ref="N45:N56" si="12">SUM(J45:M45)</f>
        <v>121708</v>
      </c>
      <c r="O45" s="144">
        <f t="shared" ref="O45:O56" si="13">ROUND(N45*0.1, 0)</f>
        <v>12171</v>
      </c>
      <c r="P45" s="144">
        <f t="shared" ref="P45:P56" si="14">FLOOR(N45*0.027, 10)</f>
        <v>3280</v>
      </c>
      <c r="Q45" s="144">
        <f t="shared" ref="Q45:Q56" si="15">FLOOR(N45+O45+P45, 10)</f>
        <v>137150</v>
      </c>
      <c r="R45" s="144">
        <f>Q45*(Sheet2!C56/(Sheet2!C56+C23))</f>
        <v>58150.806135579376</v>
      </c>
      <c r="S45" s="145"/>
      <c r="T45" s="145"/>
      <c r="U45" s="146"/>
    </row>
    <row r="46" spans="2:37">
      <c r="B46" s="125">
        <v>10</v>
      </c>
      <c r="C46" s="129">
        <f>IFERROR(INDEX($AV$5:$AV$21, MATCH(Sheet2!$B$19, $AK$5:$AK$21, 0)) * Sheet2!$C$29, 0)</f>
        <v>247.13541000000004</v>
      </c>
      <c r="D46" s="128">
        <v>10</v>
      </c>
      <c r="H46" s="143"/>
      <c r="I46">
        <v>2</v>
      </c>
      <c r="J46">
        <f>IF((Sheet2!D56+C24)&lt;=200, 910, IF((Sheet2!D56+C24)&lt;=400, 1600, 7300))</f>
        <v>7300</v>
      </c>
      <c r="K46" s="144">
        <f>INT(IF((Sheet2!D56+C24)&lt;=200, (Sheet2!D56+C24)*120, IF((Sheet2!D56+C24)&lt;=400, 24000+((Sheet2!D56+C24)-200)*214.6, 66920+((Sheet2!D56+C24)-400)*307.3)))</f>
        <v>98494</v>
      </c>
      <c r="L46" s="144">
        <f>INT((Sheet2!D56+C24)*9)</f>
        <v>4524</v>
      </c>
      <c r="M46" s="144">
        <f>INT((Sheet2!D56+C24)*5)</f>
        <v>2513</v>
      </c>
      <c r="N46" s="144">
        <f t="shared" si="12"/>
        <v>112831</v>
      </c>
      <c r="O46" s="144">
        <f t="shared" si="13"/>
        <v>11283</v>
      </c>
      <c r="P46" s="144">
        <f t="shared" si="14"/>
        <v>3040</v>
      </c>
      <c r="Q46" s="144">
        <f t="shared" si="15"/>
        <v>127150</v>
      </c>
      <c r="R46" s="144">
        <f>Q46*(Sheet2!D56/(Sheet2!D56+C24))</f>
        <v>51099.993525591737</v>
      </c>
      <c r="S46" s="145"/>
      <c r="T46" s="145"/>
      <c r="U46" s="146"/>
    </row>
    <row r="47" spans="2:37">
      <c r="B47" s="125">
        <v>11</v>
      </c>
      <c r="C47" s="129">
        <f>IFERROR(INDEX($AW$5:$AW$21, MATCH(Sheet2!$B$19, $AK$5:$AK$21, 0)) * Sheet2!$C$29, 0)</f>
        <v>239.16330000000002</v>
      </c>
      <c r="D47" s="128">
        <v>11</v>
      </c>
      <c r="H47" s="143"/>
      <c r="I47">
        <v>3</v>
      </c>
      <c r="J47">
        <f>IF((Sheet2!E56+C25)&lt;=200, 910, IF((Sheet2!E56+C25)&lt;=400, 1600, 7300))</f>
        <v>7300</v>
      </c>
      <c r="K47" s="144">
        <f>INT(IF((Sheet2!E56+C25)&lt;=200, (Sheet2!E56+C25)*120, IF((Sheet2!E56+C25)&lt;=400, 24000+((Sheet2!E56+C25)-200)*214.6, 66920+((Sheet2!E56+C25)-400)*307.3)))</f>
        <v>74587</v>
      </c>
      <c r="L47" s="144">
        <f>INT((Sheet2!E56+C25)*9)</f>
        <v>3824</v>
      </c>
      <c r="M47" s="144">
        <f>INT((Sheet2!E56+C25)*5)</f>
        <v>2124</v>
      </c>
      <c r="N47" s="144">
        <f t="shared" si="12"/>
        <v>87835</v>
      </c>
      <c r="O47" s="144">
        <f t="shared" si="13"/>
        <v>8784</v>
      </c>
      <c r="P47" s="144">
        <f t="shared" si="14"/>
        <v>2370</v>
      </c>
      <c r="Q47" s="144">
        <f t="shared" si="15"/>
        <v>98980</v>
      </c>
      <c r="R47" s="144">
        <f>Q47*(Sheet2!E56/(Sheet2!E56+C25))</f>
        <v>34274.407396719122</v>
      </c>
      <c r="S47" s="145"/>
      <c r="T47" s="145"/>
      <c r="U47" s="146"/>
    </row>
    <row r="48" spans="2:37">
      <c r="B48" s="125">
        <v>12</v>
      </c>
      <c r="C48" s="129">
        <f>IFERROR(INDEX($AX$5:$AX$21, MATCH(Sheet2!$B$19, $AK$5:$AK$21, 0)) * Sheet2!$C$29, 0)</f>
        <v>203.70906000000002</v>
      </c>
      <c r="D48" s="128">
        <v>12</v>
      </c>
      <c r="H48" s="143"/>
      <c r="I48">
        <v>4</v>
      </c>
      <c r="J48">
        <f>IF((Sheet2!F56+C26)&lt;=200, 910, IF((Sheet2!F56+C26)&lt;=400, 1600, 7300))</f>
        <v>1600</v>
      </c>
      <c r="K48" s="144">
        <f>INT(IF((Sheet2!F56+C26)&lt;=200, (Sheet2!F56+C26)*120, IF((Sheet2!F56+C26)&lt;=400, 24000+((Sheet2!F56+C26)-200)*214.6, 66920+((Sheet2!F56+C26)-400)*307.3)))</f>
        <v>53821</v>
      </c>
      <c r="L48" s="144">
        <f>INT((Sheet2!F56+C26)*9)</f>
        <v>3050</v>
      </c>
      <c r="M48" s="144">
        <f>INT((Sheet2!F56+C26)*5)</f>
        <v>1694</v>
      </c>
      <c r="N48" s="144">
        <f t="shared" si="12"/>
        <v>60165</v>
      </c>
      <c r="O48" s="144">
        <f t="shared" si="13"/>
        <v>6017</v>
      </c>
      <c r="P48" s="144">
        <f t="shared" si="14"/>
        <v>1620</v>
      </c>
      <c r="Q48" s="144">
        <f t="shared" si="15"/>
        <v>67800</v>
      </c>
      <c r="R48" s="144">
        <f>Q48*(Sheet2!F56/(Sheet2!F56+C26))</f>
        <v>16674.696899915099</v>
      </c>
      <c r="S48" s="145"/>
      <c r="T48" s="145"/>
      <c r="U48" s="146"/>
    </row>
    <row r="49" spans="7:21">
      <c r="H49" s="143"/>
      <c r="I49">
        <v>5</v>
      </c>
      <c r="J49">
        <f>IF((Sheet2!G56+C27)&lt;=200, 910, IF((Sheet2!G56+C27)&lt;=400, 1600, 7300))</f>
        <v>1600</v>
      </c>
      <c r="K49" s="144">
        <f>INT(IF((Sheet2!G56+C27)&lt;=200, (Sheet2!G56+C27)*120, IF((Sheet2!G56+C27)&lt;=400, 24000+((Sheet2!G56+C27)-200)*214.6, 66920+((Sheet2!G56+C27)-400)*307.3)))</f>
        <v>42496</v>
      </c>
      <c r="L49" s="144">
        <f>INT((Sheet2!G56+C27)*9)</f>
        <v>2575</v>
      </c>
      <c r="M49" s="144">
        <f>INT((Sheet2!G56+C27)*5)</f>
        <v>1430</v>
      </c>
      <c r="N49" s="144">
        <f t="shared" si="12"/>
        <v>48101</v>
      </c>
      <c r="O49" s="144">
        <f t="shared" si="13"/>
        <v>4810</v>
      </c>
      <c r="P49" s="144">
        <f t="shared" si="14"/>
        <v>1290</v>
      </c>
      <c r="Q49" s="144">
        <f t="shared" si="15"/>
        <v>54200</v>
      </c>
      <c r="R49" s="144">
        <f>Q49*(Sheet2!G56/(Sheet2!G56+C27))</f>
        <v>8084.6129831356766</v>
      </c>
      <c r="S49" s="145"/>
      <c r="T49" s="145"/>
      <c r="U49" s="146"/>
    </row>
    <row r="50" spans="7:21">
      <c r="H50" s="143"/>
      <c r="I50">
        <v>6</v>
      </c>
      <c r="J50">
        <f>IF((Sheet2!H56+C28)&lt;=200, 910, IF((Sheet2!H56+C28)&lt;=400, 1600, 7300))</f>
        <v>1600</v>
      </c>
      <c r="K50" s="144">
        <f>INT(IF((Sheet2!H56+C28)&lt;=200, (Sheet2!H56+C28)*120, IF((Sheet2!H56+C28)&lt;=400, 24000+((Sheet2!H56+C28)-200)*214.6, 66920+((Sheet2!H56+C28)-400)*307.3)))</f>
        <v>38993</v>
      </c>
      <c r="L50" s="144">
        <f>INT((Sheet2!H56+C28)*9)</f>
        <v>2428</v>
      </c>
      <c r="M50" s="144">
        <f>INT((Sheet2!H56+C28)*5)</f>
        <v>1349</v>
      </c>
      <c r="N50" s="144">
        <f t="shared" si="12"/>
        <v>44370</v>
      </c>
      <c r="O50" s="144">
        <f t="shared" si="13"/>
        <v>4437</v>
      </c>
      <c r="P50" s="144">
        <f t="shared" si="14"/>
        <v>1190</v>
      </c>
      <c r="Q50" s="144">
        <f t="shared" si="15"/>
        <v>49990</v>
      </c>
      <c r="R50" s="144">
        <f>Q50*(Sheet2!H56/(Sheet2!H56+C28))</f>
        <v>4569.1335513234153</v>
      </c>
      <c r="S50" s="145"/>
      <c r="T50" s="145"/>
      <c r="U50" s="146"/>
    </row>
    <row r="51" spans="7:21">
      <c r="H51" s="143"/>
      <c r="I51">
        <v>7</v>
      </c>
      <c r="J51">
        <f>IF((Sheet2!I56+C29)&lt;=300, 910, IF((Sheet2!I56+C29)&lt;=450, 1600, 7300))</f>
        <v>1600</v>
      </c>
      <c r="K51">
        <f>INT(IF((Sheet2!I56+C29)&lt;=300, (Sheet2!I56+C29)*120, IF((Sheet2!I56+C29)&lt;=450, 36000+((Sheet2!I56+C29)-300)*214.6, 68190+((Sheet2!I56+C29)-450)*307.3)))</f>
        <v>42012</v>
      </c>
      <c r="L51" s="144">
        <f>INT((Sheet2!I56+C29)*9)</f>
        <v>2952</v>
      </c>
      <c r="M51" s="144">
        <f>INT((Sheet2!I56+C29)*5)</f>
        <v>1640</v>
      </c>
      <c r="N51" s="144">
        <f t="shared" si="12"/>
        <v>48204</v>
      </c>
      <c r="O51" s="144">
        <f t="shared" si="13"/>
        <v>4820</v>
      </c>
      <c r="P51" s="144">
        <f t="shared" si="14"/>
        <v>1300</v>
      </c>
      <c r="Q51" s="144">
        <f t="shared" si="15"/>
        <v>54320</v>
      </c>
      <c r="R51" s="144">
        <f>Q51*(Sheet2!I56/(Sheet2!I56+C29))</f>
        <v>2321.2040689767841</v>
      </c>
      <c r="S51" s="145"/>
      <c r="T51" s="145"/>
      <c r="U51" s="146"/>
    </row>
    <row r="52" spans="7:21">
      <c r="H52" s="143"/>
      <c r="I52">
        <v>8</v>
      </c>
      <c r="J52">
        <f>IF((Sheet2!J56+C30)&lt;=300, 910, IF((Sheet2!J56+C30)&lt;=450, 1600, 7300))</f>
        <v>1600</v>
      </c>
      <c r="K52">
        <f>INT(IF((Sheet2!J56+C30)&lt;=300, (Sheet2!J56+C30)*120, IF((Sheet2!J56+C30)&lt;=450, 36000+((Sheet2!J56+C30)-300)*214.6, 68190+((Sheet2!J56+C30)-450)*307.3)))</f>
        <v>50232</v>
      </c>
      <c r="L52" s="144">
        <f>INT((Sheet2!J56+C30)*9)</f>
        <v>3296</v>
      </c>
      <c r="M52" s="144">
        <f>INT((Sheet2!J56+C30)*5)</f>
        <v>1831</v>
      </c>
      <c r="N52" s="144">
        <f t="shared" si="12"/>
        <v>56959</v>
      </c>
      <c r="O52" s="144">
        <f t="shared" si="13"/>
        <v>5696</v>
      </c>
      <c r="P52" s="144">
        <f t="shared" si="14"/>
        <v>1530</v>
      </c>
      <c r="Q52" s="144">
        <f t="shared" si="15"/>
        <v>64180</v>
      </c>
      <c r="R52" s="144">
        <f>Q52*(Sheet2!J56/(Sheet2!J56+C30))</f>
        <v>2193.7956486467865</v>
      </c>
      <c r="S52" s="145"/>
      <c r="T52" s="145"/>
      <c r="U52" s="146"/>
    </row>
    <row r="53" spans="7:21">
      <c r="H53" s="143"/>
      <c r="I53">
        <v>9</v>
      </c>
      <c r="J53">
        <f>IF((Sheet2!K56+C31)&lt;=200, 910, IF((Sheet2!K56+C31)&lt;=400, 1600, 7300))</f>
        <v>1600</v>
      </c>
      <c r="K53" s="144">
        <f>INT(IF((Sheet2!K56+C31)&lt;=200, (Sheet2!K56+C31)*120, IF((Sheet2!K56+C31)&lt;=400, 24000+((Sheet2!K56+C31)-200)*214.6, 66920+((Sheet2!K56+C31)-400)*307.3)))</f>
        <v>46058</v>
      </c>
      <c r="L53" s="144">
        <f>INT((Sheet2!K56+C31)*9)</f>
        <v>2725</v>
      </c>
      <c r="M53" s="144">
        <f>INT((Sheet2!K56+C31)*5)</f>
        <v>1513</v>
      </c>
      <c r="N53" s="144">
        <f t="shared" si="12"/>
        <v>51896</v>
      </c>
      <c r="O53" s="144">
        <f t="shared" si="13"/>
        <v>5190</v>
      </c>
      <c r="P53" s="144">
        <f t="shared" si="14"/>
        <v>1400</v>
      </c>
      <c r="Q53" s="144">
        <f t="shared" si="15"/>
        <v>58480</v>
      </c>
      <c r="R53" s="144">
        <f>Q53*(Sheet2!K56/(Sheet2!K56+C31))</f>
        <v>3783.3538555219102</v>
      </c>
      <c r="S53" s="145"/>
      <c r="T53" s="145"/>
      <c r="U53" s="146"/>
    </row>
    <row r="54" spans="7:21">
      <c r="H54" s="143"/>
      <c r="I54">
        <v>10</v>
      </c>
      <c r="J54">
        <f>IF((Sheet2!L56+C32)&lt;=200, 910, IF((Sheet2!L56+C32)&lt;=400, 1600, 7300))</f>
        <v>1600</v>
      </c>
      <c r="K54" s="144">
        <f>INT(IF((Sheet2!L56+C32)&lt;=200, (Sheet2!L56+C32)*120, IF((Sheet2!L56+C32)&lt;=400, 24000+((Sheet2!L56+C32)-200)*214.6, 66920+((Sheet2!L56+C32)-400)*307.3)))</f>
        <v>39912</v>
      </c>
      <c r="L54" s="144">
        <f>INT((Sheet2!L56+C32)*9)</f>
        <v>2467</v>
      </c>
      <c r="M54" s="144">
        <f>INT((Sheet2!L56+C32)*5)</f>
        <v>1370</v>
      </c>
      <c r="N54" s="144">
        <f t="shared" si="12"/>
        <v>45349</v>
      </c>
      <c r="O54" s="144">
        <f t="shared" si="13"/>
        <v>4535</v>
      </c>
      <c r="P54" s="144">
        <f t="shared" si="14"/>
        <v>1220</v>
      </c>
      <c r="Q54" s="144">
        <f t="shared" si="15"/>
        <v>51100</v>
      </c>
      <c r="R54" s="144">
        <f>Q54*(Sheet2!L56/(Sheet2!L56+C32))</f>
        <v>5377.0569303113689</v>
      </c>
      <c r="S54" s="145"/>
      <c r="T54" s="145"/>
      <c r="U54" s="146"/>
    </row>
    <row r="55" spans="7:21">
      <c r="H55" s="143"/>
      <c r="I55">
        <v>11</v>
      </c>
      <c r="J55">
        <f>IF((Sheet2!M56+C33)&lt;=200, 910, IF((Sheet2!M56+C33)&lt;=400, 1600, 7300))</f>
        <v>1600</v>
      </c>
      <c r="K55" s="144">
        <f>INT(IF((Sheet2!M56+C33)&lt;=200, (Sheet2!M56+C33)*120, IF((Sheet2!M56+C33)&lt;=400, 24000+((Sheet2!M56+C33)-200)*214.6, 66920+((Sheet2!M56+C33)-400)*307.3)))</f>
        <v>49933</v>
      </c>
      <c r="L55" s="144">
        <f>INT((Sheet2!M56+C33)*9)</f>
        <v>2887</v>
      </c>
      <c r="M55" s="144">
        <f>INT((Sheet2!M56+C33)*5)</f>
        <v>1604</v>
      </c>
      <c r="N55" s="144">
        <f t="shared" si="12"/>
        <v>56024</v>
      </c>
      <c r="O55" s="144">
        <f t="shared" si="13"/>
        <v>5602</v>
      </c>
      <c r="P55" s="144">
        <f t="shared" si="14"/>
        <v>1510</v>
      </c>
      <c r="Q55" s="144">
        <f t="shared" si="15"/>
        <v>63130</v>
      </c>
      <c r="R55" s="144">
        <f>Q55*(Sheet2!M56/(Sheet2!M56+C33))</f>
        <v>12798.268432146857</v>
      </c>
      <c r="S55" s="145"/>
      <c r="T55" s="145"/>
      <c r="U55" s="146"/>
    </row>
    <row r="56" spans="7:21">
      <c r="H56" s="150"/>
      <c r="I56" s="55">
        <v>12</v>
      </c>
      <c r="J56" s="55">
        <f>IF((Sheet2!N56+C34)&lt;=200, 910, IF((Sheet2!N56+C34)&lt;=400, 1600, 7300))</f>
        <v>1600</v>
      </c>
      <c r="K56" s="151">
        <f>INT(IF((Sheet2!N56+C34)&lt;=200, (Sheet2!N56+C34)*120, IF((Sheet2!N56+C34)&lt;=400, 24000+((Sheet2!N56+C34)-200)*214.6, 66920+((Sheet2!N56+C34)-400)*307.3)))</f>
        <v>63954</v>
      </c>
      <c r="L56" s="151">
        <f>INT((Sheet2!N56+C34)*9)</f>
        <v>3475</v>
      </c>
      <c r="M56" s="151">
        <f>INT((Sheet2!N56+C34)*5)</f>
        <v>1930</v>
      </c>
      <c r="N56" s="151">
        <f t="shared" si="12"/>
        <v>70959</v>
      </c>
      <c r="O56" s="151">
        <f t="shared" si="13"/>
        <v>7096</v>
      </c>
      <c r="P56" s="151">
        <f t="shared" si="14"/>
        <v>1910</v>
      </c>
      <c r="Q56" s="151">
        <f t="shared" si="15"/>
        <v>79960</v>
      </c>
      <c r="R56" s="151">
        <f>Q56*(Sheet2!N56/(Sheet2!N56+C34))</f>
        <v>23227.163191925636</v>
      </c>
      <c r="S56" s="152"/>
      <c r="T56" s="152"/>
      <c r="U56" s="153"/>
    </row>
    <row r="57" spans="7:21">
      <c r="H57" s="139" t="s">
        <v>416</v>
      </c>
      <c r="I57" s="154" t="s">
        <v>78</v>
      </c>
      <c r="J57" s="154" t="s">
        <v>386</v>
      </c>
      <c r="K57" s="154" t="s">
        <v>387</v>
      </c>
      <c r="L57" s="154" t="s">
        <v>388</v>
      </c>
      <c r="M57" s="154" t="s">
        <v>389</v>
      </c>
      <c r="N57" s="154" t="s">
        <v>390</v>
      </c>
      <c r="O57" s="154" t="s">
        <v>391</v>
      </c>
      <c r="P57" s="154" t="s">
        <v>392</v>
      </c>
      <c r="Q57" s="154" t="s">
        <v>393</v>
      </c>
      <c r="R57" s="154" t="s">
        <v>432</v>
      </c>
      <c r="S57" s="141">
        <f>SUM(R58:R69)</f>
        <v>149425.22177467946</v>
      </c>
      <c r="T57" s="141">
        <f>Sheet2!O18</f>
        <v>650516.39601400623</v>
      </c>
      <c r="U57" s="142">
        <f>(T57-S57)/T57</f>
        <v>0.77029753179124749</v>
      </c>
    </row>
    <row r="58" spans="7:21">
      <c r="G58" s="136"/>
      <c r="H58" s="155"/>
      <c r="I58">
        <v>1</v>
      </c>
      <c r="J58" s="1">
        <f>IF(MAX(Sheet2!C53+C23-C37,0)&lt;=200, 910, IF(MAX(Sheet2!C53+C23-C37,0)&lt;=400, 1600, 7300))</f>
        <v>7300</v>
      </c>
      <c r="K58" s="1">
        <f>INT(IF(MAX(Sheet2!C53+C23-C37,0)&lt;=200, MAX(Sheet2!C53+C23-C37,0)*120, IF(MAX(Sheet2!C53+C23-C37,0)&lt;=400, 24000+(MAX(Sheet2!C53+C23-C37,0)-200)*214.6, 66920+(MAX(Sheet2!C53+C23-C37,0)-400)*307.3)))</f>
        <v>83403</v>
      </c>
      <c r="L58" s="1">
        <f>INT(MAX(Sheet2!C53+C23-C37,0)*9)</f>
        <v>4082</v>
      </c>
      <c r="M58" s="1">
        <f>INT(MAX(Sheet2!C53+C23-C37,0)*5)</f>
        <v>2268</v>
      </c>
      <c r="N58" s="1">
        <f t="shared" ref="N58" si="16">SUM(J58:M58)</f>
        <v>97053</v>
      </c>
      <c r="O58" s="1">
        <f t="shared" ref="O58" si="17">ROUND(N58*0.1, 0)</f>
        <v>9705</v>
      </c>
      <c r="P58" s="1">
        <f t="shared" ref="P58:P69" si="18">FLOOR(N58*0.027, 10)</f>
        <v>2620</v>
      </c>
      <c r="Q58" s="1">
        <f t="shared" ref="Q58" si="19">FLOOR(N58+O58+P58, 10)</f>
        <v>109370</v>
      </c>
      <c r="R58" s="145">
        <f>Q58*(Sheet2!C53/(Sheet2!C53+C23))</f>
        <v>60365.426618665675</v>
      </c>
      <c r="S58" s="145"/>
      <c r="T58" s="145"/>
      <c r="U58" s="146"/>
    </row>
    <row r="59" spans="7:21">
      <c r="G59" s="138"/>
      <c r="H59" s="143"/>
      <c r="I59">
        <v>2</v>
      </c>
      <c r="J59" s="1">
        <f>IF(MAX(Sheet2!D53+C24-C38,0)&lt;=200, 910, IF(MAX(Sheet2!D53+C24-C38,0)&lt;=400, 1600, 7300))</f>
        <v>1600</v>
      </c>
      <c r="K59" s="1">
        <f>INT(IF(MAX(Sheet2!D53+C24-C38,0)&lt;=200, MAX(Sheet2!D53+C24-C38,0)*120, IF(MAX(Sheet2!D53+C24-C38,0)&lt;=400, 24000+(MAX(Sheet2!D53+C24-C38,0)-200)*214.6, 66920+(MAX(Sheet2!D53+C24-C38,0)-400)*307.3)))</f>
        <v>58024</v>
      </c>
      <c r="L59" s="1">
        <f>INT(MAX(Sheet2!D53+C24-C38,0)*9)</f>
        <v>3226</v>
      </c>
      <c r="M59" s="1">
        <f>INT(MAX(Sheet2!D53+C24-C38,0)*5)</f>
        <v>1792</v>
      </c>
      <c r="N59" s="1">
        <f t="shared" ref="N59" si="20">SUM(J59:M59)</f>
        <v>64642</v>
      </c>
      <c r="O59" s="1">
        <f t="shared" ref="O59" si="21">ROUND(N59*0.1, 0)</f>
        <v>6464</v>
      </c>
      <c r="P59" s="1">
        <f t="shared" si="18"/>
        <v>1740</v>
      </c>
      <c r="Q59" s="1">
        <f t="shared" ref="Q59" si="22">FLOOR(N59+O59+P59, 10)</f>
        <v>72840</v>
      </c>
      <c r="R59" s="145">
        <f>Q59*(Sheet2!D53/(Sheet2!D53+C24))</f>
        <v>38553.479721315089</v>
      </c>
      <c r="S59" s="145"/>
      <c r="T59" s="145"/>
      <c r="U59" s="146"/>
    </row>
    <row r="60" spans="7:21">
      <c r="H60" s="143"/>
      <c r="I60">
        <v>3</v>
      </c>
      <c r="J60" s="1">
        <f>IF(MAX(Sheet2!E53+C25-C39,0)&lt;=200, 910, IF(MAX(Sheet2!E53+C25-C39,0)&lt;=400, 1600, 7300))</f>
        <v>1600</v>
      </c>
      <c r="K60" s="1">
        <f>INT(IF(MAX(Sheet2!E53+C25-C39,0)&lt;=200, MAX(Sheet2!E53+C25-C39,0)*120, IF(MAX(Sheet2!E53+C25-C39,0)&lt;=400, 24000+(MAX(Sheet2!E53+C25-C39,0)-200)*214.6, 66920+(MAX(Sheet2!E53+C25-C39,0)-400)*307.3)))</f>
        <v>28814</v>
      </c>
      <c r="L60" s="1">
        <f>INT(MAX(Sheet2!E53+C25-C39,0)*9)</f>
        <v>2001</v>
      </c>
      <c r="M60" s="1">
        <f>INT(MAX(Sheet2!E53+C25-C39,0)*5)</f>
        <v>1112</v>
      </c>
      <c r="N60" s="1">
        <f t="shared" ref="N60" si="23">SUM(J60:M60)</f>
        <v>33527</v>
      </c>
      <c r="O60" s="1">
        <f t="shared" ref="O60" si="24">ROUND(N60*0.1, 0)</f>
        <v>3353</v>
      </c>
      <c r="P60" s="1">
        <f t="shared" si="18"/>
        <v>900</v>
      </c>
      <c r="Q60" s="1">
        <f t="shared" ref="Q60" si="25">FLOOR(N60+O60+P60, 10)</f>
        <v>37780</v>
      </c>
      <c r="R60" s="145">
        <f>Q60*(Sheet2!E53/(Sheet2!E53+C25))</f>
        <v>17752.801983469693</v>
      </c>
      <c r="S60" s="145"/>
      <c r="T60" s="145"/>
      <c r="U60" s="146"/>
    </row>
    <row r="61" spans="7:21">
      <c r="H61" s="143"/>
      <c r="I61">
        <v>4</v>
      </c>
      <c r="J61" s="1">
        <f>IF(MAX(Sheet2!F53+C26-C40,0)&lt;=200, 910, IF(MAX(Sheet2!F53+C26-C40,0)&lt;=400, 1600, 7300))</f>
        <v>910</v>
      </c>
      <c r="K61" s="1">
        <f>INT(IF(MAX(Sheet2!F53+C26-C40,0)&lt;=200, MAX(Sheet2!F53+C26-C40,0)*120, IF(MAX(Sheet2!F53+C26-C40,0)&lt;=400, 24000+(MAX(Sheet2!F53+C26-C40,0)-200)*214.6, 66920+(MAX(Sheet2!F53+C26-C40,0)-400)*307.3)))</f>
        <v>5326</v>
      </c>
      <c r="L61" s="1">
        <f>INT(MAX(Sheet2!F53+C26-C40,0)*9)</f>
        <v>399</v>
      </c>
      <c r="M61" s="1">
        <f>INT(MAX(Sheet2!F53+C26-C40,0)*5)</f>
        <v>221</v>
      </c>
      <c r="N61" s="1">
        <f t="shared" ref="N61" si="26">SUM(J61:M61)</f>
        <v>6856</v>
      </c>
      <c r="O61" s="1">
        <f t="shared" ref="O61" si="27">ROUND(N61*0.1, 0)</f>
        <v>686</v>
      </c>
      <c r="P61" s="1">
        <f t="shared" si="18"/>
        <v>180</v>
      </c>
      <c r="Q61" s="1">
        <f t="shared" ref="Q61" si="28">FLOOR(N61+O61+P61, 10)</f>
        <v>7720</v>
      </c>
      <c r="R61" s="145">
        <f>Q61*(Sheet2!F53/(Sheet2!F53+C26))</f>
        <v>2725.8510675614043</v>
      </c>
      <c r="S61" s="145"/>
      <c r="T61" s="145"/>
      <c r="U61" s="146"/>
    </row>
    <row r="62" spans="7:21">
      <c r="H62" s="143"/>
      <c r="I62">
        <v>5</v>
      </c>
      <c r="J62" s="1">
        <f>IF(MAX(Sheet2!G53+C27-C41,0)&lt;=200, 910, IF(MAX(Sheet2!G53+C27-C41,0)&lt;=400, 1600, 7300))</f>
        <v>910</v>
      </c>
      <c r="K62" s="1">
        <f>INT(IF(MAX(Sheet2!G53+C27-C41,0)&lt;=200, MAX(Sheet2!G53+C27-C41,0)*120, IF(MAX(Sheet2!G53+C27-C41,0)&lt;=400, 24000+(MAX(Sheet2!G53+C27-C41,0)-200)*214.6, 66920+(MAX(Sheet2!G53+C27-C41,0)-400)*307.3)))</f>
        <v>0</v>
      </c>
      <c r="L62" s="1">
        <f>INT(MAX(Sheet2!G53+C27-C41,0)*9)</f>
        <v>0</v>
      </c>
      <c r="M62" s="1">
        <f>INT(MAX(Sheet2!G53+C27-C41,0)*5)</f>
        <v>0</v>
      </c>
      <c r="N62" s="1">
        <f t="shared" ref="N62" si="29">SUM(J62:M62)</f>
        <v>910</v>
      </c>
      <c r="O62" s="1">
        <f t="shared" ref="O62" si="30">ROUND(N62*0.1, 0)</f>
        <v>91</v>
      </c>
      <c r="P62" s="1">
        <f t="shared" si="18"/>
        <v>20</v>
      </c>
      <c r="Q62" s="1">
        <f t="shared" ref="Q62" si="31">FLOOR(N62+O62+P62, 10)</f>
        <v>1020</v>
      </c>
      <c r="R62" s="145">
        <f>Q62*(Sheet2!G53/(Sheet2!G53+C27))</f>
        <v>231.36926095693732</v>
      </c>
      <c r="S62" s="145"/>
      <c r="T62" s="145"/>
      <c r="U62" s="146"/>
    </row>
    <row r="63" spans="7:21">
      <c r="H63" s="143"/>
      <c r="I63">
        <v>6</v>
      </c>
      <c r="J63" s="1">
        <f>IF(MAX(Sheet2!H53+C28-C42,0)&lt;=200, 910, IF(MAX(Sheet2!H53+C28-C42,0)&lt;=400, 1600, 7300))</f>
        <v>910</v>
      </c>
      <c r="K63" s="1">
        <f>INT(IF(MAX(Sheet2!H53+C28-C42,0)&lt;=200, MAX(Sheet2!H53+C28-C42,0)*120, IF(MAX(Sheet2!H53+C28-C42,0)&lt;=400, 24000+(MAX(Sheet2!H53+C28-C42,0)-200)*214.6, 66920+(MAX(Sheet2!H53+C28-C42,0)-400)*307.3)))</f>
        <v>0</v>
      </c>
      <c r="L63" s="1">
        <f>INT(MAX(Sheet2!H53+C28-C42,0)*9)</f>
        <v>0</v>
      </c>
      <c r="M63" s="1">
        <f>INT(MAX(Sheet2!H53+C28-C42,0)*5)</f>
        <v>0</v>
      </c>
      <c r="N63" s="1">
        <f t="shared" ref="N63" si="32">SUM(J63:M63)</f>
        <v>910</v>
      </c>
      <c r="O63" s="1">
        <f t="shared" ref="O63" si="33">ROUND(N63*0.1, 0)</f>
        <v>91</v>
      </c>
      <c r="P63" s="1">
        <f t="shared" si="18"/>
        <v>20</v>
      </c>
      <c r="Q63" s="1">
        <f t="shared" ref="Q63" si="34">FLOOR(N63+O63+P63, 10)</f>
        <v>1020</v>
      </c>
      <c r="R63" s="145">
        <f>Q63*(Sheet2!H53/(Sheet2!H53+C28))</f>
        <v>146.96927375030651</v>
      </c>
      <c r="S63" s="145"/>
      <c r="T63" s="145"/>
      <c r="U63" s="146"/>
    </row>
    <row r="64" spans="7:21">
      <c r="H64" s="143"/>
      <c r="I64">
        <v>7</v>
      </c>
      <c r="J64" s="1">
        <f>IF(MAX(Sheet2!I53+C29-C43,0)&lt;=300, 910, IF(MAX(Sheet2!I53+C29-C43,0)&lt;=450, 1600, 7300))</f>
        <v>910</v>
      </c>
      <c r="K64" s="1">
        <f>INT(IF(MAX(Sheet2!I53+C29-C43,0)&lt;=300, MAX(Sheet2!I53+C29-C43,0)*120, IF(MAX(Sheet2!I53+C29-C43,0)&lt;=450, 36000+(MAX(Sheet2!I53+C29-C43,0)-300)*214.6, 68190+(MAX(Sheet2!I53+C29-C43,0)-450)*307.3)))</f>
        <v>0</v>
      </c>
      <c r="L64" s="1">
        <f>INT(MAX(Sheet2!I53+C29-C43,0)*9)</f>
        <v>0</v>
      </c>
      <c r="M64" s="1">
        <f>INT(MAX(Sheet2!I53+C29-C43,0)*5)</f>
        <v>0</v>
      </c>
      <c r="N64" s="1">
        <f t="shared" ref="N64" si="35">SUM(J64:M64)</f>
        <v>910</v>
      </c>
      <c r="O64" s="1">
        <f t="shared" ref="O64" si="36">ROUND(N64*0.1, 0)</f>
        <v>91</v>
      </c>
      <c r="P64" s="1">
        <f t="shared" si="18"/>
        <v>20</v>
      </c>
      <c r="Q64" s="1">
        <f t="shared" ref="Q64" si="37">FLOOR(N64+O64+P64, 10)</f>
        <v>1020</v>
      </c>
      <c r="R64" s="145">
        <f>Q64*(Sheet2!I53/(Sheet2!I53+C29))</f>
        <v>70.900661635194226</v>
      </c>
      <c r="S64" s="145"/>
      <c r="T64" s="145"/>
      <c r="U64" s="146"/>
    </row>
    <row r="65" spans="8:21">
      <c r="H65" s="143"/>
      <c r="I65">
        <v>8</v>
      </c>
      <c r="J65" s="1">
        <f>IF(MAX(Sheet2!J53+C30-C44,0)&lt;=300, 910, IF(MAX(Sheet2!J53+C30-C44,0)&lt;=450, 1600, 7300))</f>
        <v>910</v>
      </c>
      <c r="K65" s="1">
        <f>INT(IF(MAX(Sheet2!J53+C30-C44,0)&lt;=300, MAX(Sheet2!J53+C30-C44,0)*120, IF(MAX(Sheet2!J53+C30-C44,0)&lt;=450, 36000+(MAX(Sheet2!J53+C30-C44,0)-300)*214.6, 68190+(MAX(Sheet2!J53+C30-C44,0)-450)*307.3)))</f>
        <v>16925</v>
      </c>
      <c r="L65" s="1">
        <f>INT(MAX(Sheet2!J53+C30-C44,0)*9)</f>
        <v>1269</v>
      </c>
      <c r="M65" s="1">
        <f>INT(MAX(Sheet2!J53+C30-C44,0)*5)</f>
        <v>705</v>
      </c>
      <c r="N65" s="1">
        <f t="shared" ref="N65:N66" si="38">SUM(J65:M65)</f>
        <v>19809</v>
      </c>
      <c r="O65" s="1">
        <f t="shared" ref="O65:O66" si="39">ROUND(N65*0.1, 0)</f>
        <v>1981</v>
      </c>
      <c r="P65" s="1">
        <f t="shared" si="18"/>
        <v>530</v>
      </c>
      <c r="Q65" s="1">
        <f t="shared" ref="Q65:Q66" si="40">FLOOR(N65+O65+P65, 10)</f>
        <v>22320</v>
      </c>
      <c r="R65" s="145">
        <f>Q65*(Sheet2!J53/(Sheet2!J53+C30))</f>
        <v>1248.0295194557252</v>
      </c>
      <c r="S65" s="145"/>
      <c r="T65" s="145"/>
      <c r="U65" s="146"/>
    </row>
    <row r="66" spans="8:21">
      <c r="H66" s="143"/>
      <c r="I66">
        <v>9</v>
      </c>
      <c r="J66" s="1">
        <f>IF(MAX(Sheet2!K53+C31-C45,0)&lt;=200, 910, IF(MAX(Sheet2!K53+C31-C45,0)&lt;=400, 1600, 7300))</f>
        <v>910</v>
      </c>
      <c r="K66" s="1">
        <f>INT(IF(MAX(Sheet2!K53+C31-C45,0)&lt;=200, MAX(Sheet2!K53+C31-C45,0)*120, IF(MAX(Sheet2!K53+C31-C45,0)&lt;=400, 24000+(MAX(Sheet2!K53+C31-C45,0)-200)*214.6, 66920+(MAX(Sheet2!K53+C31-C45,0)-400)*307.3)))</f>
        <v>14261</v>
      </c>
      <c r="L66" s="1">
        <f>INT(MAX(Sheet2!K53+C31-C45,0)*9)</f>
        <v>1069</v>
      </c>
      <c r="M66" s="1">
        <f>INT(MAX(Sheet2!K53+C31-C45,0)*5)</f>
        <v>594</v>
      </c>
      <c r="N66" s="1">
        <f t="shared" si="38"/>
        <v>16834</v>
      </c>
      <c r="O66" s="1">
        <f t="shared" si="39"/>
        <v>1683</v>
      </c>
      <c r="P66" s="1">
        <f t="shared" si="18"/>
        <v>450</v>
      </c>
      <c r="Q66" s="1">
        <f t="shared" si="40"/>
        <v>18960</v>
      </c>
      <c r="R66" s="145">
        <f>Q66*(Sheet2!K53/(Sheet2!K53+C31))</f>
        <v>1967.0022091499052</v>
      </c>
      <c r="S66" s="145"/>
      <c r="T66" s="145"/>
      <c r="U66" s="146"/>
    </row>
    <row r="67" spans="8:21">
      <c r="H67" s="143"/>
      <c r="I67">
        <v>10</v>
      </c>
      <c r="J67" s="1">
        <f>IF(MAX(Sheet2!L53+C32-C46,0)&lt;=200, 910, IF(MAX(Sheet2!L53+C32-C46,0)&lt;=400, 1600, 7300))</f>
        <v>910</v>
      </c>
      <c r="K67" s="1">
        <f>INT(IF(MAX(Sheet2!L53+C32-C46,0)&lt;=200, MAX(Sheet2!L53+C32-C46,0)*120, IF(MAX(Sheet2!L53+C32-C46,0)&lt;=400, 24000+(MAX(Sheet2!L53+C32-C46,0)-200)*214.6, 66920+(MAX(Sheet2!L53+C32-C46,0)-400)*307.3)))</f>
        <v>5572</v>
      </c>
      <c r="L67" s="1">
        <f>INT(MAX(Sheet2!L53+C32-C46,0)*9)</f>
        <v>417</v>
      </c>
      <c r="M67" s="1">
        <f>INT(MAX(Sheet2!L53+C32-C46,0)*5)</f>
        <v>232</v>
      </c>
      <c r="N67" s="1">
        <f t="shared" ref="N67" si="41">SUM(J67:M67)</f>
        <v>7131</v>
      </c>
      <c r="O67" s="1">
        <f t="shared" ref="O67" si="42">ROUND(N67*0.1, 0)</f>
        <v>713</v>
      </c>
      <c r="P67" s="1">
        <f t="shared" si="18"/>
        <v>190</v>
      </c>
      <c r="Q67" s="1">
        <f t="shared" ref="Q67" si="43">FLOOR(N67+O67+P67, 10)</f>
        <v>8030</v>
      </c>
      <c r="R67" s="145">
        <f>Q67*(Sheet2!L53/(Sheet2!L53+C32))</f>
        <v>1320.4511986311188</v>
      </c>
      <c r="S67" s="145"/>
      <c r="T67" s="145"/>
      <c r="U67" s="146"/>
    </row>
    <row r="68" spans="8:21">
      <c r="H68" s="143"/>
      <c r="I68">
        <v>11</v>
      </c>
      <c r="J68" s="1">
        <f>IF(MAX(Sheet2!M53+C33-C47,0)&lt;=200, 910, IF(MAX(Sheet2!M53+C33-C47,0)&lt;=400, 1600, 7300))</f>
        <v>910</v>
      </c>
      <c r="K68" s="1">
        <f>INT(IF(MAX(Sheet2!M53+C33-C47,0)&lt;=200, MAX(Sheet2!M53+C33-C47,0)*120, IF(MAX(Sheet2!M53+C33-C47,0)&lt;=400, 24000+(MAX(Sheet2!M53+C33-C47,0)-200)*214.6, 66920+(MAX(Sheet2!M53+C33-C47,0)-400)*307.3)))</f>
        <v>15058</v>
      </c>
      <c r="L68" s="1">
        <f>INT(MAX(Sheet2!M53+C33-C47,0)*9)</f>
        <v>1129</v>
      </c>
      <c r="M68" s="1">
        <f>INT(MAX(Sheet2!M53+C33-C47,0)*5)</f>
        <v>627</v>
      </c>
      <c r="N68" s="1">
        <f t="shared" ref="N68" si="44">SUM(J68:M68)</f>
        <v>17724</v>
      </c>
      <c r="O68" s="1">
        <f t="shared" ref="O68" si="45">ROUND(N68*0.1, 0)</f>
        <v>1772</v>
      </c>
      <c r="P68" s="1">
        <f t="shared" si="18"/>
        <v>470</v>
      </c>
      <c r="Q68" s="1">
        <f t="shared" ref="Q68" si="46">FLOOR(N68+O68+P68, 10)</f>
        <v>19960</v>
      </c>
      <c r="R68" s="145">
        <f>Q68*(Sheet2!M53/(Sheet2!M53+C33))</f>
        <v>5958.1684085331308</v>
      </c>
      <c r="S68" s="145"/>
      <c r="T68" s="145"/>
      <c r="U68" s="146"/>
    </row>
    <row r="69" spans="8:21">
      <c r="H69" s="143"/>
      <c r="I69">
        <v>12</v>
      </c>
      <c r="J69" s="1">
        <f>IF(MAX(Sheet2!N53+C34-C48,0)&lt;=200, 910, IF(MAX(Sheet2!N53+C34-C48,0)&lt;=400, 1600, 7300))</f>
        <v>1600</v>
      </c>
      <c r="K69" s="1">
        <f>INT(IF(MAX(Sheet2!N53+C34-C48,0)&lt;=200, MAX(Sheet2!N53+C34-C48,0)*120, IF(MAX(Sheet2!N53+C34-C48,0)&lt;=400, 24000+(MAX(Sheet2!N53+C34-C48,0)-200)*214.6, 66920+(MAX(Sheet2!N53+C34-C48,0)-400)*307.3)))</f>
        <v>36451</v>
      </c>
      <c r="L69" s="1">
        <f>INT(MAX(Sheet2!N53+C34-C48,0)*9)</f>
        <v>2322</v>
      </c>
      <c r="M69" s="1">
        <f>INT(MAX(Sheet2!N53+C34-C48,0)*5)</f>
        <v>1290</v>
      </c>
      <c r="N69" s="1">
        <f t="shared" ref="N69" si="47">SUM(J69:M69)</f>
        <v>41663</v>
      </c>
      <c r="O69" s="1">
        <f t="shared" ref="O69" si="48">ROUND(N69*0.1, 0)</f>
        <v>4166</v>
      </c>
      <c r="P69" s="1">
        <f t="shared" si="18"/>
        <v>1120</v>
      </c>
      <c r="Q69" s="1">
        <f t="shared" ref="Q69" si="49">FLOOR(N69+O69+P69, 10)</f>
        <v>46940</v>
      </c>
      <c r="R69" s="145">
        <f>Q69*(Sheet2!N53/(Sheet2!N53+C34))</f>
        <v>19084.771851555266</v>
      </c>
      <c r="S69" s="145"/>
      <c r="T69" s="145"/>
      <c r="U69" s="146"/>
    </row>
    <row r="70" spans="8:21">
      <c r="H70" s="143"/>
      <c r="I70" s="6" t="s">
        <v>409</v>
      </c>
      <c r="J70" s="6" t="s">
        <v>386</v>
      </c>
      <c r="K70" s="6" t="s">
        <v>387</v>
      </c>
      <c r="L70" s="6" t="s">
        <v>388</v>
      </c>
      <c r="M70" s="6" t="s">
        <v>389</v>
      </c>
      <c r="N70" s="6" t="s">
        <v>390</v>
      </c>
      <c r="O70" s="6" t="s">
        <v>391</v>
      </c>
      <c r="P70" s="6" t="s">
        <v>392</v>
      </c>
      <c r="Q70" s="6" t="s">
        <v>393</v>
      </c>
      <c r="R70" s="6" t="s">
        <v>414</v>
      </c>
      <c r="S70" s="147">
        <f>SUM(R71:R82)</f>
        <v>124172.08776033917</v>
      </c>
      <c r="T70" s="147">
        <f>Sheet2!O18</f>
        <v>650516.39601400623</v>
      </c>
      <c r="U70" s="148">
        <f>(T70-S70)/T70</f>
        <v>0.80911766633217097</v>
      </c>
    </row>
    <row r="71" spans="8:21">
      <c r="H71" s="143"/>
      <c r="I71">
        <v>1</v>
      </c>
      <c r="J71" s="1">
        <f>IF(MAX(Sheet2!C54+C23-C37,0)&lt;=200, 910, IF(MAX(Sheet2!C54+C23-C37,0)&lt;=400, 1600, 7300))</f>
        <v>7300</v>
      </c>
      <c r="K71" s="1">
        <f>INT(IF(MAX(Sheet2!C54+C23-C37,0)&lt;=200, MAX(Sheet2!C54+C23-C37,0)*120, IF(MAX(Sheet2!C54+C23-C37,0)&lt;=400, 24000+(MAX(Sheet2!C54+C23-C37,0)-200)*214.6, 66920+(MAX(Sheet2!C54+C23-C37,0)-400)*307.3)))</f>
        <v>72090</v>
      </c>
      <c r="L71" s="1">
        <f>INT(MAX(Sheet2!C54+C23-C37,0)*9)</f>
        <v>3751</v>
      </c>
      <c r="M71" s="1">
        <f>INT(MAX(Sheet2!C54+C23-C37,0)*5)</f>
        <v>2084</v>
      </c>
      <c r="N71" s="1">
        <f t="shared" ref="N71" si="50">SUM(J71:M71)</f>
        <v>85225</v>
      </c>
      <c r="O71" s="1">
        <f t="shared" ref="O71" si="51">ROUND(N71*0.1, 0)</f>
        <v>8523</v>
      </c>
      <c r="P71" s="1">
        <f t="shared" ref="P71:P82" si="52">FLOOR(N71*0.027, 10)</f>
        <v>2300</v>
      </c>
      <c r="Q71" s="1">
        <f t="shared" ref="Q71" si="53">FLOOR(N71+O71+P71, 10)</f>
        <v>96040</v>
      </c>
      <c r="R71" s="145">
        <f>Q71*(Sheet2!C54/(Sheet2!C54+C23))</f>
        <v>50552.023516923531</v>
      </c>
      <c r="S71" s="145"/>
      <c r="T71" s="145"/>
      <c r="U71" s="146"/>
    </row>
    <row r="72" spans="8:21">
      <c r="H72" s="143"/>
      <c r="I72">
        <v>2</v>
      </c>
      <c r="J72" s="1">
        <f>IF(MAX(Sheet2!D54+C24-C38,0)&lt;=200, 910, IF(MAX(Sheet2!D54+C24-C38,0)&lt;=400, 1600, 7300))</f>
        <v>1600</v>
      </c>
      <c r="K72" s="1">
        <f>INT(IF(MAX(Sheet2!D54+C24-C38,0)&lt;=200, MAX(Sheet2!D54+C24-C38,0)*120, IF(MAX(Sheet2!D54+C24-C38,0)&lt;=400, 24000+(MAX(Sheet2!D54+C24-C38,0)-200)*214.6, 66920+(MAX(Sheet2!D54+C24-C38,0)-400)*307.3)))</f>
        <v>50926</v>
      </c>
      <c r="L72" s="1">
        <f>INT(MAX(Sheet2!D54+C24-C38,0)*9)</f>
        <v>2929</v>
      </c>
      <c r="M72" s="1">
        <f>INT(MAX(Sheet2!D54+C24-C38,0)*5)</f>
        <v>1627</v>
      </c>
      <c r="N72" s="1">
        <f t="shared" ref="N72" si="54">SUM(J72:M72)</f>
        <v>57082</v>
      </c>
      <c r="O72" s="1">
        <f t="shared" ref="O72" si="55">ROUND(N72*0.1, 0)</f>
        <v>5708</v>
      </c>
      <c r="P72" s="1">
        <f t="shared" si="52"/>
        <v>1540</v>
      </c>
      <c r="Q72" s="1">
        <f t="shared" ref="Q72" si="56">FLOOR(N72+O72+P72, 10)</f>
        <v>64330</v>
      </c>
      <c r="R72" s="145">
        <f>Q72*(Sheet2!D54/(Sheet2!D54+C24))</f>
        <v>32395.717352074305</v>
      </c>
      <c r="S72" s="145"/>
      <c r="T72" s="145"/>
      <c r="U72" s="146"/>
    </row>
    <row r="73" spans="8:21">
      <c r="H73" s="143"/>
      <c r="I73">
        <v>3</v>
      </c>
      <c r="J73" s="1">
        <f>IF(MAX(Sheet2!E54+C25-C39,0)&lt;=200, 910, IF(MAX(Sheet2!E54+C25-C39,0)&lt;=400, 1600, 7300))</f>
        <v>910</v>
      </c>
      <c r="K73" s="1">
        <f>INT(IF(MAX(Sheet2!E54+C25-C39,0)&lt;=200, MAX(Sheet2!E54+C25-C39,0)*120, IF(MAX(Sheet2!E54+C25-C39,0)&lt;=400, 24000+(MAX(Sheet2!E54+C25-C39,0)-200)*214.6, 66920+(MAX(Sheet2!E54+C25-C39,0)-400)*307.3)))</f>
        <v>23801</v>
      </c>
      <c r="L73" s="1">
        <f>INT(MAX(Sheet2!E54+C25-C39,0)*9)</f>
        <v>1785</v>
      </c>
      <c r="M73" s="1">
        <f>INT(MAX(Sheet2!E54+C25-C39,0)*5)</f>
        <v>991</v>
      </c>
      <c r="N73" s="1">
        <f t="shared" ref="N73" si="57">SUM(J73:M73)</f>
        <v>27487</v>
      </c>
      <c r="O73" s="1">
        <f t="shared" ref="O73" si="58">ROUND(N73*0.1, 0)</f>
        <v>2749</v>
      </c>
      <c r="P73" s="1">
        <f t="shared" si="52"/>
        <v>740</v>
      </c>
      <c r="Q73" s="1">
        <f t="shared" ref="Q73" si="59">FLOOR(N73+O73+P73, 10)</f>
        <v>30970</v>
      </c>
      <c r="R73" s="145">
        <f>Q73*(Sheet2!E54/(Sheet2!E54+C25))</f>
        <v>13761.750437514916</v>
      </c>
      <c r="S73" s="145"/>
      <c r="T73" s="145"/>
      <c r="U73" s="146"/>
    </row>
    <row r="74" spans="8:21">
      <c r="H74" s="143"/>
      <c r="I74">
        <v>4</v>
      </c>
      <c r="J74" s="1">
        <f>IF(MAX(Sheet2!F54+C26-C40,0)&lt;=200, 910, IF(MAX(Sheet2!F54+C26-C40,0)&lt;=400, 1600, 7300))</f>
        <v>910</v>
      </c>
      <c r="K74" s="1">
        <f>INT(IF(MAX(Sheet2!F54+C26-C40,0)&lt;=200, MAX(Sheet2!F54+C26-C40,0)*120, IF(MAX(Sheet2!F54+C26-C40,0)&lt;=400, 24000+(MAX(Sheet2!F54+C26-C40,0)-200)*214.6, 66920+(MAX(Sheet2!F54+C26-C40,0)-400)*307.3)))</f>
        <v>3688</v>
      </c>
      <c r="L74" s="1">
        <f>INT(MAX(Sheet2!F54+C26-C40,0)*9)</f>
        <v>276</v>
      </c>
      <c r="M74" s="1">
        <f>INT(MAX(Sheet2!F54+C26-C40,0)*5)</f>
        <v>153</v>
      </c>
      <c r="N74" s="1">
        <f t="shared" ref="N74" si="60">SUM(J74:M74)</f>
        <v>5027</v>
      </c>
      <c r="O74" s="1">
        <f t="shared" ref="O74" si="61">ROUND(N74*0.1, 0)</f>
        <v>503</v>
      </c>
      <c r="P74" s="1">
        <f t="shared" si="52"/>
        <v>130</v>
      </c>
      <c r="Q74" s="1">
        <f t="shared" ref="Q74" si="62">FLOOR(N74+O74+P74, 10)</f>
        <v>5660</v>
      </c>
      <c r="R74" s="145">
        <f>Q74*(Sheet2!F54/(Sheet2!F54+C26))</f>
        <v>1867.4881237045522</v>
      </c>
      <c r="S74" s="145"/>
      <c r="T74" s="145"/>
      <c r="U74" s="146"/>
    </row>
    <row r="75" spans="8:21">
      <c r="H75" s="143"/>
      <c r="I75">
        <v>5</v>
      </c>
      <c r="J75" s="1">
        <f>IF(MAX(Sheet2!G54+C27-C41,0)&lt;=200, 910, IF(MAX(Sheet2!G54+C27-C41,0)&lt;=400, 1600, 7300))</f>
        <v>910</v>
      </c>
      <c r="K75" s="1">
        <f>INT(IF(MAX(Sheet2!G54+C27-C41,0)&lt;=200, MAX(Sheet2!G54+C27-C41,0)*120, IF(MAX(Sheet2!G54+C27-C41,0)&lt;=400, 24000+(MAX(Sheet2!G54+C27-C41,0)-200)*214.6, 66920+(MAX(Sheet2!G54+C27-C41,0)-400)*307.3)))</f>
        <v>0</v>
      </c>
      <c r="L75" s="1">
        <f>INT(MAX(Sheet2!G54+C27-C41,0)*9)</f>
        <v>0</v>
      </c>
      <c r="M75" s="1">
        <f>INT(MAX(Sheet2!G54+C27-C41,0)*5)</f>
        <v>0</v>
      </c>
      <c r="N75" s="1">
        <f t="shared" ref="N75" si="63">SUM(J75:M75)</f>
        <v>910</v>
      </c>
      <c r="O75" s="1">
        <f t="shared" ref="O75" si="64">ROUND(N75*0.1, 0)</f>
        <v>91</v>
      </c>
      <c r="P75" s="1">
        <f t="shared" si="52"/>
        <v>20</v>
      </c>
      <c r="Q75" s="1">
        <f t="shared" ref="Q75" si="65">FLOOR(N75+O75+P75, 10)</f>
        <v>1020</v>
      </c>
      <c r="R75" s="145">
        <f>Q75*(Sheet2!G54/(Sheet2!G54+C27))</f>
        <v>213.47229297264585</v>
      </c>
      <c r="S75" s="145"/>
      <c r="T75" s="145"/>
      <c r="U75" s="146"/>
    </row>
    <row r="76" spans="8:21">
      <c r="H76" s="143"/>
      <c r="I76">
        <v>6</v>
      </c>
      <c r="J76" s="1">
        <f>IF(MAX(Sheet2!H54+C28-C42,0)&lt;=200, 910, IF(MAX(Sheet2!H54+C28-C42,0)&lt;=400, 1600, 7300))</f>
        <v>910</v>
      </c>
      <c r="K76" s="1">
        <f>INT(IF(MAX(Sheet2!H54+C28-C42,0)&lt;=200, MAX(Sheet2!H54+C28-C42,0)*120, IF(MAX(Sheet2!H54+C28-C42,0)&lt;=400, 24000+(MAX(Sheet2!H54+C28-C42,0)-200)*214.6, 66920+(MAX(Sheet2!H54+C28-C42,0)-400)*307.3)))</f>
        <v>0</v>
      </c>
      <c r="L76" s="1">
        <f>INT(MAX(Sheet2!H54+C28-C42,0)*9)</f>
        <v>0</v>
      </c>
      <c r="M76" s="1">
        <f>INT(MAX(Sheet2!H54+C28-C42,0)*5)</f>
        <v>0</v>
      </c>
      <c r="N76" s="1">
        <f t="shared" ref="N76:N77" si="66">SUM(J76:M76)</f>
        <v>910</v>
      </c>
      <c r="O76" s="1">
        <f t="shared" ref="O76:O77" si="67">ROUND(N76*0.1, 0)</f>
        <v>91</v>
      </c>
      <c r="P76" s="1">
        <f t="shared" si="52"/>
        <v>20</v>
      </c>
      <c r="Q76" s="1">
        <f t="shared" ref="Q76:Q77" si="68">FLOOR(N76+O76+P76, 10)</f>
        <v>1020</v>
      </c>
      <c r="R76" s="145">
        <f>Q76*(Sheet2!H54/(Sheet2!H54+C28))</f>
        <v>134.48751607842831</v>
      </c>
      <c r="S76" s="145"/>
      <c r="T76" s="145"/>
      <c r="U76" s="146"/>
    </row>
    <row r="77" spans="8:21">
      <c r="H77" s="143"/>
      <c r="I77">
        <v>7</v>
      </c>
      <c r="J77" s="1">
        <f>IF(MAX(Sheet2!I54+C29-C43,0)&lt;=300, 910, IF(MAX(Sheet2!I54+C29-C43,0)&lt;=450, 1600, 7300))</f>
        <v>910</v>
      </c>
      <c r="K77" s="1">
        <f>INT(IF(MAX(Sheet2!I54+C29-C43,0)&lt;=300, MAX(Sheet2!I54+C29-C43,0)*120, IF(MAX(Sheet2!I54+C29-C43,0)&lt;=450, 36000+(MAX(Sheet2!I54+C29-C43,0)-300)*214.6, 68190+(MAX(Sheet2!I54+C29-C43,0)-450)*307.3)))</f>
        <v>0</v>
      </c>
      <c r="L77" s="1">
        <f>INT(MAX(Sheet2!I54+C29-C43,0)*9)</f>
        <v>0</v>
      </c>
      <c r="M77" s="1">
        <f>INT(MAX(Sheet2!I54+C29-C43,0)*5)</f>
        <v>0</v>
      </c>
      <c r="N77" s="1">
        <f t="shared" si="66"/>
        <v>910</v>
      </c>
      <c r="O77" s="1">
        <f t="shared" si="67"/>
        <v>91</v>
      </c>
      <c r="P77" s="1">
        <f t="shared" si="52"/>
        <v>20</v>
      </c>
      <c r="Q77" s="1">
        <f t="shared" si="68"/>
        <v>1020</v>
      </c>
      <c r="R77" s="145">
        <f>Q77*(Sheet2!I54/(Sheet2!I54+C29))</f>
        <v>64.402661292689871</v>
      </c>
      <c r="S77" s="145"/>
      <c r="T77" s="145"/>
      <c r="U77" s="146"/>
    </row>
    <row r="78" spans="8:21">
      <c r="H78" s="143"/>
      <c r="I78">
        <v>8</v>
      </c>
      <c r="J78" s="1">
        <f>IF(MAX(Sheet2!J54+C30-C44,0)&lt;=300, 910, IF(MAX(Sheet2!J54+C30-C44,0)&lt;=450, 1600, 7300))</f>
        <v>910</v>
      </c>
      <c r="K78" s="1">
        <f>INT(IF(MAX(Sheet2!J54+C30-C44,0)&lt;=300, MAX(Sheet2!J54+C30-C44,0)*120, IF(MAX(Sheet2!J54+C30-C44,0)&lt;=450, 36000+(MAX(Sheet2!J54+C30-C44,0)-300)*214.6, 68190+(MAX(Sheet2!J54+C30-C44,0)-450)*307.3)))</f>
        <v>16679</v>
      </c>
      <c r="L78" s="1">
        <f>INT(MAX(Sheet2!J54+C30-C44,0)*9)</f>
        <v>1250</v>
      </c>
      <c r="M78" s="1">
        <f>INT(MAX(Sheet2!J54+C30-C44,0)*5)</f>
        <v>694</v>
      </c>
      <c r="N78" s="1">
        <f t="shared" ref="N78:N79" si="69">SUM(J78:M78)</f>
        <v>19533</v>
      </c>
      <c r="O78" s="1">
        <f t="shared" ref="O78:O79" si="70">ROUND(N78*0.1, 0)</f>
        <v>1953</v>
      </c>
      <c r="P78" s="1">
        <f t="shared" si="52"/>
        <v>520</v>
      </c>
      <c r="Q78" s="1">
        <f t="shared" ref="Q78:Q79" si="71">FLOOR(N78+O78+P78, 10)</f>
        <v>22000</v>
      </c>
      <c r="R78" s="145">
        <f>Q78*(Sheet2!J54/(Sheet2!J54+C30))</f>
        <v>1115.9011222134566</v>
      </c>
      <c r="S78" s="145"/>
      <c r="T78" s="145"/>
      <c r="U78" s="146"/>
    </row>
    <row r="79" spans="8:21">
      <c r="H79" s="143"/>
      <c r="I79">
        <v>9</v>
      </c>
      <c r="J79" s="1">
        <f>IF(MAX(Sheet2!K54+C31-C45,0)&lt;=200, 910, IF(MAX(Sheet2!K54+C31-C45,0)&lt;=400, 1600, 7300))</f>
        <v>910</v>
      </c>
      <c r="K79" s="1">
        <f>INT(IF(MAX(Sheet2!K54+C31-C45,0)&lt;=200, MAX(Sheet2!K54+C31-C45,0)*120, IF(MAX(Sheet2!K54+C31-C45,0)&lt;=400, 24000+(MAX(Sheet2!K54+C31-C45,0)-200)*214.6, 66920+(MAX(Sheet2!K54+C31-C45,0)-400)*307.3)))</f>
        <v>13876</v>
      </c>
      <c r="L79" s="1">
        <f>INT(MAX(Sheet2!K54+C31-C45,0)*9)</f>
        <v>1040</v>
      </c>
      <c r="M79" s="1">
        <f>INT(MAX(Sheet2!K54+C31-C45,0)*5)</f>
        <v>578</v>
      </c>
      <c r="N79" s="1">
        <f t="shared" si="69"/>
        <v>16404</v>
      </c>
      <c r="O79" s="1">
        <f t="shared" si="70"/>
        <v>1640</v>
      </c>
      <c r="P79" s="1">
        <f t="shared" si="52"/>
        <v>440</v>
      </c>
      <c r="Q79" s="1">
        <f t="shared" si="71"/>
        <v>18480</v>
      </c>
      <c r="R79" s="145">
        <f>Q79*(Sheet2!K54/(Sheet2!K54+C31))</f>
        <v>1747.386191161464</v>
      </c>
      <c r="S79" s="145"/>
      <c r="T79" s="145"/>
      <c r="U79" s="146"/>
    </row>
    <row r="80" spans="8:21">
      <c r="H80" s="143"/>
      <c r="I80">
        <v>10</v>
      </c>
      <c r="J80" s="1">
        <f>IF(MAX(Sheet2!L54+C32-C46,0)&lt;=200, 910, IF(MAX(Sheet2!L54+C32-C46,0)&lt;=400, 1600, 7300))</f>
        <v>910</v>
      </c>
      <c r="K80" s="1">
        <f>INT(IF(MAX(Sheet2!L54+C32-C46,0)&lt;=200, MAX(Sheet2!L54+C32-C46,0)*120, IF(MAX(Sheet2!L54+C32-C46,0)&lt;=400, 24000+(MAX(Sheet2!L54+C32-C46,0)-200)*214.6, 66920+(MAX(Sheet2!L54+C32-C46,0)-400)*307.3)))</f>
        <v>5006</v>
      </c>
      <c r="L80" s="1">
        <f>INT(MAX(Sheet2!L54+C32-C46,0)*9)</f>
        <v>375</v>
      </c>
      <c r="M80" s="1">
        <f>INT(MAX(Sheet2!L54+C32-C46,0)*5)</f>
        <v>208</v>
      </c>
      <c r="N80" s="1">
        <f t="shared" ref="N80" si="72">SUM(J80:M80)</f>
        <v>6499</v>
      </c>
      <c r="O80" s="1">
        <f t="shared" ref="O80" si="73">ROUND(N80*0.1, 0)</f>
        <v>650</v>
      </c>
      <c r="P80" s="1">
        <f t="shared" si="52"/>
        <v>170</v>
      </c>
      <c r="Q80" s="1">
        <f t="shared" ref="Q80" si="74">FLOOR(N80+O80+P80, 10)</f>
        <v>7310</v>
      </c>
      <c r="R80" s="145">
        <f>Q80*(Sheet2!L54/(Sheet2!L54+C32))</f>
        <v>1102.1927023938006</v>
      </c>
      <c r="S80" s="145"/>
      <c r="T80" s="145"/>
      <c r="U80" s="146"/>
    </row>
    <row r="81" spans="8:21">
      <c r="H81" s="143"/>
      <c r="I81">
        <v>11</v>
      </c>
      <c r="J81" s="1">
        <f>IF(MAX(Sheet2!M54+C33-C47,0)&lt;=200, 910, IF(MAX(Sheet2!M54+C33-C47,0)&lt;=400, 1600, 7300))</f>
        <v>910</v>
      </c>
      <c r="K81" s="1">
        <f>INT(IF(MAX(Sheet2!M54+C33-C47,0)&lt;=200, MAX(Sheet2!M54+C33-C47,0)*120, IF(MAX(Sheet2!M54+C33-C47,0)&lt;=400, 24000+(MAX(Sheet2!M54+C33-C47,0)-200)*214.6, 66920+(MAX(Sheet2!M54+C33-C47,0)-400)*307.3)))</f>
        <v>13780</v>
      </c>
      <c r="L81" s="1">
        <f>INT(MAX(Sheet2!M54+C33-C47,0)*9)</f>
        <v>1033</v>
      </c>
      <c r="M81" s="1">
        <f>INT(MAX(Sheet2!M54+C33-C47,0)*5)</f>
        <v>574</v>
      </c>
      <c r="N81" s="1">
        <f t="shared" ref="N81" si="75">SUM(J81:M81)</f>
        <v>16297</v>
      </c>
      <c r="O81" s="1">
        <f t="shared" ref="O81" si="76">ROUND(N81*0.1, 0)</f>
        <v>1630</v>
      </c>
      <c r="P81" s="1">
        <f t="shared" si="52"/>
        <v>440</v>
      </c>
      <c r="Q81" s="1">
        <f t="shared" ref="Q81" si="77">FLOOR(N81+O81+P81, 10)</f>
        <v>18360</v>
      </c>
      <c r="R81" s="145">
        <f>Q81*(Sheet2!M54/(Sheet2!M54+C33))</f>
        <v>5093.1461155837196</v>
      </c>
      <c r="S81" s="145"/>
      <c r="T81" s="145"/>
      <c r="U81" s="146"/>
    </row>
    <row r="82" spans="8:21">
      <c r="H82" s="143"/>
      <c r="I82">
        <v>12</v>
      </c>
      <c r="J82" s="1">
        <f>IF(MAX(Sheet2!N54+C34-C48,0)&lt;=200, 910, IF(MAX(Sheet2!N54+C34-C48,0)&lt;=400, 1600, 7300))</f>
        <v>1600</v>
      </c>
      <c r="K82" s="1">
        <f>INT(IF(MAX(Sheet2!N54+C34-C48,0)&lt;=200, MAX(Sheet2!N54+C34-C48,0)*120, IF(MAX(Sheet2!N54+C34-C48,0)&lt;=400, 24000+(MAX(Sheet2!N54+C34-C48,0)-200)*214.6, 66920+(MAX(Sheet2!N54+C34-C48,0)-400)*307.3)))</f>
        <v>32509</v>
      </c>
      <c r="L82" s="1">
        <f>INT(MAX(Sheet2!N54+C34-C48,0)*9)</f>
        <v>2156</v>
      </c>
      <c r="M82" s="1">
        <f>INT(MAX(Sheet2!N54+C34-C48,0)*5)</f>
        <v>1198</v>
      </c>
      <c r="N82" s="1">
        <f t="shared" ref="N82" si="78">SUM(J82:M82)</f>
        <v>37463</v>
      </c>
      <c r="O82" s="1">
        <f t="shared" ref="O82" si="79">ROUND(N82*0.1, 0)</f>
        <v>3746</v>
      </c>
      <c r="P82" s="1">
        <f t="shared" si="52"/>
        <v>1010</v>
      </c>
      <c r="Q82" s="1">
        <f t="shared" ref="Q82" si="80">FLOOR(N82+O82+P82, 10)</f>
        <v>42210</v>
      </c>
      <c r="R82" s="145">
        <f>Q82*(Sheet2!N54/(Sheet2!N54+C34))</f>
        <v>16124.119728425683</v>
      </c>
      <c r="S82" s="145"/>
      <c r="T82" s="145"/>
      <c r="U82" s="146"/>
    </row>
    <row r="83" spans="8:21">
      <c r="H83" s="143"/>
      <c r="I83" s="149" t="s">
        <v>412</v>
      </c>
      <c r="J83" s="1" t="s">
        <v>386</v>
      </c>
      <c r="K83" s="1" t="s">
        <v>387</v>
      </c>
      <c r="L83" s="1" t="s">
        <v>388</v>
      </c>
      <c r="M83" s="1" t="s">
        <v>389</v>
      </c>
      <c r="N83" s="1" t="s">
        <v>390</v>
      </c>
      <c r="O83" s="1" t="s">
        <v>391</v>
      </c>
      <c r="P83" s="1" t="s">
        <v>392</v>
      </c>
      <c r="Q83" s="1" t="s">
        <v>393</v>
      </c>
      <c r="R83" s="1" t="s">
        <v>432</v>
      </c>
      <c r="S83" s="145">
        <f>SUM(R84:R95)</f>
        <v>85326.454912255023</v>
      </c>
      <c r="T83" s="145">
        <f>Sheet2!O18</f>
        <v>650516.39601400623</v>
      </c>
      <c r="U83" s="148">
        <f>(T83-S83)/T83</f>
        <v>0.86883273744507139</v>
      </c>
    </row>
    <row r="84" spans="8:21">
      <c r="H84" s="143"/>
      <c r="I84">
        <v>1</v>
      </c>
      <c r="J84" s="1">
        <f>IF(MAX(Sheet2!C55+C23-C37,0)&lt;=200, 910, IF(MAX(Sheet2!C55+C23-C37,0)&lt;=400, 1600, 7300))</f>
        <v>1600</v>
      </c>
      <c r="K84" s="1">
        <f>INT(IF(MAX(Sheet2!C55+C23-C37,0)&lt;=200, MAX(Sheet2!C55+C23-C37,0)*120, IF(MAX(Sheet2!C55+C23-C37,0)&lt;=400, 24000+(MAX(Sheet2!C55+C23-C37,0)-200)*214.6, 66920+(MAX(Sheet2!C55+C23-C37,0)-400)*307.3)))</f>
        <v>56964</v>
      </c>
      <c r="L84" s="1">
        <f>INT(MAX(Sheet2!C55+C23-C37,0)*9)</f>
        <v>3182</v>
      </c>
      <c r="M84" s="1">
        <f>INT(MAX(Sheet2!C55+C23-C37,0)*5)</f>
        <v>1768</v>
      </c>
      <c r="N84" s="1">
        <f t="shared" ref="N84" si="81">SUM(J84:M84)</f>
        <v>63514</v>
      </c>
      <c r="O84" s="1">
        <f t="shared" ref="O84" si="82">ROUND(N84*0.1, 0)</f>
        <v>6351</v>
      </c>
      <c r="P84" s="1">
        <f t="shared" ref="P84:P95" si="83">FLOOR(N84*0.027, 10)</f>
        <v>1710</v>
      </c>
      <c r="Q84" s="1">
        <f t="shared" ref="Q84" si="84">FLOOR(N84+O84+P84, 10)</f>
        <v>71570</v>
      </c>
      <c r="R84" s="145">
        <f>Q84*(Sheet2!C55/(Sheet2!C55+C23))</f>
        <v>33988.667401667852</v>
      </c>
      <c r="U84" s="146"/>
    </row>
    <row r="85" spans="8:21">
      <c r="H85" s="143"/>
      <c r="I85">
        <v>2</v>
      </c>
      <c r="J85" s="1">
        <f>IF(MAX(Sheet2!D55+C24-C38,0)&lt;=200, 910, IF(MAX(Sheet2!D55+C24-C38,0)&lt;=400, 1600, 7300))</f>
        <v>1600</v>
      </c>
      <c r="K85" s="1">
        <f>INT(IF(MAX(Sheet2!D55+C24-C38,0)&lt;=200, MAX(Sheet2!D55+C24-C38,0)*120, IF(MAX(Sheet2!D55+C24-C38,0)&lt;=400, 24000+(MAX(Sheet2!D55+C24-C38,0)-200)*214.6, 66920+(MAX(Sheet2!D55+C24-C38,0)-400)*307.3)))</f>
        <v>38737</v>
      </c>
      <c r="L85" s="1">
        <f>INT(MAX(Sheet2!D55+C24-C38,0)*9)</f>
        <v>2418</v>
      </c>
      <c r="M85" s="1">
        <f>INT(MAX(Sheet2!D55+C24-C38,0)*5)</f>
        <v>1343</v>
      </c>
      <c r="N85" s="1">
        <f t="shared" ref="N85" si="85">SUM(J85:M85)</f>
        <v>44098</v>
      </c>
      <c r="O85" s="1">
        <f t="shared" ref="O85" si="86">ROUND(N85*0.1, 0)</f>
        <v>4410</v>
      </c>
      <c r="P85" s="1">
        <f t="shared" si="83"/>
        <v>1190</v>
      </c>
      <c r="Q85" s="1">
        <f t="shared" ref="Q85" si="87">FLOOR(N85+O85+P85, 10)</f>
        <v>49690</v>
      </c>
      <c r="R85" s="145">
        <f>Q85*(Sheet2!D55/(Sheet2!D55+C24))</f>
        <v>22471.006726592936</v>
      </c>
      <c r="U85" s="146"/>
    </row>
    <row r="86" spans="8:21">
      <c r="H86" s="143"/>
      <c r="I86">
        <v>3</v>
      </c>
      <c r="J86" s="1">
        <f>IF(MAX(Sheet2!E55+C25-C39,0)&lt;=200, 910, IF(MAX(Sheet2!E55+C25-C39,0)&lt;=400, 1600, 7300))</f>
        <v>910</v>
      </c>
      <c r="K86" s="1">
        <f>INT(IF(MAX(Sheet2!E55+C25-C39,0)&lt;=200, MAX(Sheet2!E55+C25-C39,0)*120, IF(MAX(Sheet2!E55+C25-C39,0)&lt;=400, 24000+(MAX(Sheet2!E55+C25-C39,0)-200)*214.6, 66920+(MAX(Sheet2!E55+C25-C39,0)-400)*307.3)))</f>
        <v>18837</v>
      </c>
      <c r="L86" s="1">
        <f>INT(MAX(Sheet2!E55+C25-C39,0)*9)</f>
        <v>1412</v>
      </c>
      <c r="M86" s="1">
        <f>INT(MAX(Sheet2!E55+C25-C39,0)*5)</f>
        <v>784</v>
      </c>
      <c r="N86" s="1">
        <f t="shared" ref="N86" si="88">SUM(J86:M86)</f>
        <v>21943</v>
      </c>
      <c r="O86" s="1">
        <f t="shared" ref="O86" si="89">ROUND(N86*0.1, 0)</f>
        <v>2194</v>
      </c>
      <c r="P86" s="1">
        <f t="shared" si="83"/>
        <v>590</v>
      </c>
      <c r="Q86" s="1">
        <f t="shared" ref="Q86" si="90">FLOOR(N86+O86+P86, 10)</f>
        <v>24720</v>
      </c>
      <c r="R86" s="145">
        <f>Q86*(Sheet2!E55/(Sheet2!E55+C25))</f>
        <v>9745.5709791285408</v>
      </c>
      <c r="U86" s="146"/>
    </row>
    <row r="87" spans="8:21">
      <c r="H87" s="143"/>
      <c r="I87">
        <v>4</v>
      </c>
      <c r="J87" s="1">
        <f>IF(MAX(Sheet2!F55+C26-C40,0)&lt;=200, 910, IF(MAX(Sheet2!F55+C26-C40,0)&lt;=400, 1600, 7300))</f>
        <v>910</v>
      </c>
      <c r="K87" s="1">
        <f>INT(IF(MAX(Sheet2!F55+C26-C40,0)&lt;=200, MAX(Sheet2!F55+C26-C40,0)*120, IF(MAX(Sheet2!F55+C26-C40,0)&lt;=400, 24000+(MAX(Sheet2!F55+C26-C40,0)-200)*214.6, 66920+(MAX(Sheet2!F55+C26-C40,0)-400)*307.3)))</f>
        <v>876</v>
      </c>
      <c r="L87" s="1">
        <f>INT(MAX(Sheet2!F55+C26-C40,0)*9)</f>
        <v>65</v>
      </c>
      <c r="M87" s="1">
        <f>INT(MAX(Sheet2!F55+C26-C40,0)*5)</f>
        <v>36</v>
      </c>
      <c r="N87" s="1">
        <f t="shared" ref="N87" si="91">SUM(J87:M87)</f>
        <v>1887</v>
      </c>
      <c r="O87" s="1">
        <f t="shared" ref="O87" si="92">ROUND(N87*0.1, 0)</f>
        <v>189</v>
      </c>
      <c r="P87" s="1">
        <f t="shared" si="83"/>
        <v>50</v>
      </c>
      <c r="Q87" s="1">
        <f t="shared" ref="Q87" si="93">FLOOR(N87+O87+P87, 10)</f>
        <v>2120</v>
      </c>
      <c r="R87" s="145">
        <f>Q87*(Sheet2!F55/(Sheet2!F55+C26))</f>
        <v>606.50254675323174</v>
      </c>
      <c r="U87" s="146"/>
    </row>
    <row r="88" spans="8:21">
      <c r="H88" s="143"/>
      <c r="I88">
        <v>5</v>
      </c>
      <c r="J88" s="1">
        <f>IF(MAX(Sheet2!G55+C27-C41,0)&lt;=200, 910, IF(MAX(Sheet2!G55+C27-C41,0)&lt;=400, 1600, 7300))</f>
        <v>910</v>
      </c>
      <c r="K88" s="1">
        <f>INT(IF(MAX(Sheet2!G55+C27-C41,0)&lt;=200, MAX(Sheet2!G55+C27-C41,0)*120, IF(MAX(Sheet2!G55+C27-C41,0)&lt;=400, 24000+(MAX(Sheet2!G55+C27-C41,0)-200)*214.6, 66920+(MAX(Sheet2!G55+C27-C41,0)-400)*307.3)))</f>
        <v>0</v>
      </c>
      <c r="L88" s="1">
        <f>INT(MAX(Sheet2!G55+C27-C41,0)*9)</f>
        <v>0</v>
      </c>
      <c r="M88" s="1">
        <f>INT(MAX(Sheet2!G55+C27-C41,0)*5)</f>
        <v>0</v>
      </c>
      <c r="N88" s="1">
        <f t="shared" ref="N88" si="94">SUM(J88:M88)</f>
        <v>910</v>
      </c>
      <c r="O88" s="1">
        <f t="shared" ref="O88" si="95">ROUND(N88*0.1, 0)</f>
        <v>91</v>
      </c>
      <c r="P88" s="1">
        <f t="shared" si="83"/>
        <v>20</v>
      </c>
      <c r="Q88" s="1">
        <f t="shared" ref="Q88" si="96">FLOOR(N88+O88+P88, 10)</f>
        <v>1020</v>
      </c>
      <c r="R88" s="145">
        <f>Q88*(Sheet2!G55/(Sheet2!G55+C27))</f>
        <v>180.76893864755232</v>
      </c>
      <c r="U88" s="146"/>
    </row>
    <row r="89" spans="8:21">
      <c r="H89" s="143"/>
      <c r="I89">
        <v>6</v>
      </c>
      <c r="J89" s="1">
        <f>IF(MAX(Sheet2!H55+C28-C42,0)&lt;=200, 910, IF(MAX(Sheet2!H55+C28-C42,0)&lt;=400, 1600, 7300))</f>
        <v>910</v>
      </c>
      <c r="K89" s="1">
        <f>INT(IF(MAX(Sheet2!H55+C28-C42,0)&lt;=200, MAX(Sheet2!H55+C28-C42,0)*120, IF(MAX(Sheet2!H55+C28-C42,0)&lt;=400, 24000+(MAX(Sheet2!H55+C28-C42,0)-200)*214.6, 66920+(MAX(Sheet2!H55+C28-C42,0)-400)*307.3)))</f>
        <v>0</v>
      </c>
      <c r="L89" s="1">
        <f>INT(MAX(Sheet2!H55+C28-C42,0)*9)</f>
        <v>0</v>
      </c>
      <c r="M89" s="1">
        <f>INT(MAX(Sheet2!H55+C28-C42,0)*5)</f>
        <v>0</v>
      </c>
      <c r="N89" s="1">
        <f t="shared" ref="N89:N90" si="97">SUM(J89:M89)</f>
        <v>910</v>
      </c>
      <c r="O89" s="1">
        <f t="shared" ref="O89:O90" si="98">ROUND(N89*0.1, 0)</f>
        <v>91</v>
      </c>
      <c r="P89" s="1">
        <f t="shared" si="83"/>
        <v>20</v>
      </c>
      <c r="Q89" s="1">
        <f t="shared" ref="Q89:Q90" si="99">FLOOR(N89+O89+P89, 10)</f>
        <v>1020</v>
      </c>
      <c r="R89" s="145">
        <f>Q89*(Sheet2!H55/(Sheet2!H55+C28))</f>
        <v>112.20106709122388</v>
      </c>
      <c r="U89" s="146"/>
    </row>
    <row r="90" spans="8:21">
      <c r="H90" s="143"/>
      <c r="I90">
        <v>7</v>
      </c>
      <c r="J90" s="1">
        <f>IF(MAX(Sheet2!I55+C29-C43,0)&lt;=300, 910, IF(MAX(Sheet2!I55+C29-C43,0)&lt;=450, 1600, 7300))</f>
        <v>910</v>
      </c>
      <c r="K90" s="1">
        <f>INT(IF(MAX(Sheet2!I55+C29-C43,0)&lt;=300, MAX(Sheet2!I55+C29-C43,0)*120, IF(MAX(Sheet2!I55+C29-C43,0)&lt;=450, 36000+(MAX(Sheet2!I55+C29-C43,0)-300)*214.6, 68190+(MAX(Sheet2!I55+C29-C43,0)-450)*307.3)))</f>
        <v>0</v>
      </c>
      <c r="L90" s="1">
        <f>INT(MAX(Sheet2!I55+C29-C43,0)*9)</f>
        <v>0</v>
      </c>
      <c r="M90" s="1">
        <f>INT(MAX(Sheet2!I55+C29-C43,0)*5)</f>
        <v>0</v>
      </c>
      <c r="N90" s="1">
        <f t="shared" si="97"/>
        <v>910</v>
      </c>
      <c r="O90" s="1">
        <f t="shared" si="98"/>
        <v>91</v>
      </c>
      <c r="P90" s="1">
        <f t="shared" si="83"/>
        <v>20</v>
      </c>
      <c r="Q90" s="1">
        <f t="shared" si="99"/>
        <v>1020</v>
      </c>
      <c r="R90" s="145">
        <f>Q90*(Sheet2!I55/(Sheet2!I55+C29))</f>
        <v>53.034664173750535</v>
      </c>
      <c r="U90" s="146"/>
    </row>
    <row r="91" spans="8:21">
      <c r="H91" s="143"/>
      <c r="I91">
        <v>8</v>
      </c>
      <c r="J91" s="1">
        <f>IF(MAX(Sheet2!J55+C30-C44,0)&lt;=300, 910, IF(MAX(Sheet2!J55+C30-C44,0)&lt;=450, 1600, 7300))</f>
        <v>910</v>
      </c>
      <c r="K91" s="1">
        <f>INT(IF(MAX(Sheet2!J55+C30-C44,0)&lt;=300, MAX(Sheet2!J55+C30-C44,0)*120, IF(MAX(Sheet2!J55+C30-C44,0)&lt;=450, 36000+(MAX(Sheet2!J55+C30-C44,0)-300)*214.6, 68190+(MAX(Sheet2!J55+C30-C44,0)-450)*307.3)))</f>
        <v>16256</v>
      </c>
      <c r="L91" s="1">
        <f>INT(MAX(Sheet2!J55+C30-C44,0)*9)</f>
        <v>1219</v>
      </c>
      <c r="M91" s="1">
        <f>INT(MAX(Sheet2!J55+C30-C44,0)*5)</f>
        <v>677</v>
      </c>
      <c r="N91" s="1">
        <f t="shared" ref="N91:N92" si="100">SUM(J91:M91)</f>
        <v>19062</v>
      </c>
      <c r="O91" s="1">
        <f t="shared" ref="O91:O92" si="101">ROUND(N91*0.1, 0)</f>
        <v>1906</v>
      </c>
      <c r="P91" s="1">
        <f t="shared" si="83"/>
        <v>510</v>
      </c>
      <c r="Q91" s="1">
        <f t="shared" ref="Q91:Q92" si="102">FLOOR(N91+O91+P91, 10)</f>
        <v>21470</v>
      </c>
      <c r="R91" s="145">
        <f>Q91*(Sheet2!J55/(Sheet2!J55+C30))</f>
        <v>894.69752748757151</v>
      </c>
      <c r="U91" s="146"/>
    </row>
    <row r="92" spans="8:21">
      <c r="H92" s="143"/>
      <c r="I92">
        <v>9</v>
      </c>
      <c r="J92" s="1">
        <f>IF(MAX(Sheet2!K55+C31-C45,0)&lt;=200, 910, IF(MAX(Sheet2!K55+C31-C45,0)&lt;=400, 1600, 7300))</f>
        <v>910</v>
      </c>
      <c r="K92" s="1">
        <f>INT(IF(MAX(Sheet2!K55+C31-C45,0)&lt;=200, MAX(Sheet2!K55+C31-C45,0)*120, IF(MAX(Sheet2!K55+C31-C45,0)&lt;=400, 24000+(MAX(Sheet2!K55+C31-C45,0)-200)*214.6, 66920+(MAX(Sheet2!K55+C31-C45,0)-400)*307.3)))</f>
        <v>13215</v>
      </c>
      <c r="L92" s="1">
        <f>INT(MAX(Sheet2!K55+C31-C45,0)*9)</f>
        <v>991</v>
      </c>
      <c r="M92" s="1">
        <f>INT(MAX(Sheet2!K55+C31-C45,0)*5)</f>
        <v>550</v>
      </c>
      <c r="N92" s="1">
        <f t="shared" si="100"/>
        <v>15666</v>
      </c>
      <c r="O92" s="1">
        <f t="shared" si="101"/>
        <v>1567</v>
      </c>
      <c r="P92" s="1">
        <f t="shared" si="83"/>
        <v>420</v>
      </c>
      <c r="Q92" s="1">
        <f t="shared" si="102"/>
        <v>17650</v>
      </c>
      <c r="R92" s="145">
        <f>Q92*(Sheet2!K55/(Sheet2!K55+C31))</f>
        <v>1382.5024128519021</v>
      </c>
      <c r="U92" s="146"/>
    </row>
    <row r="93" spans="8:21">
      <c r="H93" s="143"/>
      <c r="I93">
        <v>10</v>
      </c>
      <c r="J93" s="1">
        <f>IF(MAX(Sheet2!L55+C32-C46,0)&lt;=200, 910, IF(MAX(Sheet2!L55+C32-C46,0)&lt;=400, 1600, 7300))</f>
        <v>910</v>
      </c>
      <c r="K93" s="1">
        <f>INT(IF(MAX(Sheet2!L55+C32-C46,0)&lt;=200, MAX(Sheet2!L55+C32-C46,0)*120, IF(MAX(Sheet2!L55+C32-C46,0)&lt;=400, 24000+(MAX(Sheet2!L55+C32-C46,0)-200)*214.6, 66920+(MAX(Sheet2!L55+C32-C46,0)-400)*307.3)))</f>
        <v>4032</v>
      </c>
      <c r="L93" s="1">
        <f>INT(MAX(Sheet2!L55+C32-C46,0)*9)</f>
        <v>302</v>
      </c>
      <c r="M93" s="1">
        <f>INT(MAX(Sheet2!L55+C32-C46,0)*5)</f>
        <v>168</v>
      </c>
      <c r="N93" s="1">
        <f t="shared" ref="N93" si="103">SUM(J93:M93)</f>
        <v>5412</v>
      </c>
      <c r="O93" s="1">
        <f t="shared" ref="O93" si="104">ROUND(N93*0.1, 0)</f>
        <v>541</v>
      </c>
      <c r="P93" s="1">
        <f t="shared" si="83"/>
        <v>140</v>
      </c>
      <c r="Q93" s="1">
        <f t="shared" ref="Q93" si="105">FLOOR(N93+O93+P93, 10)</f>
        <v>6090</v>
      </c>
      <c r="R93" s="145">
        <f>Q93*(Sheet2!L55/(Sheet2!L55+C32))</f>
        <v>768.85498426696665</v>
      </c>
      <c r="U93" s="146"/>
    </row>
    <row r="94" spans="8:21">
      <c r="H94" s="143"/>
      <c r="I94">
        <v>11</v>
      </c>
      <c r="J94" s="1">
        <f>IF(MAX(Sheet2!M55+C33-C47,0)&lt;=200, 910, IF(MAX(Sheet2!M55+C33-C47,0)&lt;=400, 1600, 7300))</f>
        <v>910</v>
      </c>
      <c r="K94" s="1">
        <f>INT(IF(MAX(Sheet2!M55+C33-C47,0)&lt;=200, MAX(Sheet2!M55+C33-C47,0)*120, IF(MAX(Sheet2!M55+C33-C47,0)&lt;=400, 24000+(MAX(Sheet2!M55+C33-C47,0)-200)*214.6, 66920+(MAX(Sheet2!M55+C33-C47,0)-400)*307.3)))</f>
        <v>11586</v>
      </c>
      <c r="L94" s="1">
        <f>INT(MAX(Sheet2!M55+C33-C47,0)*9)</f>
        <v>868</v>
      </c>
      <c r="M94" s="1">
        <f>INT(MAX(Sheet2!M55+C33-C47,0)*5)</f>
        <v>482</v>
      </c>
      <c r="N94" s="1">
        <f t="shared" ref="N94" si="106">SUM(J94:M94)</f>
        <v>13846</v>
      </c>
      <c r="O94" s="1">
        <f t="shared" ref="O94" si="107">ROUND(N94*0.1, 0)</f>
        <v>1385</v>
      </c>
      <c r="P94" s="1">
        <f t="shared" si="83"/>
        <v>370</v>
      </c>
      <c r="Q94" s="1">
        <f t="shared" ref="Q94" si="108">FLOOR(N94+O94+P94, 10)</f>
        <v>15600</v>
      </c>
      <c r="R94" s="145">
        <f>Q94*(Sheet2!M55/(Sheet2!M55+C33))</f>
        <v>3713.5572774867833</v>
      </c>
      <c r="U94" s="146"/>
    </row>
    <row r="95" spans="8:21">
      <c r="H95" s="143"/>
      <c r="I95">
        <v>12</v>
      </c>
      <c r="J95" s="1">
        <f>IF(MAX(Sheet2!N55+C34-C48,0)&lt;=200, 910, IF(MAX(Sheet2!N55+C34-C48,0)&lt;=400, 1600, 7300))</f>
        <v>1600</v>
      </c>
      <c r="K95" s="1">
        <f>INT(IF(MAX(Sheet2!N55+C34-C48,0)&lt;=200, MAX(Sheet2!N55+C34-C48,0)*120, IF(MAX(Sheet2!N55+C34-C48,0)&lt;=400, 24000+(MAX(Sheet2!N55+C34-C48,0)-200)*214.6, 66920+(MAX(Sheet2!N55+C34-C48,0)-400)*307.3)))</f>
        <v>25742</v>
      </c>
      <c r="L95" s="1">
        <f>INT(MAX(Sheet2!N55+C34-C48,0)*9)</f>
        <v>1873</v>
      </c>
      <c r="M95" s="1">
        <f>INT(MAX(Sheet2!N55+C34-C48,0)*5)</f>
        <v>1040</v>
      </c>
      <c r="N95" s="1">
        <f t="shared" ref="N95" si="109">SUM(J95:M95)</f>
        <v>30255</v>
      </c>
      <c r="O95" s="1">
        <f t="shared" ref="O95" si="110">ROUND(N95*0.1, 0)</f>
        <v>3026</v>
      </c>
      <c r="P95" s="1">
        <f t="shared" si="83"/>
        <v>810</v>
      </c>
      <c r="Q95" s="1">
        <f t="shared" ref="Q95" si="111">FLOOR(N95+O95+P95, 10)</f>
        <v>34090</v>
      </c>
      <c r="R95" s="145">
        <f>Q95*(Sheet2!N55/(Sheet2!N55+C34))</f>
        <v>11409.090386106727</v>
      </c>
      <c r="U95" s="146"/>
    </row>
    <row r="96" spans="8:21">
      <c r="H96" s="143"/>
      <c r="I96" t="s">
        <v>81</v>
      </c>
      <c r="J96" s="1" t="s">
        <v>386</v>
      </c>
      <c r="K96" s="1" t="s">
        <v>387</v>
      </c>
      <c r="L96" s="1" t="s">
        <v>388</v>
      </c>
      <c r="M96" s="1" t="s">
        <v>389</v>
      </c>
      <c r="N96" s="1" t="s">
        <v>390</v>
      </c>
      <c r="O96" s="1" t="s">
        <v>391</v>
      </c>
      <c r="P96" s="1" t="s">
        <v>392</v>
      </c>
      <c r="Q96" s="1" t="s">
        <v>393</v>
      </c>
      <c r="R96" s="1" t="s">
        <v>432</v>
      </c>
      <c r="S96" s="145">
        <f>SUM(R97:R108)</f>
        <v>60618.107285241109</v>
      </c>
      <c r="T96" s="145">
        <f>Sheet2!O18</f>
        <v>650516.39601400623</v>
      </c>
      <c r="U96" s="148">
        <f>(T96-S96)/T96</f>
        <v>0.90681540441305653</v>
      </c>
    </row>
    <row r="97" spans="3:21">
      <c r="H97" s="143"/>
      <c r="I97">
        <v>1</v>
      </c>
      <c r="J97" s="1">
        <f>IF(MAX(Sheet2!C56+C23-C37,0)&lt;=200, 910, IF(MAX(Sheet2!C56+C23-C37,0)&lt;=400, 1600, 7300))</f>
        <v>1600</v>
      </c>
      <c r="K97" s="1">
        <f>INT(IF(MAX(Sheet2!C56+C23-C37,0)&lt;=200, MAX(Sheet2!C56+C23-C37,0)*120, IF(MAX(Sheet2!C56+C23-C37,0)&lt;=400, 24000+(MAX(Sheet2!C56+C23-C37,0)-200)*214.6, 66920+(MAX(Sheet2!C56+C23-C37,0)-400)*307.3)))</f>
        <v>45930</v>
      </c>
      <c r="L97" s="1">
        <f>INT(MAX(Sheet2!C56+C23-C37,0)*9)</f>
        <v>2719</v>
      </c>
      <c r="M97" s="1">
        <f>INT(MAX(Sheet2!C56+C23-C37,0)*5)</f>
        <v>1510</v>
      </c>
      <c r="N97" s="1">
        <f t="shared" ref="N97" si="112">SUM(J97:M97)</f>
        <v>51759</v>
      </c>
      <c r="O97" s="1">
        <f t="shared" ref="O97" si="113">ROUND(N97*0.1, 0)</f>
        <v>5176</v>
      </c>
      <c r="P97" s="1">
        <f t="shared" ref="P97:P108" si="114">FLOOR(N97*0.027, 10)</f>
        <v>1390</v>
      </c>
      <c r="Q97" s="1">
        <f t="shared" ref="Q97" si="115">FLOOR(N97+O97+P97, 10)</f>
        <v>58320</v>
      </c>
      <c r="R97" s="145">
        <f>Q97*(Sheet2!C56/(Sheet2!C56+C23))</f>
        <v>24727.342426737072</v>
      </c>
      <c r="U97" s="146"/>
    </row>
    <row r="98" spans="3:21">
      <c r="H98" s="143"/>
      <c r="I98">
        <v>2</v>
      </c>
      <c r="J98" s="1">
        <f>IF(MAX(Sheet2!D56+C24-C38,0)&lt;=200, 910, IF(MAX(Sheet2!D56+C24-C38,0)&lt;=400, 1600, 7300))</f>
        <v>1600</v>
      </c>
      <c r="K98" s="1">
        <f>INT(IF(MAX(Sheet2!D56+C24-C38,0)&lt;=200, MAX(Sheet2!D56+C24-C38,0)*120, IF(MAX(Sheet2!D56+C24-C38,0)&lt;=400, 24000+(MAX(Sheet2!D56+C24-C38,0)-200)*214.6, 66920+(MAX(Sheet2!D56+C24-C38,0)-400)*307.3)))</f>
        <v>28823</v>
      </c>
      <c r="L98" s="1">
        <f>INT(MAX(Sheet2!D56+C24-C38,0)*9)</f>
        <v>2002</v>
      </c>
      <c r="M98" s="1">
        <f>INT(MAX(Sheet2!D56+C24-C38,0)*5)</f>
        <v>1112</v>
      </c>
      <c r="N98" s="1">
        <f t="shared" ref="N98" si="116">SUM(J98:M98)</f>
        <v>33537</v>
      </c>
      <c r="O98" s="1">
        <f t="shared" ref="O98" si="117">ROUND(N98*0.1, 0)</f>
        <v>3354</v>
      </c>
      <c r="P98" s="1">
        <f t="shared" si="114"/>
        <v>900</v>
      </c>
      <c r="Q98" s="1">
        <f t="shared" ref="Q98" si="118">FLOOR(N98+O98+P98, 10)</f>
        <v>37790</v>
      </c>
      <c r="R98" s="145">
        <f>Q98*(Sheet2!D56/(Sheet2!D56+C24))</f>
        <v>15187.328001039023</v>
      </c>
      <c r="U98" s="146"/>
    </row>
    <row r="99" spans="3:21">
      <c r="H99" s="143"/>
      <c r="I99">
        <v>3</v>
      </c>
      <c r="J99" s="1">
        <f>IF(MAX(Sheet2!E56+C25-C39,0)&lt;=200, 910, IF(MAX(Sheet2!E56+C25-C39,0)&lt;=400, 1600, 7300))</f>
        <v>910</v>
      </c>
      <c r="K99" s="1">
        <f>INT(IF(MAX(Sheet2!E56+C25-C39,0)&lt;=200, MAX(Sheet2!E56+C25-C39,0)*120, IF(MAX(Sheet2!E56+C25-C39,0)&lt;=400, 24000+(MAX(Sheet2!E56+C25-C39,0)-200)*214.6, 66920+(MAX(Sheet2!E56+C25-C39,0)-400)*307.3)))</f>
        <v>14800</v>
      </c>
      <c r="L99" s="1">
        <f>INT(MAX(Sheet2!E56+C25-C39,0)*9)</f>
        <v>1110</v>
      </c>
      <c r="M99" s="1">
        <f>INT(MAX(Sheet2!E56+C25-C39,0)*5)</f>
        <v>616</v>
      </c>
      <c r="N99" s="1">
        <f t="shared" ref="N99" si="119">SUM(J99:M99)</f>
        <v>17436</v>
      </c>
      <c r="O99" s="1">
        <f t="shared" ref="O99" si="120">ROUND(N99*0.1, 0)</f>
        <v>1744</v>
      </c>
      <c r="P99" s="1">
        <f t="shared" si="114"/>
        <v>470</v>
      </c>
      <c r="Q99" s="1">
        <f t="shared" ref="Q99" si="121">FLOOR(N99+O99+P99, 10)</f>
        <v>19650</v>
      </c>
      <c r="R99" s="145">
        <f>Q99*(Sheet2!E56/(Sheet2!E56+C25))</f>
        <v>6804.3251701912586</v>
      </c>
      <c r="U99" s="146"/>
    </row>
    <row r="100" spans="3:21">
      <c r="H100" s="143"/>
      <c r="I100">
        <v>4</v>
      </c>
      <c r="J100" s="1">
        <f>IF(MAX(Sheet2!F56+C26-C40,0)&lt;=200, 910, IF(MAX(Sheet2!F56+C26-C40,0)&lt;=400, 1600, 7300))</f>
        <v>910</v>
      </c>
      <c r="K100" s="1">
        <f>INT(IF(MAX(Sheet2!F56+C26-C40,0)&lt;=200, MAX(Sheet2!F56+C26-C40,0)*120, IF(MAX(Sheet2!F56+C26-C40,0)&lt;=400, 24000+(MAX(Sheet2!F56+C26-C40,0)-200)*214.6, 66920+(MAX(Sheet2!F56+C26-C40,0)-400)*307.3)))</f>
        <v>0</v>
      </c>
      <c r="L100" s="1">
        <f>INT(MAX(Sheet2!F56+C26-C40,0)*9)</f>
        <v>0</v>
      </c>
      <c r="M100" s="1">
        <f>INT(MAX(Sheet2!F56+C26-C40,0)*5)</f>
        <v>0</v>
      </c>
      <c r="N100" s="1">
        <f t="shared" ref="N100" si="122">SUM(J100:M100)</f>
        <v>910</v>
      </c>
      <c r="O100" s="1">
        <f t="shared" ref="O100" si="123">ROUND(N100*0.1, 0)</f>
        <v>91</v>
      </c>
      <c r="P100" s="1">
        <f t="shared" si="114"/>
        <v>20</v>
      </c>
      <c r="Q100" s="1">
        <f t="shared" ref="Q100" si="124">FLOOR(N100+O100+P100, 10)</f>
        <v>1020</v>
      </c>
      <c r="R100" s="145">
        <f>Q100*(Sheet2!F56/(Sheet2!F56+C26))</f>
        <v>250.85827194562538</v>
      </c>
      <c r="U100" s="146"/>
    </row>
    <row r="101" spans="3:21">
      <c r="H101" s="143"/>
      <c r="I101">
        <v>5</v>
      </c>
      <c r="J101" s="1">
        <f>IF(MAX(Sheet2!G56+C27-C41,0)&lt;=200, 910, IF(MAX(Sheet2!G56+C27-C41,0)&lt;=400, 1600, 7300))</f>
        <v>910</v>
      </c>
      <c r="K101" s="1">
        <f>INT(IF(MAX(Sheet2!G56+C27-C41,0)&lt;=200, MAX(Sheet2!G56+C27-C41,0)*120, IF(MAX(Sheet2!G56+C27-C41,0)&lt;=400, 24000+(MAX(Sheet2!G56+C27-C41,0)-200)*214.6, 66920+(MAX(Sheet2!G56+C27-C41,0)-400)*307.3)))</f>
        <v>0</v>
      </c>
      <c r="L101" s="1">
        <f>INT(MAX(Sheet2!G56+C27-C41,0)*9)</f>
        <v>0</v>
      </c>
      <c r="M101" s="1">
        <f>INT(MAX(Sheet2!G56+C27-C41,0)*5)</f>
        <v>0</v>
      </c>
      <c r="N101" s="1">
        <f t="shared" ref="N101" si="125">SUM(J101:M101)</f>
        <v>910</v>
      </c>
      <c r="O101" s="1">
        <f t="shared" ref="O101" si="126">ROUND(N101*0.1, 0)</f>
        <v>91</v>
      </c>
      <c r="P101" s="1">
        <f t="shared" si="114"/>
        <v>20</v>
      </c>
      <c r="Q101" s="1">
        <f t="shared" ref="Q101" si="127">FLOOR(N101+O101+P101, 10)</f>
        <v>1020</v>
      </c>
      <c r="R101" s="145">
        <f>Q101*(Sheet2!G56/(Sheet2!G56+C27))</f>
        <v>152.14585318816216</v>
      </c>
      <c r="U101" s="146"/>
    </row>
    <row r="102" spans="3:21">
      <c r="H102" s="143"/>
      <c r="I102">
        <v>6</v>
      </c>
      <c r="J102" s="1">
        <f>IF(MAX(Sheet2!H56+C28-C42,0)&lt;=200, 910, IF(MAX(Sheet2!H56+C28-C42,0)&lt;=400, 1600, 7300))</f>
        <v>910</v>
      </c>
      <c r="K102" s="1">
        <f>INT(IF(MAX(Sheet2!H56+C28-C42,0)&lt;=200, MAX(Sheet2!H56+C28-C42,0)*120, IF(MAX(Sheet2!H56+C28-C42,0)&lt;=400, 24000+(MAX(Sheet2!H56+C28-C42,0)-200)*214.6, 66920+(MAX(Sheet2!H56+C28-C42,0)-400)*307.3)))</f>
        <v>0</v>
      </c>
      <c r="L102" s="1">
        <f>INT(MAX(Sheet2!H56+C28-C42,0)*9)</f>
        <v>0</v>
      </c>
      <c r="M102" s="1">
        <f>INT(MAX(Sheet2!H56+C28-C42,0)*5)</f>
        <v>0</v>
      </c>
      <c r="N102" s="1">
        <f t="shared" ref="N102:N103" si="128">SUM(J102:M102)</f>
        <v>910</v>
      </c>
      <c r="O102" s="1">
        <f t="shared" ref="O102:O103" si="129">ROUND(N102*0.1, 0)</f>
        <v>91</v>
      </c>
      <c r="P102" s="1">
        <f t="shared" si="114"/>
        <v>20</v>
      </c>
      <c r="Q102" s="1">
        <f t="shared" ref="Q102:Q103" si="130">FLOOR(N102+O102+P102, 10)</f>
        <v>1020</v>
      </c>
      <c r="R102" s="145">
        <f>Q102*(Sheet2!H56/(Sheet2!H56+C28))</f>
        <v>93.228970241045872</v>
      </c>
      <c r="U102" s="146"/>
    </row>
    <row r="103" spans="3:21">
      <c r="H103" s="143"/>
      <c r="I103">
        <v>7</v>
      </c>
      <c r="J103" s="1">
        <f>IF(MAX(Sheet2!I56+C29-C43,0)&lt;=300, 910, IF(MAX(Sheet2!I56+C29-C43,0)&lt;=450, 1600, 7300))</f>
        <v>910</v>
      </c>
      <c r="K103" s="1">
        <f>INT(IF(MAX(Sheet2!I56+C29-C43,0)&lt;=300, MAX(Sheet2!I56+C29-C43,0)*120, IF(MAX(Sheet2!I56+C29-C43,0)&lt;=450, 36000+(MAX(Sheet2!I56+C29-C43,0)-300)*214.6, 68190+(MAX(Sheet2!I56+C29-C43,0)-450)*307.3)))</f>
        <v>0</v>
      </c>
      <c r="L103" s="1">
        <f>INT(MAX(Sheet2!I56+C29-C43,0)*9)</f>
        <v>0</v>
      </c>
      <c r="M103" s="1">
        <f>INT(MAX(Sheet2!I56+C29-C43,0)*5)</f>
        <v>0</v>
      </c>
      <c r="N103" s="1">
        <f t="shared" si="128"/>
        <v>910</v>
      </c>
      <c r="O103" s="1">
        <f t="shared" si="129"/>
        <v>91</v>
      </c>
      <c r="P103" s="1">
        <f t="shared" si="114"/>
        <v>20</v>
      </c>
      <c r="Q103" s="1">
        <f t="shared" si="130"/>
        <v>1020</v>
      </c>
      <c r="R103" s="145">
        <f>Q103*(Sheet2!I56/(Sheet2!I56+C29))</f>
        <v>43.586674343820327</v>
      </c>
      <c r="U103" s="146"/>
    </row>
    <row r="104" spans="3:21">
      <c r="H104" s="143"/>
      <c r="I104">
        <v>8</v>
      </c>
      <c r="J104" s="1">
        <f>IF(MAX(Sheet2!J56+C30-C44,0)&lt;=300, 910, IF(MAX(Sheet2!J56+C30-C44,0)&lt;=450, 1600, 7300))</f>
        <v>910</v>
      </c>
      <c r="K104" s="1">
        <f>INT(IF(MAX(Sheet2!J56+C30-C44,0)&lt;=300, MAX(Sheet2!J56+C30-C44,0)*120, IF(MAX(Sheet2!J56+C30-C44,0)&lt;=450, 36000+(MAX(Sheet2!J56+C30-C44,0)-300)*214.6, 68190+(MAX(Sheet2!J56+C30-C44,0)-450)*307.3)))</f>
        <v>15913</v>
      </c>
      <c r="L104" s="1">
        <f>INT(MAX(Sheet2!J56+C30-C44,0)*9)</f>
        <v>1193</v>
      </c>
      <c r="M104" s="1">
        <f>INT(MAX(Sheet2!J56+C30-C44,0)*5)</f>
        <v>663</v>
      </c>
      <c r="N104" s="1">
        <f t="shared" ref="N104:N105" si="131">SUM(J104:M104)</f>
        <v>18679</v>
      </c>
      <c r="O104" s="1">
        <f t="shared" ref="O104:O105" si="132">ROUND(N104*0.1, 0)</f>
        <v>1868</v>
      </c>
      <c r="P104" s="1">
        <f t="shared" si="114"/>
        <v>500</v>
      </c>
      <c r="Q104" s="1">
        <f t="shared" ref="Q104:Q105" si="133">FLOOR(N104+O104+P104, 10)</f>
        <v>21040</v>
      </c>
      <c r="R104" s="145">
        <f>Q104*(Sheet2!J56/(Sheet2!J56+C30))</f>
        <v>719.18760435538161</v>
      </c>
      <c r="U104" s="146"/>
    </row>
    <row r="105" spans="3:21">
      <c r="H105" s="143"/>
      <c r="I105">
        <v>9</v>
      </c>
      <c r="J105" s="1">
        <f>IF(MAX(Sheet2!K56+C31-C45,0)&lt;=200, 910, IF(MAX(Sheet2!K56+C31-C45,0)&lt;=400, 1600, 7300))</f>
        <v>910</v>
      </c>
      <c r="K105" s="1">
        <f>INT(IF(MAX(Sheet2!K56+C31-C45,0)&lt;=200, MAX(Sheet2!K56+C31-C45,0)*120, IF(MAX(Sheet2!K56+C31-C45,0)&lt;=400, 24000+(MAX(Sheet2!K56+C31-C45,0)-200)*214.6, 66920+(MAX(Sheet2!K56+C31-C45,0)-400)*307.3)))</f>
        <v>12678</v>
      </c>
      <c r="L105" s="1">
        <f>INT(MAX(Sheet2!K56+C31-C45,0)*9)</f>
        <v>950</v>
      </c>
      <c r="M105" s="1">
        <f>INT(MAX(Sheet2!K56+C31-C45,0)*5)</f>
        <v>528</v>
      </c>
      <c r="N105" s="1">
        <f t="shared" si="131"/>
        <v>15066</v>
      </c>
      <c r="O105" s="1">
        <f t="shared" si="132"/>
        <v>1507</v>
      </c>
      <c r="P105" s="1">
        <f t="shared" si="114"/>
        <v>400</v>
      </c>
      <c r="Q105" s="1">
        <f t="shared" si="133"/>
        <v>16970</v>
      </c>
      <c r="R105" s="145">
        <f>Q105*(Sheet2!K56/(Sheet2!K56+C31))</f>
        <v>1097.871322301758</v>
      </c>
      <c r="U105" s="146"/>
    </row>
    <row r="106" spans="3:21">
      <c r="H106" s="143"/>
      <c r="I106">
        <v>10</v>
      </c>
      <c r="J106" s="1">
        <f>IF(MAX(Sheet2!L56+C32-C46,0)&lt;=200, 910, IF(MAX(Sheet2!L56+C32-C46,0)&lt;=400, 1600, 7300))</f>
        <v>910</v>
      </c>
      <c r="K106" s="1">
        <f>INT(IF(MAX(Sheet2!L56+C32-C46,0)&lt;=200, MAX(Sheet2!L56+C32-C46,0)*120, IF(MAX(Sheet2!L56+C32-C46,0)&lt;=400, 24000+(MAX(Sheet2!L56+C32-C46,0)-200)*214.6, 66920+(MAX(Sheet2!L56+C32-C46,0)-400)*307.3)))</f>
        <v>3241</v>
      </c>
      <c r="L106" s="1">
        <f>INT(MAX(Sheet2!L56+C32-C46,0)*9)</f>
        <v>243</v>
      </c>
      <c r="M106" s="1">
        <f>INT(MAX(Sheet2!L56+C32-C46,0)*5)</f>
        <v>135</v>
      </c>
      <c r="N106" s="1">
        <f t="shared" ref="N106" si="134">SUM(J106:M106)</f>
        <v>4529</v>
      </c>
      <c r="O106" s="1">
        <f t="shared" ref="O106" si="135">ROUND(N106*0.1, 0)</f>
        <v>453</v>
      </c>
      <c r="P106" s="1">
        <f t="shared" si="114"/>
        <v>120</v>
      </c>
      <c r="Q106" s="1">
        <f t="shared" ref="Q106" si="136">FLOOR(N106+O106+P106, 10)</f>
        <v>5100</v>
      </c>
      <c r="R106" s="145">
        <f>Q106*(Sheet2!L56/(Sheet2!L56+C32))</f>
        <v>536.65343140093898</v>
      </c>
      <c r="U106" s="146"/>
    </row>
    <row r="107" spans="3:21">
      <c r="H107" s="143"/>
      <c r="I107">
        <v>11</v>
      </c>
      <c r="J107" s="1">
        <f>IF(MAX(Sheet2!M56+C33-C47,0)&lt;=200, 910, IF(MAX(Sheet2!M56+C33-C47,0)&lt;=400, 1600, 7300))</f>
        <v>910</v>
      </c>
      <c r="K107" s="1">
        <f>INT(IF(MAX(Sheet2!M56+C33-C47,0)&lt;=200, MAX(Sheet2!M56+C33-C47,0)*120, IF(MAX(Sheet2!M56+C33-C47,0)&lt;=400, 24000+(MAX(Sheet2!M56+C33-C47,0)-200)*214.6, 66920+(MAX(Sheet2!M56+C33-C47,0)-400)*307.3)))</f>
        <v>9801</v>
      </c>
      <c r="L107" s="1">
        <f>INT(MAX(Sheet2!M56+C33-C47,0)*9)</f>
        <v>735</v>
      </c>
      <c r="M107" s="1">
        <f>INT(MAX(Sheet2!M56+C33-C47,0)*5)</f>
        <v>408</v>
      </c>
      <c r="N107" s="1">
        <f t="shared" ref="N107" si="137">SUM(J107:M107)</f>
        <v>11854</v>
      </c>
      <c r="O107" s="1">
        <f t="shared" ref="O107" si="138">ROUND(N107*0.1, 0)</f>
        <v>1185</v>
      </c>
      <c r="P107" s="1">
        <f t="shared" si="114"/>
        <v>320</v>
      </c>
      <c r="Q107" s="1">
        <f t="shared" ref="Q107" si="139">FLOOR(N107+O107+P107, 10)</f>
        <v>13350</v>
      </c>
      <c r="R107" s="145">
        <f>Q107*(Sheet2!M56/(Sheet2!M56+C33))</f>
        <v>2706.4293294655558</v>
      </c>
      <c r="U107" s="146"/>
    </row>
    <row r="108" spans="3:21">
      <c r="H108" s="150"/>
      <c r="I108" s="55">
        <v>12</v>
      </c>
      <c r="J108" s="156">
        <f>IF(MAX(Sheet2!N56+C34-C48,0)&lt;=200, 910, IF(MAX(Sheet2!N56+C34-C48,0)&lt;=400, 1600, 7300))</f>
        <v>910</v>
      </c>
      <c r="K108" s="156">
        <f>INT(IF(MAX(Sheet2!N56+C34-C48,0)&lt;=200, MAX(Sheet2!N56+C34-C48,0)*120, IF(MAX(Sheet2!N56+C34-C48,0)&lt;=400, 24000+(MAX(Sheet2!N56+C34-C48,0)-200)*214.6, 66920+(MAX(Sheet2!N56+C34-C48,0)-400)*307.3)))</f>
        <v>21896</v>
      </c>
      <c r="L108" s="156">
        <f>INT(MAX(Sheet2!N56+C34-C48,0)*9)</f>
        <v>1642</v>
      </c>
      <c r="M108" s="156">
        <f>INT(MAX(Sheet2!N56+C34-C48,0)*5)</f>
        <v>912</v>
      </c>
      <c r="N108" s="156">
        <f t="shared" ref="N108" si="140">SUM(J108:M108)</f>
        <v>25360</v>
      </c>
      <c r="O108" s="156">
        <f t="shared" ref="O108" si="141">ROUND(N108*0.1, 0)</f>
        <v>2536</v>
      </c>
      <c r="P108" s="156">
        <f t="shared" si="114"/>
        <v>680</v>
      </c>
      <c r="Q108" s="156">
        <f t="shared" ref="Q108" si="142">FLOOR(N108+O108+P108, 10)</f>
        <v>28570</v>
      </c>
      <c r="R108" s="152">
        <f>Q108*(Sheet2!N56/(Sheet2!N56+C34))</f>
        <v>8299.1502300314587</v>
      </c>
      <c r="S108" s="156"/>
      <c r="T108" s="156"/>
      <c r="U108" s="153"/>
    </row>
    <row r="109" spans="3:21">
      <c r="C109" t="s">
        <v>434</v>
      </c>
      <c r="D109" s="1">
        <f>ROUNDUP(Sheet2!C4/D110,0)</f>
        <v>4</v>
      </c>
      <c r="H109" s="139" t="s">
        <v>445</v>
      </c>
      <c r="I109" s="154" t="s">
        <v>78</v>
      </c>
      <c r="J109" s="154" t="s">
        <v>386</v>
      </c>
      <c r="K109" s="154" t="s">
        <v>387</v>
      </c>
      <c r="L109" s="154" t="s">
        <v>388</v>
      </c>
      <c r="M109" s="154" t="s">
        <v>389</v>
      </c>
      <c r="N109" s="154" t="s">
        <v>390</v>
      </c>
      <c r="O109" s="154" t="s">
        <v>391</v>
      </c>
      <c r="P109" s="154" t="s">
        <v>392</v>
      </c>
      <c r="Q109" s="154" t="s">
        <v>393</v>
      </c>
      <c r="R109" s="154" t="s">
        <v>432</v>
      </c>
      <c r="S109" s="157">
        <f>SUM(R110:R121)</f>
        <v>562990</v>
      </c>
      <c r="T109" s="157">
        <f>Sheet2!$O$18</f>
        <v>650516.39601400623</v>
      </c>
      <c r="U109" s="142">
        <f>(T109-S109)/T109</f>
        <v>0.13454910060732997</v>
      </c>
    </row>
    <row r="110" spans="3:21">
      <c r="C110" t="s">
        <v>435</v>
      </c>
      <c r="D110" s="1">
        <v>3</v>
      </c>
      <c r="H110" s="143"/>
      <c r="I110">
        <v>1</v>
      </c>
      <c r="J110" s="1">
        <f t="shared" ref="J110:J121" si="143">$D$109*$C$113</f>
        <v>24640</v>
      </c>
      <c r="K110">
        <f>ROUNDDOWN(Sheet2!C53*$F$113,0)</f>
        <v>44782</v>
      </c>
      <c r="L110" s="1">
        <f>INT(Sheet2!C53*9)</f>
        <v>3386</v>
      </c>
      <c r="M110" s="1">
        <f>INT(Sheet2!C53*5)</f>
        <v>1881</v>
      </c>
      <c r="N110" s="1">
        <f t="shared" ref="N110" si="144">SUM(J110:M110)</f>
        <v>74689</v>
      </c>
      <c r="O110" s="1">
        <f t="shared" ref="O110" si="145">ROUND(N110*0.1, 0)</f>
        <v>7469</v>
      </c>
      <c r="P110" s="1">
        <f t="shared" ref="P110" si="146">FLOOR(N110*0.027, 10)</f>
        <v>2010</v>
      </c>
      <c r="Q110" s="1">
        <f t="shared" ref="Q110" si="147">FLOOR(N110+O110+P110, 10)</f>
        <v>84160</v>
      </c>
      <c r="R110" s="1">
        <f t="shared" ref="R110:R121" si="148">Q110</f>
        <v>84160</v>
      </c>
      <c r="U110" s="146"/>
    </row>
    <row r="111" spans="3:21">
      <c r="H111" s="143"/>
      <c r="I111">
        <v>2</v>
      </c>
      <c r="J111" s="1">
        <f t="shared" si="143"/>
        <v>24640</v>
      </c>
      <c r="K111">
        <f>ROUNDDOWN(Sheet2!D53*$F$113,0)</f>
        <v>40236</v>
      </c>
      <c r="L111" s="1">
        <f>INT(Sheet2!D53*9)</f>
        <v>3043</v>
      </c>
      <c r="M111" s="1">
        <f>INT(Sheet2!D53*5)</f>
        <v>1690</v>
      </c>
      <c r="N111" s="1">
        <f t="shared" ref="N111" si="149">SUM(J111:M111)</f>
        <v>69609</v>
      </c>
      <c r="O111" s="1">
        <f t="shared" ref="O111" si="150">ROUND(N111*0.1, 0)</f>
        <v>6961</v>
      </c>
      <c r="P111" s="1">
        <f t="shared" ref="P111" si="151">FLOOR(N111*0.027, 10)</f>
        <v>1870</v>
      </c>
      <c r="Q111" s="1">
        <f t="shared" ref="Q111" si="152">FLOOR(N111+O111+P111, 10)</f>
        <v>78440</v>
      </c>
      <c r="R111" s="1">
        <f t="shared" si="148"/>
        <v>78440</v>
      </c>
      <c r="U111" s="146"/>
    </row>
    <row r="112" spans="3:21">
      <c r="H112" s="143"/>
      <c r="I112">
        <v>3</v>
      </c>
      <c r="J112" s="1">
        <f t="shared" si="143"/>
        <v>24640</v>
      </c>
      <c r="K112">
        <f>ROUNDDOWN(Sheet2!E53*$E$113,0)</f>
        <v>22630</v>
      </c>
      <c r="L112" s="1">
        <f>INT(Sheet2!E53*9)</f>
        <v>2216</v>
      </c>
      <c r="M112" s="1">
        <f>INT(Sheet2!E53*5)</f>
        <v>1231</v>
      </c>
      <c r="N112" s="1">
        <f t="shared" ref="N112" si="153">SUM(J112:M112)</f>
        <v>50717</v>
      </c>
      <c r="O112" s="1">
        <f t="shared" ref="O112" si="154">ROUND(N112*0.1, 0)</f>
        <v>5072</v>
      </c>
      <c r="P112" s="1">
        <f t="shared" ref="P112" si="155">FLOOR(N112*0.027, 10)</f>
        <v>1360</v>
      </c>
      <c r="Q112" s="1">
        <f t="shared" ref="Q112" si="156">FLOOR(N112+O112+P112, 10)</f>
        <v>57140</v>
      </c>
      <c r="R112" s="1">
        <f t="shared" si="148"/>
        <v>57140</v>
      </c>
      <c r="U112" s="146"/>
    </row>
    <row r="113" spans="3:21">
      <c r="C113" s="132">
        <v>6160</v>
      </c>
      <c r="D113" s="125">
        <v>132.4</v>
      </c>
      <c r="E113" s="132">
        <v>91.9</v>
      </c>
      <c r="F113" s="132">
        <v>119</v>
      </c>
      <c r="H113" s="143"/>
      <c r="I113">
        <v>4</v>
      </c>
      <c r="J113" s="1">
        <f t="shared" si="143"/>
        <v>24640</v>
      </c>
      <c r="K113">
        <f>ROUNDDOWN(Sheet2!F53*$E$113,0)</f>
        <v>12820</v>
      </c>
      <c r="L113" s="1">
        <f>INT(Sheet2!F53*9)</f>
        <v>1255</v>
      </c>
      <c r="M113" s="1">
        <f>INT(Sheet2!F53*5)</f>
        <v>697</v>
      </c>
      <c r="N113" s="1">
        <f t="shared" ref="N113:N114" si="157">SUM(J113:M113)</f>
        <v>39412</v>
      </c>
      <c r="O113" s="1">
        <f t="shared" ref="O113:O114" si="158">ROUND(N113*0.1, 0)</f>
        <v>3941</v>
      </c>
      <c r="P113" s="1">
        <f t="shared" ref="P113:P114" si="159">FLOOR(N113*0.027, 10)</f>
        <v>1060</v>
      </c>
      <c r="Q113" s="1">
        <f t="shared" ref="Q113:Q114" si="160">FLOOR(N113+O113+P113, 10)</f>
        <v>44410</v>
      </c>
      <c r="R113" s="1">
        <f t="shared" si="148"/>
        <v>44410</v>
      </c>
      <c r="U113" s="146"/>
    </row>
    <row r="114" spans="3:21">
      <c r="C114" t="s">
        <v>386</v>
      </c>
      <c r="D114" s="1" t="s">
        <v>437</v>
      </c>
      <c r="E114" t="s">
        <v>440</v>
      </c>
      <c r="F114" t="s">
        <v>443</v>
      </c>
      <c r="H114" s="143"/>
      <c r="I114">
        <v>5</v>
      </c>
      <c r="J114" s="1">
        <f t="shared" si="143"/>
        <v>24640</v>
      </c>
      <c r="K114">
        <f>ROUNDDOWN(Sheet2!G53*$E$113,0)</f>
        <v>6565</v>
      </c>
      <c r="L114" s="1">
        <f>INT(Sheet2!G53*9)</f>
        <v>642</v>
      </c>
      <c r="M114" s="1">
        <f>INT(Sheet2!G53*5)</f>
        <v>357</v>
      </c>
      <c r="N114" s="1">
        <f t="shared" si="157"/>
        <v>32204</v>
      </c>
      <c r="O114" s="1">
        <f t="shared" si="158"/>
        <v>3220</v>
      </c>
      <c r="P114" s="1">
        <f t="shared" si="159"/>
        <v>860</v>
      </c>
      <c r="Q114" s="1">
        <f t="shared" si="160"/>
        <v>36280</v>
      </c>
      <c r="R114" s="1">
        <f t="shared" si="148"/>
        <v>36280</v>
      </c>
      <c r="U114" s="146"/>
    </row>
    <row r="115" spans="3:21">
      <c r="C115" t="s">
        <v>436</v>
      </c>
      <c r="D115" s="1" t="s">
        <v>438</v>
      </c>
      <c r="E115" t="s">
        <v>441</v>
      </c>
      <c r="F115" t="s">
        <v>444</v>
      </c>
      <c r="H115" s="143"/>
      <c r="I115">
        <v>6</v>
      </c>
      <c r="J115" s="1">
        <f t="shared" si="143"/>
        <v>24640</v>
      </c>
      <c r="K115">
        <f>ROUNDDOWN(Sheet2!H53*$D$113,0)</f>
        <v>5465</v>
      </c>
      <c r="L115" s="1">
        <f>INT(Sheet2!H53*9)</f>
        <v>371</v>
      </c>
      <c r="M115" s="1">
        <f>INT(Sheet2!H53*5)</f>
        <v>206</v>
      </c>
      <c r="N115" s="1">
        <f t="shared" ref="N115" si="161">SUM(J115:M115)</f>
        <v>30682</v>
      </c>
      <c r="O115" s="1">
        <f t="shared" ref="O115" si="162">ROUND(N115*0.1, 0)</f>
        <v>3068</v>
      </c>
      <c r="P115" s="1">
        <f t="shared" ref="P115" si="163">FLOOR(N115*0.027, 10)</f>
        <v>820</v>
      </c>
      <c r="Q115" s="1">
        <f t="shared" ref="Q115" si="164">FLOOR(N115+O115+P115, 10)</f>
        <v>34570</v>
      </c>
      <c r="R115" s="1">
        <f t="shared" si="148"/>
        <v>34570</v>
      </c>
      <c r="U115" s="146"/>
    </row>
    <row r="116" spans="3:21">
      <c r="D116" s="1" t="s">
        <v>439</v>
      </c>
      <c r="E116" t="s">
        <v>442</v>
      </c>
      <c r="H116" s="143"/>
      <c r="I116">
        <v>7</v>
      </c>
      <c r="J116" s="1">
        <f t="shared" si="143"/>
        <v>24640</v>
      </c>
      <c r="K116">
        <f>ROUNDDOWN(Sheet2!I53*$D$113,0)</f>
        <v>3105</v>
      </c>
      <c r="L116" s="1">
        <f>INT(Sheet2!I53*9)</f>
        <v>211</v>
      </c>
      <c r="M116" s="1">
        <f>INT(Sheet2!I53*5)</f>
        <v>117</v>
      </c>
      <c r="N116" s="1">
        <f t="shared" ref="N116:N117" si="165">SUM(J116:M116)</f>
        <v>28073</v>
      </c>
      <c r="O116" s="1">
        <f t="shared" ref="O116:O117" si="166">ROUND(N116*0.1, 0)</f>
        <v>2807</v>
      </c>
      <c r="P116" s="1">
        <f t="shared" ref="P116:P117" si="167">FLOOR(N116*0.027, 10)</f>
        <v>750</v>
      </c>
      <c r="Q116" s="1">
        <f t="shared" ref="Q116:Q117" si="168">FLOOR(N116+O116+P116, 10)</f>
        <v>31630</v>
      </c>
      <c r="R116" s="1">
        <f t="shared" si="148"/>
        <v>31630</v>
      </c>
      <c r="U116" s="146"/>
    </row>
    <row r="117" spans="3:21">
      <c r="H117" s="143"/>
      <c r="I117">
        <v>8</v>
      </c>
      <c r="J117" s="1">
        <f t="shared" si="143"/>
        <v>24640</v>
      </c>
      <c r="K117">
        <f>ROUNDDOWN(Sheet2!J53*$D$113,0)</f>
        <v>2774</v>
      </c>
      <c r="L117" s="1">
        <f>INT(Sheet2!J53*9)</f>
        <v>188</v>
      </c>
      <c r="M117" s="1">
        <f>INT(Sheet2!J53*5)</f>
        <v>104</v>
      </c>
      <c r="N117" s="1">
        <f t="shared" si="165"/>
        <v>27706</v>
      </c>
      <c r="O117" s="1">
        <f t="shared" si="166"/>
        <v>2771</v>
      </c>
      <c r="P117" s="1">
        <f t="shared" si="167"/>
        <v>740</v>
      </c>
      <c r="Q117" s="1">
        <f t="shared" si="168"/>
        <v>31210</v>
      </c>
      <c r="R117" s="1">
        <f t="shared" si="148"/>
        <v>31210</v>
      </c>
      <c r="U117" s="146"/>
    </row>
    <row r="118" spans="3:21">
      <c r="H118" s="143"/>
      <c r="I118">
        <v>9</v>
      </c>
      <c r="J118" s="1">
        <f t="shared" si="143"/>
        <v>24640</v>
      </c>
      <c r="K118">
        <f>ROUNDDOWN(Sheet2!K53*$E$113,0)</f>
        <v>3012</v>
      </c>
      <c r="L118" s="1">
        <f>INT(Sheet2!K53*9)</f>
        <v>295</v>
      </c>
      <c r="M118" s="1">
        <f>INT(Sheet2!K53*5)</f>
        <v>163</v>
      </c>
      <c r="N118" s="1">
        <f t="shared" ref="N118" si="169">SUM(J118:M118)</f>
        <v>28110</v>
      </c>
      <c r="O118" s="1">
        <f t="shared" ref="O118" si="170">ROUND(N118*0.1, 0)</f>
        <v>2811</v>
      </c>
      <c r="P118" s="1">
        <f t="shared" ref="P118" si="171">FLOOR(N118*0.027, 10)</f>
        <v>750</v>
      </c>
      <c r="Q118" s="1">
        <f t="shared" ref="Q118" si="172">FLOOR(N118+O118+P118, 10)</f>
        <v>31670</v>
      </c>
      <c r="R118" s="1">
        <f t="shared" si="148"/>
        <v>31670</v>
      </c>
      <c r="U118" s="146"/>
    </row>
    <row r="119" spans="3:21">
      <c r="H119" s="143"/>
      <c r="I119">
        <v>10</v>
      </c>
      <c r="J119" s="1">
        <f t="shared" si="143"/>
        <v>24640</v>
      </c>
      <c r="K119">
        <f>ROUNDDOWN(Sheet2!L53*$E$113,0)</f>
        <v>4436</v>
      </c>
      <c r="L119" s="1">
        <f>INT(Sheet2!L53*9)</f>
        <v>434</v>
      </c>
      <c r="M119" s="1">
        <f>INT(Sheet2!L53*5)</f>
        <v>241</v>
      </c>
      <c r="N119" s="1">
        <f t="shared" ref="N119:N121" si="173">SUM(J119:M119)</f>
        <v>29751</v>
      </c>
      <c r="O119" s="1">
        <f t="shared" ref="O119:O121" si="174">ROUND(N119*0.1, 0)</f>
        <v>2975</v>
      </c>
      <c r="P119" s="1">
        <f t="shared" ref="P119:P121" si="175">FLOOR(N119*0.027, 10)</f>
        <v>800</v>
      </c>
      <c r="Q119" s="1">
        <f t="shared" ref="Q119:Q121" si="176">FLOOR(N119+O119+P119, 10)</f>
        <v>33520</v>
      </c>
      <c r="R119" s="1">
        <f t="shared" si="148"/>
        <v>33520</v>
      </c>
      <c r="U119" s="146"/>
    </row>
    <row r="120" spans="3:21">
      <c r="H120" s="143"/>
      <c r="I120">
        <v>11</v>
      </c>
      <c r="J120" s="1">
        <f t="shared" si="143"/>
        <v>24640</v>
      </c>
      <c r="K120">
        <f>ROUNDDOWN(Sheet2!M53*$F$113,0)</f>
        <v>12953</v>
      </c>
      <c r="L120" s="1">
        <f>INT(Sheet2!M53*9)</f>
        <v>979</v>
      </c>
      <c r="M120" s="1">
        <f>INT(Sheet2!M53*5)</f>
        <v>544</v>
      </c>
      <c r="N120" s="1">
        <f t="shared" si="173"/>
        <v>39116</v>
      </c>
      <c r="O120" s="1">
        <f t="shared" si="174"/>
        <v>3912</v>
      </c>
      <c r="P120" s="1">
        <f t="shared" si="175"/>
        <v>1050</v>
      </c>
      <c r="Q120" s="1">
        <f t="shared" si="176"/>
        <v>44070</v>
      </c>
      <c r="R120" s="1">
        <f t="shared" si="148"/>
        <v>44070</v>
      </c>
      <c r="U120" s="146"/>
    </row>
    <row r="121" spans="3:21">
      <c r="H121" s="143"/>
      <c r="I121">
        <v>12</v>
      </c>
      <c r="J121" s="1">
        <f t="shared" si="143"/>
        <v>24640</v>
      </c>
      <c r="K121">
        <f>ROUNDDOWN(Sheet2!N53*$F$113,0)</f>
        <v>22339</v>
      </c>
      <c r="L121" s="1">
        <f>INT(Sheet2!N53*9)</f>
        <v>1689</v>
      </c>
      <c r="M121" s="1">
        <f>INT(Sheet2!N53*5)</f>
        <v>938</v>
      </c>
      <c r="N121" s="1">
        <f t="shared" si="173"/>
        <v>49606</v>
      </c>
      <c r="O121" s="1">
        <f t="shared" si="174"/>
        <v>4961</v>
      </c>
      <c r="P121" s="1">
        <f t="shared" si="175"/>
        <v>1330</v>
      </c>
      <c r="Q121" s="1">
        <f t="shared" si="176"/>
        <v>55890</v>
      </c>
      <c r="R121" s="1">
        <f t="shared" si="148"/>
        <v>55890</v>
      </c>
      <c r="U121" s="146"/>
    </row>
    <row r="122" spans="3:21">
      <c r="H122" s="143"/>
      <c r="I122" s="6" t="s">
        <v>409</v>
      </c>
      <c r="J122" s="1" t="s">
        <v>386</v>
      </c>
      <c r="K122" s="1" t="s">
        <v>387</v>
      </c>
      <c r="L122" s="1" t="s">
        <v>388</v>
      </c>
      <c r="M122" s="1" t="s">
        <v>389</v>
      </c>
      <c r="N122" s="1" t="s">
        <v>390</v>
      </c>
      <c r="O122" s="1" t="s">
        <v>391</v>
      </c>
      <c r="P122" s="1" t="s">
        <v>392</v>
      </c>
      <c r="Q122" s="1" t="s">
        <v>393</v>
      </c>
      <c r="R122" s="1" t="s">
        <v>432</v>
      </c>
      <c r="S122" s="145">
        <f>SUM(R123:R134)</f>
        <v>540530</v>
      </c>
      <c r="T122" s="145">
        <f>Sheet2!$O$18</f>
        <v>650516.39601400623</v>
      </c>
      <c r="U122" s="148">
        <f>(T122-S122)/T122</f>
        <v>0.1690755170629675</v>
      </c>
    </row>
    <row r="123" spans="3:21">
      <c r="H123" s="143"/>
      <c r="I123">
        <v>1</v>
      </c>
      <c r="J123" s="1">
        <f t="shared" ref="J123:J134" si="177">$D$109*$C$113</f>
        <v>24640</v>
      </c>
      <c r="K123">
        <f>ROUNDDOWN(Sheet2!C54*$F$113,0)</f>
        <v>40401</v>
      </c>
      <c r="L123" s="1">
        <f>INT(Sheet2!C54*9)</f>
        <v>3055</v>
      </c>
      <c r="M123" s="1">
        <f>INT(Sheet2!C54*5)</f>
        <v>1697</v>
      </c>
      <c r="N123" s="1">
        <f t="shared" ref="N123:N134" si="178">SUM(J123:M123)</f>
        <v>69793</v>
      </c>
      <c r="O123" s="1">
        <f t="shared" ref="O123:O134" si="179">ROUND(N123*0.1, 0)</f>
        <v>6979</v>
      </c>
      <c r="P123" s="1">
        <f t="shared" ref="P123:P134" si="180">FLOOR(N123*0.027, 10)</f>
        <v>1880</v>
      </c>
      <c r="Q123" s="1">
        <f t="shared" ref="Q123:Q134" si="181">FLOOR(N123+O123+P123, 10)</f>
        <v>78650</v>
      </c>
      <c r="R123" s="1">
        <f t="shared" ref="R123:R134" si="182">Q123</f>
        <v>78650</v>
      </c>
      <c r="U123" s="146"/>
    </row>
    <row r="124" spans="3:21">
      <c r="H124" s="143"/>
      <c r="I124">
        <v>2</v>
      </c>
      <c r="J124" s="1">
        <f t="shared" si="177"/>
        <v>24640</v>
      </c>
      <c r="K124">
        <f>ROUNDDOWN(Sheet2!D54*$F$113,0)</f>
        <v>36300</v>
      </c>
      <c r="L124" s="1">
        <f>INT(Sheet2!D54*9)</f>
        <v>2745</v>
      </c>
      <c r="M124" s="1">
        <f>INT(Sheet2!D54*5)</f>
        <v>1525</v>
      </c>
      <c r="N124" s="1">
        <f t="shared" si="178"/>
        <v>65210</v>
      </c>
      <c r="O124" s="1">
        <f t="shared" si="179"/>
        <v>6521</v>
      </c>
      <c r="P124" s="1">
        <f t="shared" si="180"/>
        <v>1760</v>
      </c>
      <c r="Q124" s="1">
        <f t="shared" si="181"/>
        <v>73490</v>
      </c>
      <c r="R124" s="1">
        <f t="shared" si="182"/>
        <v>73490</v>
      </c>
      <c r="U124" s="146"/>
    </row>
    <row r="125" spans="3:21">
      <c r="H125" s="143"/>
      <c r="I125">
        <v>3</v>
      </c>
      <c r="J125" s="1">
        <f t="shared" si="177"/>
        <v>24640</v>
      </c>
      <c r="K125">
        <f>ROUNDDOWN(Sheet2!E54*$E$113,0)</f>
        <v>20416</v>
      </c>
      <c r="L125" s="1">
        <f>INT(Sheet2!E54*9)</f>
        <v>1999</v>
      </c>
      <c r="M125" s="1">
        <f>INT(Sheet2!E54*5)</f>
        <v>1110</v>
      </c>
      <c r="N125" s="1">
        <f t="shared" si="178"/>
        <v>48165</v>
      </c>
      <c r="O125" s="1">
        <f t="shared" si="179"/>
        <v>4817</v>
      </c>
      <c r="P125" s="1">
        <f t="shared" si="180"/>
        <v>1300</v>
      </c>
      <c r="Q125" s="1">
        <f t="shared" si="181"/>
        <v>54280</v>
      </c>
      <c r="R125" s="1">
        <f t="shared" si="182"/>
        <v>54280</v>
      </c>
      <c r="U125" s="146"/>
    </row>
    <row r="126" spans="3:21">
      <c r="H126" s="143"/>
      <c r="I126">
        <v>4</v>
      </c>
      <c r="J126" s="1">
        <f t="shared" si="177"/>
        <v>24640</v>
      </c>
      <c r="K126">
        <f>ROUNDDOWN(Sheet2!F54*$E$113,0)</f>
        <v>11566</v>
      </c>
      <c r="L126" s="1">
        <f>INT(Sheet2!F54*9)</f>
        <v>1132</v>
      </c>
      <c r="M126" s="1">
        <f>INT(Sheet2!F54*5)</f>
        <v>629</v>
      </c>
      <c r="N126" s="1">
        <f t="shared" si="178"/>
        <v>37967</v>
      </c>
      <c r="O126" s="1">
        <f t="shared" si="179"/>
        <v>3797</v>
      </c>
      <c r="P126" s="1">
        <f t="shared" si="180"/>
        <v>1020</v>
      </c>
      <c r="Q126" s="1">
        <f t="shared" si="181"/>
        <v>42780</v>
      </c>
      <c r="R126" s="1">
        <f t="shared" si="182"/>
        <v>42780</v>
      </c>
      <c r="U126" s="146"/>
    </row>
    <row r="127" spans="3:21">
      <c r="H127" s="143"/>
      <c r="I127">
        <v>5</v>
      </c>
      <c r="J127" s="1">
        <f t="shared" si="177"/>
        <v>24640</v>
      </c>
      <c r="K127">
        <f>ROUNDDOWN(Sheet2!G54*$E$113,0)</f>
        <v>5922</v>
      </c>
      <c r="L127" s="1">
        <f>INT(Sheet2!G54*9)</f>
        <v>580</v>
      </c>
      <c r="M127" s="1">
        <f>INT(Sheet2!G54*5)</f>
        <v>322</v>
      </c>
      <c r="N127" s="1">
        <f t="shared" si="178"/>
        <v>31464</v>
      </c>
      <c r="O127" s="1">
        <f t="shared" si="179"/>
        <v>3146</v>
      </c>
      <c r="P127" s="1">
        <f t="shared" si="180"/>
        <v>840</v>
      </c>
      <c r="Q127" s="1">
        <f t="shared" si="181"/>
        <v>35450</v>
      </c>
      <c r="R127" s="1">
        <f t="shared" si="182"/>
        <v>35450</v>
      </c>
      <c r="U127" s="146"/>
    </row>
    <row r="128" spans="3:21">
      <c r="H128" s="143"/>
      <c r="I128">
        <v>6</v>
      </c>
      <c r="J128" s="1">
        <f t="shared" si="177"/>
        <v>24640</v>
      </c>
      <c r="K128">
        <f>ROUNDDOWN(Sheet2!H54*$D$113,0)</f>
        <v>4930</v>
      </c>
      <c r="L128" s="1">
        <f>INT(Sheet2!H54*9)</f>
        <v>335</v>
      </c>
      <c r="M128" s="1">
        <f>INT(Sheet2!H54*5)</f>
        <v>186</v>
      </c>
      <c r="N128" s="1">
        <f t="shared" si="178"/>
        <v>30091</v>
      </c>
      <c r="O128" s="1">
        <f t="shared" si="179"/>
        <v>3009</v>
      </c>
      <c r="P128" s="1">
        <f t="shared" si="180"/>
        <v>810</v>
      </c>
      <c r="Q128" s="1">
        <f t="shared" si="181"/>
        <v>33910</v>
      </c>
      <c r="R128" s="1">
        <f t="shared" si="182"/>
        <v>33910</v>
      </c>
      <c r="U128" s="146"/>
    </row>
    <row r="129" spans="8:21">
      <c r="H129" s="143"/>
      <c r="I129">
        <v>7</v>
      </c>
      <c r="J129" s="1">
        <f t="shared" si="177"/>
        <v>24640</v>
      </c>
      <c r="K129">
        <f>ROUNDDOWN(Sheet2!I54*$D$113,0)</f>
        <v>2801</v>
      </c>
      <c r="L129" s="1">
        <f>INT(Sheet2!I54*9)</f>
        <v>190</v>
      </c>
      <c r="M129" s="1">
        <f>INT(Sheet2!I54*5)</f>
        <v>105</v>
      </c>
      <c r="N129" s="1">
        <f t="shared" si="178"/>
        <v>27736</v>
      </c>
      <c r="O129" s="1">
        <f t="shared" si="179"/>
        <v>2774</v>
      </c>
      <c r="P129" s="1">
        <f t="shared" si="180"/>
        <v>740</v>
      </c>
      <c r="Q129" s="1">
        <f t="shared" si="181"/>
        <v>31250</v>
      </c>
      <c r="R129" s="1">
        <f t="shared" si="182"/>
        <v>31250</v>
      </c>
      <c r="U129" s="146"/>
    </row>
    <row r="130" spans="8:21">
      <c r="H130" s="143"/>
      <c r="I130">
        <v>8</v>
      </c>
      <c r="J130" s="1">
        <f t="shared" si="177"/>
        <v>24640</v>
      </c>
      <c r="K130">
        <f>ROUNDDOWN(Sheet2!J54*$D$113,0)</f>
        <v>2502</v>
      </c>
      <c r="L130" s="1">
        <f>INT(Sheet2!J54*9)</f>
        <v>170</v>
      </c>
      <c r="M130" s="1">
        <f>INT(Sheet2!J54*5)</f>
        <v>94</v>
      </c>
      <c r="N130" s="1">
        <f t="shared" si="178"/>
        <v>27406</v>
      </c>
      <c r="O130" s="1">
        <f t="shared" si="179"/>
        <v>2741</v>
      </c>
      <c r="P130" s="1">
        <f t="shared" si="180"/>
        <v>730</v>
      </c>
      <c r="Q130" s="1">
        <f t="shared" si="181"/>
        <v>30870</v>
      </c>
      <c r="R130" s="1">
        <f t="shared" si="182"/>
        <v>30870</v>
      </c>
      <c r="U130" s="146"/>
    </row>
    <row r="131" spans="8:21">
      <c r="H131" s="143"/>
      <c r="I131">
        <v>9</v>
      </c>
      <c r="J131" s="1">
        <f t="shared" si="177"/>
        <v>24640</v>
      </c>
      <c r="K131">
        <f>ROUNDDOWN(Sheet2!K54*$E$113,0)</f>
        <v>2717</v>
      </c>
      <c r="L131" s="1">
        <f>INT(Sheet2!K54*9)</f>
        <v>266</v>
      </c>
      <c r="M131" s="1">
        <f>INT(Sheet2!K54*5)</f>
        <v>147</v>
      </c>
      <c r="N131" s="1">
        <f t="shared" si="178"/>
        <v>27770</v>
      </c>
      <c r="O131" s="1">
        <f t="shared" si="179"/>
        <v>2777</v>
      </c>
      <c r="P131" s="1">
        <f t="shared" si="180"/>
        <v>740</v>
      </c>
      <c r="Q131" s="1">
        <f t="shared" si="181"/>
        <v>31280</v>
      </c>
      <c r="R131" s="1">
        <f t="shared" si="182"/>
        <v>31280</v>
      </c>
      <c r="U131" s="146"/>
    </row>
    <row r="132" spans="8:21">
      <c r="H132" s="143"/>
      <c r="I132">
        <v>10</v>
      </c>
      <c r="J132" s="1">
        <f t="shared" si="177"/>
        <v>24640</v>
      </c>
      <c r="K132">
        <f>ROUNDDOWN(Sheet2!L54*$E$113,0)</f>
        <v>4002</v>
      </c>
      <c r="L132" s="1">
        <f>INT(Sheet2!L54*9)</f>
        <v>391</v>
      </c>
      <c r="M132" s="1">
        <f>INT(Sheet2!L54*5)</f>
        <v>217</v>
      </c>
      <c r="N132" s="1">
        <f t="shared" si="178"/>
        <v>29250</v>
      </c>
      <c r="O132" s="1">
        <f t="shared" si="179"/>
        <v>2925</v>
      </c>
      <c r="P132" s="1">
        <f t="shared" si="180"/>
        <v>780</v>
      </c>
      <c r="Q132" s="1">
        <f t="shared" si="181"/>
        <v>32950</v>
      </c>
      <c r="R132" s="1">
        <f t="shared" si="182"/>
        <v>32950</v>
      </c>
      <c r="U132" s="146"/>
    </row>
    <row r="133" spans="8:21">
      <c r="H133" s="143"/>
      <c r="I133">
        <v>11</v>
      </c>
      <c r="J133" s="1">
        <f t="shared" si="177"/>
        <v>24640</v>
      </c>
      <c r="K133">
        <f>ROUNDDOWN(Sheet2!M54*$F$113,0)</f>
        <v>11685</v>
      </c>
      <c r="L133" s="1">
        <f>INT(Sheet2!M54*9)</f>
        <v>883</v>
      </c>
      <c r="M133" s="1">
        <f>INT(Sheet2!M54*5)</f>
        <v>491</v>
      </c>
      <c r="N133" s="1">
        <f t="shared" si="178"/>
        <v>37699</v>
      </c>
      <c r="O133" s="1">
        <f t="shared" si="179"/>
        <v>3770</v>
      </c>
      <c r="P133" s="1">
        <f t="shared" si="180"/>
        <v>1010</v>
      </c>
      <c r="Q133" s="1">
        <f t="shared" si="181"/>
        <v>42470</v>
      </c>
      <c r="R133" s="1">
        <f t="shared" si="182"/>
        <v>42470</v>
      </c>
      <c r="U133" s="146"/>
    </row>
    <row r="134" spans="8:21">
      <c r="H134" s="143"/>
      <c r="I134">
        <v>12</v>
      </c>
      <c r="J134" s="1">
        <f t="shared" si="177"/>
        <v>24640</v>
      </c>
      <c r="K134">
        <f>ROUNDDOWN(Sheet2!N54*$F$113,0)</f>
        <v>20154</v>
      </c>
      <c r="L134" s="1">
        <f>INT(Sheet2!N54*9)</f>
        <v>1524</v>
      </c>
      <c r="M134" s="1">
        <f>INT(Sheet2!N54*5)</f>
        <v>846</v>
      </c>
      <c r="N134" s="1">
        <f t="shared" si="178"/>
        <v>47164</v>
      </c>
      <c r="O134" s="1">
        <f t="shared" si="179"/>
        <v>4716</v>
      </c>
      <c r="P134" s="1">
        <f t="shared" si="180"/>
        <v>1270</v>
      </c>
      <c r="Q134" s="1">
        <f t="shared" si="181"/>
        <v>53150</v>
      </c>
      <c r="R134" s="1">
        <f t="shared" si="182"/>
        <v>53150</v>
      </c>
      <c r="U134" s="146"/>
    </row>
    <row r="135" spans="8:21">
      <c r="H135" s="143"/>
      <c r="I135" s="149" t="s">
        <v>412</v>
      </c>
      <c r="J135" s="1" t="s">
        <v>386</v>
      </c>
      <c r="K135" s="1" t="s">
        <v>387</v>
      </c>
      <c r="L135" s="1" t="s">
        <v>388</v>
      </c>
      <c r="M135" s="1" t="s">
        <v>389</v>
      </c>
      <c r="N135" s="1" t="s">
        <v>390</v>
      </c>
      <c r="O135" s="1" t="s">
        <v>391</v>
      </c>
      <c r="P135" s="1" t="s">
        <v>392</v>
      </c>
      <c r="Q135" s="1" t="s">
        <v>393</v>
      </c>
      <c r="R135" s="1" t="s">
        <v>432</v>
      </c>
      <c r="S135" s="145">
        <f>SUM(R136:R147)</f>
        <v>501910</v>
      </c>
      <c r="T135" s="145">
        <f>Sheet2!$O$18</f>
        <v>650516.39601400623</v>
      </c>
      <c r="U135" s="148">
        <f>(T135-S135)/T135</f>
        <v>0.22844373627564429</v>
      </c>
    </row>
    <row r="136" spans="8:21">
      <c r="H136" s="143"/>
      <c r="I136">
        <v>1</v>
      </c>
      <c r="J136" s="1">
        <f t="shared" ref="J136:J147" si="183">$D$109*$C$113</f>
        <v>24640</v>
      </c>
      <c r="K136">
        <f>ROUNDDOWN(Sheet2!C55*$F$113,0)</f>
        <v>32879</v>
      </c>
      <c r="L136" s="1">
        <f>INT(Sheet2!C55*9)</f>
        <v>2486</v>
      </c>
      <c r="M136" s="1">
        <f>INT(Sheet2!C55*5)</f>
        <v>1381</v>
      </c>
      <c r="N136" s="1">
        <f t="shared" ref="N136:N147" si="184">SUM(J136:M136)</f>
        <v>61386</v>
      </c>
      <c r="O136" s="1">
        <f t="shared" ref="O136:O147" si="185">ROUND(N136*0.1, 0)</f>
        <v>6139</v>
      </c>
      <c r="P136" s="1">
        <f t="shared" ref="P136:P147" si="186">FLOOR(N136*0.027, 10)</f>
        <v>1650</v>
      </c>
      <c r="Q136" s="1">
        <f t="shared" ref="Q136:Q147" si="187">FLOOR(N136+O136+P136, 10)</f>
        <v>69170</v>
      </c>
      <c r="R136" s="1">
        <f t="shared" ref="R136:R147" si="188">Q136</f>
        <v>69170</v>
      </c>
      <c r="U136" s="146"/>
    </row>
    <row r="137" spans="8:21">
      <c r="H137" s="143"/>
      <c r="I137">
        <v>2</v>
      </c>
      <c r="J137" s="1">
        <f t="shared" si="183"/>
        <v>24640</v>
      </c>
      <c r="K137">
        <f>ROUNDDOWN(Sheet2!D55*$F$113,0)</f>
        <v>29541</v>
      </c>
      <c r="L137" s="1">
        <f>INT(Sheet2!D55*9)</f>
        <v>2234</v>
      </c>
      <c r="M137" s="1">
        <f>INT(Sheet2!D55*5)</f>
        <v>1241</v>
      </c>
      <c r="N137" s="1">
        <f t="shared" si="184"/>
        <v>57656</v>
      </c>
      <c r="O137" s="1">
        <f t="shared" si="185"/>
        <v>5766</v>
      </c>
      <c r="P137" s="1">
        <f t="shared" si="186"/>
        <v>1550</v>
      </c>
      <c r="Q137" s="1">
        <f t="shared" si="187"/>
        <v>64970</v>
      </c>
      <c r="R137" s="1">
        <f t="shared" si="188"/>
        <v>64970</v>
      </c>
      <c r="U137" s="146"/>
    </row>
    <row r="138" spans="8:21">
      <c r="H138" s="143"/>
      <c r="I138">
        <v>3</v>
      </c>
      <c r="J138" s="1">
        <f t="shared" si="183"/>
        <v>24640</v>
      </c>
      <c r="K138">
        <f>ROUNDDOWN(Sheet2!E55*$E$113,0)</f>
        <v>16615</v>
      </c>
      <c r="L138" s="1">
        <f>INT(Sheet2!E55*9)</f>
        <v>1627</v>
      </c>
      <c r="M138" s="1">
        <f>INT(Sheet2!E55*5)</f>
        <v>903</v>
      </c>
      <c r="N138" s="1">
        <f t="shared" si="184"/>
        <v>43785</v>
      </c>
      <c r="O138" s="1">
        <f t="shared" si="185"/>
        <v>4379</v>
      </c>
      <c r="P138" s="1">
        <f t="shared" si="186"/>
        <v>1180</v>
      </c>
      <c r="Q138" s="1">
        <f t="shared" si="187"/>
        <v>49340</v>
      </c>
      <c r="R138" s="1">
        <f t="shared" si="188"/>
        <v>49340</v>
      </c>
      <c r="U138" s="146"/>
    </row>
    <row r="139" spans="8:21">
      <c r="H139" s="143"/>
      <c r="I139">
        <v>4</v>
      </c>
      <c r="J139" s="1">
        <f t="shared" si="183"/>
        <v>24640</v>
      </c>
      <c r="K139">
        <f>ROUNDDOWN(Sheet2!F55*$E$113,0)</f>
        <v>9412</v>
      </c>
      <c r="L139" s="1">
        <f>INT(Sheet2!F55*9)</f>
        <v>921</v>
      </c>
      <c r="M139" s="1">
        <f>INT(Sheet2!F55*5)</f>
        <v>512</v>
      </c>
      <c r="N139" s="1">
        <f t="shared" si="184"/>
        <v>35485</v>
      </c>
      <c r="O139" s="1">
        <f t="shared" si="185"/>
        <v>3549</v>
      </c>
      <c r="P139" s="1">
        <f t="shared" si="186"/>
        <v>950</v>
      </c>
      <c r="Q139" s="1">
        <f t="shared" si="187"/>
        <v>39980</v>
      </c>
      <c r="R139" s="1">
        <f t="shared" si="188"/>
        <v>39980</v>
      </c>
      <c r="U139" s="146"/>
    </row>
    <row r="140" spans="8:21">
      <c r="H140" s="143"/>
      <c r="I140">
        <v>5</v>
      </c>
      <c r="J140" s="1">
        <f t="shared" si="183"/>
        <v>24640</v>
      </c>
      <c r="K140">
        <f>ROUNDDOWN(Sheet2!G55*$E$113,0)</f>
        <v>4820</v>
      </c>
      <c r="L140" s="1">
        <f>INT(Sheet2!G55*9)</f>
        <v>472</v>
      </c>
      <c r="M140" s="1">
        <f>INT(Sheet2!G55*5)</f>
        <v>262</v>
      </c>
      <c r="N140" s="1">
        <f t="shared" si="184"/>
        <v>30194</v>
      </c>
      <c r="O140" s="1">
        <f t="shared" si="185"/>
        <v>3019</v>
      </c>
      <c r="P140" s="1">
        <f t="shared" si="186"/>
        <v>810</v>
      </c>
      <c r="Q140" s="1">
        <f t="shared" si="187"/>
        <v>34020</v>
      </c>
      <c r="R140" s="1">
        <f t="shared" si="188"/>
        <v>34020</v>
      </c>
      <c r="U140" s="146"/>
    </row>
    <row r="141" spans="8:21">
      <c r="H141" s="143"/>
      <c r="I141">
        <v>6</v>
      </c>
      <c r="J141" s="1">
        <f t="shared" si="183"/>
        <v>24640</v>
      </c>
      <c r="K141">
        <f>ROUNDDOWN(Sheet2!H55*$D$113,0)</f>
        <v>4012</v>
      </c>
      <c r="L141" s="1">
        <f>INT(Sheet2!H55*9)</f>
        <v>272</v>
      </c>
      <c r="M141" s="1">
        <f>INT(Sheet2!H55*5)</f>
        <v>151</v>
      </c>
      <c r="N141" s="1">
        <f t="shared" si="184"/>
        <v>29075</v>
      </c>
      <c r="O141" s="1">
        <f t="shared" si="185"/>
        <v>2908</v>
      </c>
      <c r="P141" s="1">
        <f t="shared" si="186"/>
        <v>780</v>
      </c>
      <c r="Q141" s="1">
        <f t="shared" si="187"/>
        <v>32760</v>
      </c>
      <c r="R141" s="1">
        <f t="shared" si="188"/>
        <v>32760</v>
      </c>
      <c r="U141" s="146"/>
    </row>
    <row r="142" spans="8:21">
      <c r="H142" s="143"/>
      <c r="I142">
        <v>7</v>
      </c>
      <c r="J142" s="1">
        <f t="shared" si="183"/>
        <v>24640</v>
      </c>
      <c r="K142">
        <f>ROUNDDOWN(Sheet2!I55*$D$113,0)</f>
        <v>2280</v>
      </c>
      <c r="L142" s="1">
        <f>INT(Sheet2!I55*9)</f>
        <v>154</v>
      </c>
      <c r="M142" s="1">
        <f>INT(Sheet2!I55*5)</f>
        <v>86</v>
      </c>
      <c r="N142" s="1">
        <f t="shared" si="184"/>
        <v>27160</v>
      </c>
      <c r="O142" s="1">
        <f t="shared" si="185"/>
        <v>2716</v>
      </c>
      <c r="P142" s="1">
        <f t="shared" si="186"/>
        <v>730</v>
      </c>
      <c r="Q142" s="1">
        <f t="shared" si="187"/>
        <v>30600</v>
      </c>
      <c r="R142" s="1">
        <f t="shared" si="188"/>
        <v>30600</v>
      </c>
      <c r="U142" s="146"/>
    </row>
    <row r="143" spans="8:21">
      <c r="H143" s="143"/>
      <c r="I143">
        <v>8</v>
      </c>
      <c r="J143" s="1">
        <f t="shared" si="183"/>
        <v>24640</v>
      </c>
      <c r="K143">
        <f>ROUNDDOWN(Sheet2!J55*$D$113,0)</f>
        <v>2036</v>
      </c>
      <c r="L143" s="1">
        <f>INT(Sheet2!J55*9)</f>
        <v>138</v>
      </c>
      <c r="M143" s="1">
        <f>INT(Sheet2!J55*5)</f>
        <v>76</v>
      </c>
      <c r="N143" s="1">
        <f t="shared" si="184"/>
        <v>26890</v>
      </c>
      <c r="O143" s="1">
        <f t="shared" si="185"/>
        <v>2689</v>
      </c>
      <c r="P143" s="1">
        <f t="shared" si="186"/>
        <v>720</v>
      </c>
      <c r="Q143" s="1">
        <f t="shared" si="187"/>
        <v>30290</v>
      </c>
      <c r="R143" s="1">
        <f t="shared" si="188"/>
        <v>30290</v>
      </c>
      <c r="U143" s="146"/>
    </row>
    <row r="144" spans="8:21">
      <c r="H144" s="143"/>
      <c r="I144">
        <v>9</v>
      </c>
      <c r="J144" s="1">
        <f t="shared" si="183"/>
        <v>24640</v>
      </c>
      <c r="K144">
        <f>ROUNDDOWN(Sheet2!K55*$E$113,0)</f>
        <v>2211</v>
      </c>
      <c r="L144" s="1">
        <f>INT(Sheet2!K55*9)</f>
        <v>216</v>
      </c>
      <c r="M144" s="1">
        <f>INT(Sheet2!K55*5)</f>
        <v>120</v>
      </c>
      <c r="N144" s="1">
        <f t="shared" si="184"/>
        <v>27187</v>
      </c>
      <c r="O144" s="1">
        <f t="shared" si="185"/>
        <v>2719</v>
      </c>
      <c r="P144" s="1">
        <f t="shared" si="186"/>
        <v>730</v>
      </c>
      <c r="Q144" s="1">
        <f t="shared" si="187"/>
        <v>30630</v>
      </c>
      <c r="R144" s="1">
        <f t="shared" si="188"/>
        <v>30630</v>
      </c>
      <c r="U144" s="146"/>
    </row>
    <row r="145" spans="8:21">
      <c r="H145" s="143"/>
      <c r="I145">
        <v>10</v>
      </c>
      <c r="J145" s="1">
        <f t="shared" si="183"/>
        <v>24640</v>
      </c>
      <c r="K145">
        <f>ROUNDDOWN(Sheet2!L55*$E$113,0)</f>
        <v>3257</v>
      </c>
      <c r="L145" s="1">
        <f>INT(Sheet2!L55*9)</f>
        <v>318</v>
      </c>
      <c r="M145" s="1">
        <f>INT(Sheet2!L55*5)</f>
        <v>177</v>
      </c>
      <c r="N145" s="1">
        <f t="shared" si="184"/>
        <v>28392</v>
      </c>
      <c r="O145" s="1">
        <f t="shared" si="185"/>
        <v>2839</v>
      </c>
      <c r="P145" s="1">
        <f t="shared" si="186"/>
        <v>760</v>
      </c>
      <c r="Q145" s="1">
        <f t="shared" si="187"/>
        <v>31990</v>
      </c>
      <c r="R145" s="1">
        <f t="shared" si="188"/>
        <v>31990</v>
      </c>
      <c r="U145" s="146"/>
    </row>
    <row r="146" spans="8:21">
      <c r="H146" s="143"/>
      <c r="I146">
        <v>11</v>
      </c>
      <c r="J146" s="1">
        <f t="shared" si="183"/>
        <v>24640</v>
      </c>
      <c r="K146">
        <f>ROUNDDOWN(Sheet2!M55*$F$113,0)</f>
        <v>9510</v>
      </c>
      <c r="L146" s="1">
        <f>INT(Sheet2!M55*9)</f>
        <v>719</v>
      </c>
      <c r="M146" s="1">
        <f>INT(Sheet2!M55*5)</f>
        <v>399</v>
      </c>
      <c r="N146" s="1">
        <f t="shared" si="184"/>
        <v>35268</v>
      </c>
      <c r="O146" s="1">
        <f t="shared" si="185"/>
        <v>3527</v>
      </c>
      <c r="P146" s="1">
        <f t="shared" si="186"/>
        <v>950</v>
      </c>
      <c r="Q146" s="1">
        <f t="shared" si="187"/>
        <v>39740</v>
      </c>
      <c r="R146" s="1">
        <f t="shared" si="188"/>
        <v>39740</v>
      </c>
      <c r="U146" s="146"/>
    </row>
    <row r="147" spans="8:21">
      <c r="H147" s="143"/>
      <c r="I147">
        <v>12</v>
      </c>
      <c r="J147" s="1">
        <f t="shared" si="183"/>
        <v>24640</v>
      </c>
      <c r="K147">
        <f>ROUNDDOWN(Sheet2!N55*$F$113,0)</f>
        <v>16401</v>
      </c>
      <c r="L147" s="1">
        <f>INT(Sheet2!N55*9)</f>
        <v>1240</v>
      </c>
      <c r="M147" s="1">
        <f>INT(Sheet2!N55*5)</f>
        <v>689</v>
      </c>
      <c r="N147" s="1">
        <f t="shared" si="184"/>
        <v>42970</v>
      </c>
      <c r="O147" s="1">
        <f t="shared" si="185"/>
        <v>4297</v>
      </c>
      <c r="P147" s="1">
        <f t="shared" si="186"/>
        <v>1160</v>
      </c>
      <c r="Q147" s="1">
        <f t="shared" si="187"/>
        <v>48420</v>
      </c>
      <c r="R147" s="1">
        <f t="shared" si="188"/>
        <v>48420</v>
      </c>
      <c r="U147" s="146"/>
    </row>
    <row r="148" spans="8:21">
      <c r="H148" s="143"/>
      <c r="I148" t="s">
        <v>81</v>
      </c>
      <c r="J148" s="1" t="s">
        <v>386</v>
      </c>
      <c r="K148" s="1" t="s">
        <v>387</v>
      </c>
      <c r="L148" s="1" t="s">
        <v>388</v>
      </c>
      <c r="M148" s="1" t="s">
        <v>389</v>
      </c>
      <c r="N148" s="1" t="s">
        <v>390</v>
      </c>
      <c r="O148" s="1" t="s">
        <v>391</v>
      </c>
      <c r="P148" s="1" t="s">
        <v>392</v>
      </c>
      <c r="Q148" s="1" t="s">
        <v>393</v>
      </c>
      <c r="R148" s="1" t="s">
        <v>432</v>
      </c>
      <c r="S148" s="145">
        <f>SUM(R149:R160)</f>
        <v>470500</v>
      </c>
      <c r="T148" s="145">
        <f>Sheet2!$O$18</f>
        <v>650516.39601400623</v>
      </c>
      <c r="U148" s="148">
        <f>(T148-S148)/T148</f>
        <v>0.27672845314436978</v>
      </c>
    </row>
    <row r="149" spans="8:21">
      <c r="H149" s="143"/>
      <c r="I149">
        <v>1</v>
      </c>
      <c r="J149" s="1">
        <f t="shared" ref="J149:J160" si="189">$D$109*$C$113</f>
        <v>24640</v>
      </c>
      <c r="K149">
        <f>ROUNDDOWN(Sheet2!C56*$F$113,0)</f>
        <v>26760</v>
      </c>
      <c r="L149" s="1">
        <f>INT(Sheet2!C56*9)</f>
        <v>2023</v>
      </c>
      <c r="M149" s="1">
        <f>INT(Sheet2!C56*5)</f>
        <v>1124</v>
      </c>
      <c r="N149" s="1">
        <f t="shared" ref="N149:N160" si="190">SUM(J149:M149)</f>
        <v>54547</v>
      </c>
      <c r="O149" s="1">
        <f t="shared" ref="O149:O160" si="191">ROUND(N149*0.1, 0)</f>
        <v>5455</v>
      </c>
      <c r="P149" s="1">
        <f t="shared" ref="P149:P160" si="192">FLOOR(N149*0.027, 10)</f>
        <v>1470</v>
      </c>
      <c r="Q149" s="1">
        <f t="shared" ref="Q149:Q160" si="193">FLOOR(N149+O149+P149, 10)</f>
        <v>61470</v>
      </c>
      <c r="R149" s="1">
        <f t="shared" ref="R149:R160" si="194">Q149</f>
        <v>61470</v>
      </c>
      <c r="U149" s="146"/>
    </row>
    <row r="150" spans="8:21">
      <c r="H150" s="143"/>
      <c r="I150">
        <v>2</v>
      </c>
      <c r="J150" s="1">
        <f t="shared" si="189"/>
        <v>24640</v>
      </c>
      <c r="K150">
        <f>ROUNDDOWN(Sheet2!D56*$F$113,0)</f>
        <v>24043</v>
      </c>
      <c r="L150" s="1">
        <f>INT(Sheet2!D56*9)</f>
        <v>1818</v>
      </c>
      <c r="M150" s="1">
        <f>INT(Sheet2!D56*5)</f>
        <v>1010</v>
      </c>
      <c r="N150" s="1">
        <f t="shared" si="190"/>
        <v>51511</v>
      </c>
      <c r="O150" s="1">
        <f t="shared" si="191"/>
        <v>5151</v>
      </c>
      <c r="P150" s="1">
        <f t="shared" si="192"/>
        <v>1390</v>
      </c>
      <c r="Q150" s="1">
        <f t="shared" si="193"/>
        <v>58050</v>
      </c>
      <c r="R150" s="1">
        <f t="shared" si="194"/>
        <v>58050</v>
      </c>
      <c r="U150" s="146"/>
    </row>
    <row r="151" spans="8:21">
      <c r="H151" s="143"/>
      <c r="I151">
        <v>3</v>
      </c>
      <c r="J151" s="1">
        <f t="shared" si="189"/>
        <v>24640</v>
      </c>
      <c r="K151">
        <f>ROUNDDOWN(Sheet2!E56*$E$113,0)</f>
        <v>13523</v>
      </c>
      <c r="L151" s="1">
        <f>INT(Sheet2!E56*9)</f>
        <v>1324</v>
      </c>
      <c r="M151" s="1">
        <f>INT(Sheet2!E56*5)</f>
        <v>735</v>
      </c>
      <c r="N151" s="1">
        <f t="shared" si="190"/>
        <v>40222</v>
      </c>
      <c r="O151" s="1">
        <f t="shared" si="191"/>
        <v>4022</v>
      </c>
      <c r="P151" s="1">
        <f t="shared" si="192"/>
        <v>1080</v>
      </c>
      <c r="Q151" s="1">
        <f t="shared" si="193"/>
        <v>45320</v>
      </c>
      <c r="R151" s="1">
        <f t="shared" si="194"/>
        <v>45320</v>
      </c>
      <c r="U151" s="146"/>
    </row>
    <row r="152" spans="8:21">
      <c r="H152" s="143"/>
      <c r="I152">
        <v>4</v>
      </c>
      <c r="J152" s="1">
        <f t="shared" si="189"/>
        <v>24640</v>
      </c>
      <c r="K152">
        <f>ROUNDDOWN(Sheet2!F56*$E$113,0)</f>
        <v>7661</v>
      </c>
      <c r="L152" s="1">
        <f>INT(Sheet2!F56*9)</f>
        <v>750</v>
      </c>
      <c r="M152" s="1">
        <f>INT(Sheet2!F56*5)</f>
        <v>416</v>
      </c>
      <c r="N152" s="1">
        <f t="shared" si="190"/>
        <v>33467</v>
      </c>
      <c r="O152" s="1">
        <f t="shared" si="191"/>
        <v>3347</v>
      </c>
      <c r="P152" s="1">
        <f t="shared" si="192"/>
        <v>900</v>
      </c>
      <c r="Q152" s="1">
        <f t="shared" si="193"/>
        <v>37710</v>
      </c>
      <c r="R152" s="1">
        <f t="shared" si="194"/>
        <v>37710</v>
      </c>
      <c r="U152" s="146"/>
    </row>
    <row r="153" spans="8:21">
      <c r="H153" s="143"/>
      <c r="I153">
        <v>5</v>
      </c>
      <c r="J153" s="1">
        <f t="shared" si="189"/>
        <v>24640</v>
      </c>
      <c r="K153">
        <f>ROUNDDOWN(Sheet2!G56*$E$113,0)</f>
        <v>3923</v>
      </c>
      <c r="L153" s="1">
        <f>INT(Sheet2!G56*9)</f>
        <v>384</v>
      </c>
      <c r="M153" s="1">
        <f>INT(Sheet2!G56*5)</f>
        <v>213</v>
      </c>
      <c r="N153" s="1">
        <f t="shared" si="190"/>
        <v>29160</v>
      </c>
      <c r="O153" s="1">
        <f t="shared" si="191"/>
        <v>2916</v>
      </c>
      <c r="P153" s="1">
        <f t="shared" si="192"/>
        <v>780</v>
      </c>
      <c r="Q153" s="1">
        <f t="shared" si="193"/>
        <v>32850</v>
      </c>
      <c r="R153" s="1">
        <f t="shared" si="194"/>
        <v>32850</v>
      </c>
      <c r="U153" s="146"/>
    </row>
    <row r="154" spans="8:21">
      <c r="H154" s="143"/>
      <c r="I154">
        <v>6</v>
      </c>
      <c r="J154" s="1">
        <f t="shared" si="189"/>
        <v>24640</v>
      </c>
      <c r="K154">
        <f>ROUNDDOWN(Sheet2!H56*$D$113,0)</f>
        <v>3265</v>
      </c>
      <c r="L154" s="1">
        <f>INT(Sheet2!H56*9)</f>
        <v>221</v>
      </c>
      <c r="M154" s="1">
        <f>INT(Sheet2!H56*5)</f>
        <v>123</v>
      </c>
      <c r="N154" s="1">
        <f t="shared" si="190"/>
        <v>28249</v>
      </c>
      <c r="O154" s="1">
        <f t="shared" si="191"/>
        <v>2825</v>
      </c>
      <c r="P154" s="1">
        <f t="shared" si="192"/>
        <v>760</v>
      </c>
      <c r="Q154" s="1">
        <f t="shared" si="193"/>
        <v>31830</v>
      </c>
      <c r="R154" s="1">
        <f t="shared" si="194"/>
        <v>31830</v>
      </c>
      <c r="U154" s="146"/>
    </row>
    <row r="155" spans="8:21">
      <c r="H155" s="143"/>
      <c r="I155">
        <v>7</v>
      </c>
      <c r="J155" s="1">
        <f t="shared" si="189"/>
        <v>24640</v>
      </c>
      <c r="K155">
        <f>ROUNDDOWN(Sheet2!I56*$D$113,0)</f>
        <v>1855</v>
      </c>
      <c r="L155" s="1">
        <f>INT(Sheet2!I56*9)</f>
        <v>126</v>
      </c>
      <c r="M155" s="1">
        <f>INT(Sheet2!I56*5)</f>
        <v>70</v>
      </c>
      <c r="N155" s="1">
        <f t="shared" si="190"/>
        <v>26691</v>
      </c>
      <c r="O155" s="1">
        <f t="shared" si="191"/>
        <v>2669</v>
      </c>
      <c r="P155" s="1">
        <f t="shared" si="192"/>
        <v>720</v>
      </c>
      <c r="Q155" s="1">
        <f t="shared" si="193"/>
        <v>30080</v>
      </c>
      <c r="R155" s="1">
        <f t="shared" si="194"/>
        <v>30080</v>
      </c>
      <c r="U155" s="146"/>
    </row>
    <row r="156" spans="8:21">
      <c r="H156" s="143"/>
      <c r="I156">
        <v>8</v>
      </c>
      <c r="J156" s="1">
        <f t="shared" si="189"/>
        <v>24640</v>
      </c>
      <c r="K156">
        <f>ROUNDDOWN(Sheet2!J56*$D$113,0)</f>
        <v>1657</v>
      </c>
      <c r="L156" s="1">
        <f>INT(Sheet2!J56*9)</f>
        <v>112</v>
      </c>
      <c r="M156" s="1">
        <f>INT(Sheet2!J56*5)</f>
        <v>62</v>
      </c>
      <c r="N156" s="1">
        <f t="shared" si="190"/>
        <v>26471</v>
      </c>
      <c r="O156" s="1">
        <f t="shared" si="191"/>
        <v>2647</v>
      </c>
      <c r="P156" s="1">
        <f t="shared" si="192"/>
        <v>710</v>
      </c>
      <c r="Q156" s="1">
        <f t="shared" si="193"/>
        <v>29820</v>
      </c>
      <c r="R156" s="1">
        <f t="shared" si="194"/>
        <v>29820</v>
      </c>
      <c r="U156" s="146"/>
    </row>
    <row r="157" spans="8:21">
      <c r="H157" s="143"/>
      <c r="I157">
        <v>9</v>
      </c>
      <c r="J157" s="1">
        <f t="shared" si="189"/>
        <v>24640</v>
      </c>
      <c r="K157">
        <f>ROUNDDOWN(Sheet2!K56*$E$113,0)</f>
        <v>1800</v>
      </c>
      <c r="L157" s="1">
        <f>INT(Sheet2!K56*9)</f>
        <v>176</v>
      </c>
      <c r="M157" s="1">
        <f>INT(Sheet2!K56*5)</f>
        <v>97</v>
      </c>
      <c r="N157" s="1">
        <f t="shared" si="190"/>
        <v>26713</v>
      </c>
      <c r="O157" s="1">
        <f t="shared" si="191"/>
        <v>2671</v>
      </c>
      <c r="P157" s="1">
        <f t="shared" si="192"/>
        <v>720</v>
      </c>
      <c r="Q157" s="1">
        <f t="shared" si="193"/>
        <v>30100</v>
      </c>
      <c r="R157" s="1">
        <f t="shared" si="194"/>
        <v>30100</v>
      </c>
      <c r="U157" s="146"/>
    </row>
    <row r="158" spans="8:21">
      <c r="H158" s="143"/>
      <c r="I158">
        <v>10</v>
      </c>
      <c r="J158" s="1">
        <f t="shared" si="189"/>
        <v>24640</v>
      </c>
      <c r="K158">
        <f>ROUNDDOWN(Sheet2!L56*$E$113,0)</f>
        <v>2651</v>
      </c>
      <c r="L158" s="1">
        <f>INT(Sheet2!L56*9)</f>
        <v>259</v>
      </c>
      <c r="M158" s="1">
        <f>INT(Sheet2!L56*5)</f>
        <v>144</v>
      </c>
      <c r="N158" s="1">
        <f t="shared" si="190"/>
        <v>27694</v>
      </c>
      <c r="O158" s="1">
        <f t="shared" si="191"/>
        <v>2769</v>
      </c>
      <c r="P158" s="1">
        <f t="shared" si="192"/>
        <v>740</v>
      </c>
      <c r="Q158" s="1">
        <f t="shared" si="193"/>
        <v>31200</v>
      </c>
      <c r="R158" s="1">
        <f t="shared" si="194"/>
        <v>31200</v>
      </c>
      <c r="U158" s="146"/>
    </row>
    <row r="159" spans="8:21">
      <c r="H159" s="143"/>
      <c r="I159">
        <v>11</v>
      </c>
      <c r="J159" s="1">
        <f t="shared" si="189"/>
        <v>24640</v>
      </c>
      <c r="K159">
        <f>ROUNDDOWN(Sheet2!M56*$F$113,0)</f>
        <v>7740</v>
      </c>
      <c r="L159" s="1">
        <f>INT(Sheet2!M56*9)</f>
        <v>585</v>
      </c>
      <c r="M159" s="1">
        <f>INT(Sheet2!M56*5)</f>
        <v>325</v>
      </c>
      <c r="N159" s="1">
        <f t="shared" si="190"/>
        <v>33290</v>
      </c>
      <c r="O159" s="1">
        <f t="shared" si="191"/>
        <v>3329</v>
      </c>
      <c r="P159" s="1">
        <f t="shared" si="192"/>
        <v>890</v>
      </c>
      <c r="Q159" s="1">
        <f t="shared" si="193"/>
        <v>37500</v>
      </c>
      <c r="R159" s="1">
        <f t="shared" si="194"/>
        <v>37500</v>
      </c>
      <c r="U159" s="146"/>
    </row>
    <row r="160" spans="8:21">
      <c r="H160" s="150"/>
      <c r="I160" s="55">
        <v>12</v>
      </c>
      <c r="J160" s="156">
        <f t="shared" si="189"/>
        <v>24640</v>
      </c>
      <c r="K160" s="55">
        <f>ROUNDDOWN(Sheet2!N56*$F$113,0)</f>
        <v>13349</v>
      </c>
      <c r="L160" s="156">
        <f>INT(Sheet2!N56*9)</f>
        <v>1009</v>
      </c>
      <c r="M160" s="156">
        <f>INT(Sheet2!N56*5)</f>
        <v>560</v>
      </c>
      <c r="N160" s="156">
        <f t="shared" si="190"/>
        <v>39558</v>
      </c>
      <c r="O160" s="156">
        <f t="shared" si="191"/>
        <v>3956</v>
      </c>
      <c r="P160" s="156">
        <f t="shared" si="192"/>
        <v>1060</v>
      </c>
      <c r="Q160" s="156">
        <f t="shared" si="193"/>
        <v>44570</v>
      </c>
      <c r="R160" s="156">
        <f t="shared" si="194"/>
        <v>44570</v>
      </c>
      <c r="S160" s="156"/>
      <c r="T160" s="156"/>
      <c r="U160" s="153"/>
    </row>
    <row r="161" spans="2:21">
      <c r="B161" t="s">
        <v>447</v>
      </c>
      <c r="H161" s="139" t="s">
        <v>446</v>
      </c>
      <c r="I161" s="154" t="s">
        <v>78</v>
      </c>
      <c r="J161" s="154" t="s">
        <v>386</v>
      </c>
      <c r="K161" s="154" t="s">
        <v>387</v>
      </c>
      <c r="L161" s="154" t="s">
        <v>388</v>
      </c>
      <c r="M161" s="154" t="s">
        <v>389</v>
      </c>
      <c r="N161" s="154" t="s">
        <v>390</v>
      </c>
      <c r="O161" s="154" t="s">
        <v>391</v>
      </c>
      <c r="P161" s="154" t="s">
        <v>392</v>
      </c>
      <c r="Q161" s="154" t="s">
        <v>393</v>
      </c>
      <c r="R161" s="154" t="s">
        <v>432</v>
      </c>
      <c r="S161" s="157">
        <f>SUM(R162:R173)</f>
        <v>454827.59431517916</v>
      </c>
      <c r="T161" s="157">
        <f>Sheet2!$O$18</f>
        <v>650516.39601400623</v>
      </c>
      <c r="U161" s="142">
        <f>(T161-S161)/T161</f>
        <v>0.3008207062848785</v>
      </c>
    </row>
    <row r="162" spans="2:21">
      <c r="B162" s="1" t="s">
        <v>448</v>
      </c>
      <c r="H162" s="143"/>
      <c r="I162">
        <v>1</v>
      </c>
      <c r="J162" s="1">
        <f>$C$170*($D$109+3)</f>
        <v>30170</v>
      </c>
      <c r="K162">
        <f>ROUNDDOWN(Sheet2!C53*43.37%*138.7 + Sheet2!C53*28.76%*184.7 + Sheet2!C53*27.87%*220.5 + C23*30%*138.7 + C23*30%*184.7 + C23*40%*220.5, 0)</f>
        <v>122338</v>
      </c>
      <c r="L162" s="158">
        <f>INT((Sheet2!C53+C23)*9)</f>
        <v>6136</v>
      </c>
      <c r="M162" s="1">
        <f>INT((Sheet2!C53+C23)*5)</f>
        <v>3409</v>
      </c>
      <c r="N162" s="1">
        <f t="shared" ref="N162" si="195">SUM(J162:M162)</f>
        <v>162053</v>
      </c>
      <c r="O162" s="1">
        <f t="shared" ref="O162" si="196">ROUND(N162*0.1, 0)</f>
        <v>16205</v>
      </c>
      <c r="P162" s="1">
        <f t="shared" ref="P162" si="197">FLOOR(N162*0.027, 10)</f>
        <v>4370</v>
      </c>
      <c r="Q162" s="1">
        <f t="shared" ref="Q162" si="198">FLOOR(N162+O162+P162, 10)</f>
        <v>182620</v>
      </c>
      <c r="R162" s="145">
        <f>Q162*(Sheet2!C53/(Sheet2!C53+C23))</f>
        <v>100794.86339124737</v>
      </c>
      <c r="U162" s="146"/>
    </row>
    <row r="163" spans="2:21">
      <c r="B163" s="1" t="s">
        <v>449</v>
      </c>
      <c r="H163" s="143"/>
      <c r="I163">
        <v>2</v>
      </c>
      <c r="J163" s="1">
        <f t="shared" ref="J163:J173" si="199">$C$170*($D$109+3)</f>
        <v>30170</v>
      </c>
      <c r="K163" s="1">
        <f>ROUNDDOWN(Sheet2!D53*44.03%*138.7 + Sheet2!D53*28.8%*184.7 + Sheet2!D53*27.16%*220.5 + C24*30%*138.7 + C24*30%*184.7 + C24*40%*220.5, 0)</f>
        <v>114579</v>
      </c>
      <c r="L163" s="158">
        <f>INT((Sheet2!D53+C24)*9)</f>
        <v>5749</v>
      </c>
      <c r="M163" s="1">
        <f>INT((Sheet2!D53+C24)*5)</f>
        <v>3194</v>
      </c>
      <c r="N163" s="1">
        <f t="shared" ref="N163" si="200">SUM(J163:M163)</f>
        <v>153692</v>
      </c>
      <c r="O163" s="1">
        <f t="shared" ref="O163" si="201">ROUND(N163*0.1, 0)</f>
        <v>15369</v>
      </c>
      <c r="P163" s="1">
        <f t="shared" ref="P163" si="202">FLOOR(N163*0.027, 10)</f>
        <v>4140</v>
      </c>
      <c r="Q163" s="1">
        <f t="shared" ref="Q163" si="203">FLOOR(N163+O163+P163, 10)</f>
        <v>173200</v>
      </c>
      <c r="R163" s="145">
        <f>Q163*(Sheet2!D53/(Sheet2!D53+C24))</f>
        <v>91673.018777207209</v>
      </c>
      <c r="U163" s="146"/>
    </row>
    <row r="164" spans="2:21">
      <c r="H164" s="143"/>
      <c r="I164">
        <v>3</v>
      </c>
      <c r="J164" s="1">
        <f t="shared" si="199"/>
        <v>30170</v>
      </c>
      <c r="K164" s="1">
        <f>ROUNDDOWN(Sheet2!E53*44.16%*125.8 + Sheet2!E53*28.26%*153.8 + Sheet2!E53*27.58%*172.4 + C25*30%*125.8 + C25*30%*153.8 + C25*40%*172.4, 0)</f>
        <v>78550</v>
      </c>
      <c r="L164" s="158">
        <f>INT((Sheet2!E53+C25)*9)</f>
        <v>4716</v>
      </c>
      <c r="M164" s="1">
        <f>INT((Sheet2!E53+C25)*5)</f>
        <v>2620</v>
      </c>
      <c r="N164" s="1">
        <f t="shared" ref="N164" si="204">SUM(J164:M164)</f>
        <v>116056</v>
      </c>
      <c r="O164" s="1">
        <f t="shared" ref="O164" si="205">ROUND(N164*0.1, 0)</f>
        <v>11606</v>
      </c>
      <c r="P164" s="1">
        <f t="shared" ref="P164" si="206">FLOOR(N164*0.027, 10)</f>
        <v>3130</v>
      </c>
      <c r="Q164" s="1">
        <f t="shared" ref="Q164" si="207">FLOOR(N164+O164+P164, 10)</f>
        <v>130790</v>
      </c>
      <c r="R164" s="145">
        <f>Q164*(Sheet2!E53/(Sheet2!E53+C25))</f>
        <v>61458.151705082084</v>
      </c>
      <c r="U164" s="146"/>
    </row>
    <row r="165" spans="2:21">
      <c r="H165" s="143"/>
      <c r="I165">
        <v>4</v>
      </c>
      <c r="J165" s="1">
        <f t="shared" si="199"/>
        <v>30170</v>
      </c>
      <c r="K165" s="1">
        <f>ROUNDDOWN(Sheet2!F53*42.51%*125.8 + Sheet2!F53*27.79%*153.8 + Sheet2!F53*29.7%*172.4 + C26*30%*125.8 + C26*30%*153.8 + C26*40%*172.4, 0)</f>
        <v>59632</v>
      </c>
      <c r="L165" s="158">
        <f>INT((Sheet2!F53+C26)*9)</f>
        <v>3555</v>
      </c>
      <c r="M165" s="1">
        <f>INT((Sheet2!F53+C26)*5)</f>
        <v>1975</v>
      </c>
      <c r="N165" s="1">
        <f t="shared" ref="N165" si="208">SUM(J165:M165)</f>
        <v>95332</v>
      </c>
      <c r="O165" s="1">
        <f t="shared" ref="O165" si="209">ROUND(N165*0.1, 0)</f>
        <v>9533</v>
      </c>
      <c r="P165" s="1">
        <f t="shared" ref="P165" si="210">FLOOR(N165*0.027, 10)</f>
        <v>2570</v>
      </c>
      <c r="Q165" s="1">
        <f t="shared" ref="Q165" si="211">FLOOR(N165+O165+P165, 10)</f>
        <v>107430</v>
      </c>
      <c r="R165" s="145">
        <f>Q165*(Sheet2!F53/(Sheet2!F53+C26))</f>
        <v>37932.406760119389</v>
      </c>
      <c r="U165" s="146"/>
    </row>
    <row r="166" spans="2:21">
      <c r="B166" t="s">
        <v>437</v>
      </c>
      <c r="C166" t="s">
        <v>453</v>
      </c>
      <c r="D166" s="1" t="s">
        <v>454</v>
      </c>
      <c r="H166" s="143"/>
      <c r="I166">
        <v>5</v>
      </c>
      <c r="J166" s="1">
        <f t="shared" si="199"/>
        <v>30170</v>
      </c>
      <c r="K166" s="1">
        <f>ROUNDDOWN(Sheet2!G53*38.44%*125.8 + Sheet2!G53*30.44%*153.8 + Sheet2!G53*31.12%*172.4 + C27*30%*125.8 + C27*30%*153.8 + C27*40%*172.4, 0)</f>
        <v>47848</v>
      </c>
      <c r="L166" s="158">
        <f>INT((Sheet2!G53+C27)*9)</f>
        <v>2834</v>
      </c>
      <c r="M166" s="1">
        <f>INT((Sheet2!G53+C27)*5)</f>
        <v>1574</v>
      </c>
      <c r="N166" s="1">
        <f t="shared" ref="N166" si="212">SUM(J166:M166)</f>
        <v>82426</v>
      </c>
      <c r="O166" s="1">
        <f t="shared" ref="O166" si="213">ROUND(N166*0.1, 0)</f>
        <v>8243</v>
      </c>
      <c r="P166" s="1">
        <f t="shared" ref="P166" si="214">FLOOR(N166*0.027, 10)</f>
        <v>2220</v>
      </c>
      <c r="Q166" s="1">
        <f t="shared" ref="Q166" si="215">FLOOR(N166+O166+P166, 10)</f>
        <v>92880</v>
      </c>
      <c r="R166" s="145">
        <f>Q166*(Sheet2!G53/(Sheet2!G53+C27))</f>
        <v>21068.212703608173</v>
      </c>
      <c r="U166" s="146"/>
    </row>
    <row r="167" spans="2:21">
      <c r="B167" t="s">
        <v>450</v>
      </c>
      <c r="C167">
        <v>125.8</v>
      </c>
      <c r="D167">
        <v>138.69999999999999</v>
      </c>
      <c r="H167" s="143"/>
      <c r="I167">
        <v>6</v>
      </c>
      <c r="J167" s="1">
        <f t="shared" si="199"/>
        <v>30170</v>
      </c>
      <c r="K167" s="1">
        <f>ROUNDDOWN(Sheet2!H53*31.92%*138.7 + Sheet2!H53*38.86%*184.7 + Sheet2!H53*29.22%*220.5 + C28*30%*138.7 + C28*30%*184.7 + C28*40%*220.5, 0)</f>
        <v>52865</v>
      </c>
      <c r="L167" s="158">
        <f>INT((Sheet2!H53+C28)*9)</f>
        <v>2578</v>
      </c>
      <c r="M167" s="1">
        <f>INT((Sheet2!H53+C28)*5)</f>
        <v>1432</v>
      </c>
      <c r="N167" s="1">
        <f t="shared" ref="N167" si="216">SUM(J167:M167)</f>
        <v>87045</v>
      </c>
      <c r="O167" s="1">
        <f t="shared" ref="O167" si="217">ROUND(N167*0.1, 0)</f>
        <v>8705</v>
      </c>
      <c r="P167" s="1">
        <f t="shared" ref="P167" si="218">FLOOR(N167*0.027, 10)</f>
        <v>2350</v>
      </c>
      <c r="Q167" s="1">
        <f t="shared" ref="Q167" si="219">FLOOR(N167+O167+P167, 10)</f>
        <v>98100</v>
      </c>
      <c r="R167" s="145">
        <f>Q167*(Sheet2!H53/(Sheet2!H53+C28))</f>
        <v>14134.986034220654</v>
      </c>
      <c r="U167" s="146"/>
    </row>
    <row r="168" spans="2:21">
      <c r="B168" s="1" t="s">
        <v>451</v>
      </c>
      <c r="C168">
        <v>153.80000000000001</v>
      </c>
      <c r="D168" s="1">
        <v>184.7</v>
      </c>
      <c r="H168" s="143"/>
      <c r="I168">
        <v>7</v>
      </c>
      <c r="J168" s="1">
        <f t="shared" si="199"/>
        <v>30170</v>
      </c>
      <c r="K168" s="1">
        <f>ROUNDDOWN(Sheet2!I53*26.8%*138.7 + Sheet2!I53*43.76%*184.7 + Sheet2!I53*29.44%*220.5 + C29*30%*138.7 + C29*30%*184.7 + C29*40%*220.5, 0)</f>
        <v>62449</v>
      </c>
      <c r="L168" s="158">
        <f>INT((Sheet2!I53+C29)*9)</f>
        <v>3037</v>
      </c>
      <c r="M168" s="1">
        <f>INT((Sheet2!I53+C29)*5)</f>
        <v>1687</v>
      </c>
      <c r="N168" s="1">
        <f t="shared" ref="N168" si="220">SUM(J168:M168)</f>
        <v>97343</v>
      </c>
      <c r="O168" s="1">
        <f t="shared" ref="O168" si="221">ROUND(N168*0.1, 0)</f>
        <v>9734</v>
      </c>
      <c r="P168" s="1">
        <f t="shared" ref="P168" si="222">FLOOR(N168*0.027, 10)</f>
        <v>2620</v>
      </c>
      <c r="Q168" s="1">
        <f t="shared" ref="Q168" si="223">FLOOR(N168+O168+P168, 10)</f>
        <v>109690</v>
      </c>
      <c r="R168" s="145">
        <f>Q168*(Sheet2!I53/(Sheet2!I53+C29))</f>
        <v>7624.6015438867207</v>
      </c>
      <c r="U168" s="146"/>
    </row>
    <row r="169" spans="2:21">
      <c r="B169" s="1" t="s">
        <v>452</v>
      </c>
      <c r="C169">
        <v>172.4</v>
      </c>
      <c r="D169" s="1">
        <v>220.5</v>
      </c>
      <c r="H169" s="143"/>
      <c r="I169">
        <v>8</v>
      </c>
      <c r="J169" s="1">
        <f t="shared" si="199"/>
        <v>30170</v>
      </c>
      <c r="K169" s="1">
        <f>ROUNDDOWN(Sheet2!J53*26.88%*138.7 + Sheet2!J53*45.15%*184.7 + Sheet2!J53*27.97%*220.5 + C30*30%*138.7 + C30*30%*184.7 + C30*40%*220.5, 0)</f>
        <v>69351</v>
      </c>
      <c r="L169" s="158">
        <f>INT((Sheet2!J53+C30)*9)</f>
        <v>3372</v>
      </c>
      <c r="M169" s="1">
        <f>INT((Sheet2!J53+C30)*5)</f>
        <v>1873</v>
      </c>
      <c r="N169" s="1">
        <f t="shared" ref="N169" si="224">SUM(J169:M169)</f>
        <v>104766</v>
      </c>
      <c r="O169" s="1">
        <f t="shared" ref="O169" si="225">ROUND(N169*0.1, 0)</f>
        <v>10477</v>
      </c>
      <c r="P169" s="1">
        <f t="shared" ref="P169" si="226">FLOOR(N169*0.027, 10)</f>
        <v>2820</v>
      </c>
      <c r="Q169" s="1">
        <f t="shared" ref="Q169" si="227">FLOOR(N169+O169+P169, 10)</f>
        <v>118060</v>
      </c>
      <c r="R169" s="145">
        <f>Q169*(Sheet2!J53/(Sheet2!J53+C30))</f>
        <v>6601.3604420673355</v>
      </c>
      <c r="U169" s="146"/>
    </row>
    <row r="170" spans="2:21">
      <c r="B170" s="1" t="s">
        <v>455</v>
      </c>
      <c r="C170" s="123">
        <v>4310</v>
      </c>
      <c r="H170" s="143"/>
      <c r="I170">
        <v>9</v>
      </c>
      <c r="J170" s="1">
        <f t="shared" si="199"/>
        <v>30170</v>
      </c>
      <c r="K170" s="1">
        <f>ROUNDDOWN(Sheet2!K53*30.32%*125.8 + Sheet2!K53*40.48%*153.8 + Sheet2!K53*29.2%*172.4 + C31*30%*125.8 + C31*30%*153.8 + C31*40%*172.4, 0)</f>
        <v>48225</v>
      </c>
      <c r="L170" s="158">
        <f>INT((Sheet2!K53+C31)*9)</f>
        <v>2843</v>
      </c>
      <c r="M170" s="1">
        <f>INT((Sheet2!K53+C31)*5)</f>
        <v>1579</v>
      </c>
      <c r="N170" s="1">
        <f t="shared" ref="N170" si="228">SUM(J170:M170)</f>
        <v>82817</v>
      </c>
      <c r="O170" s="1">
        <f t="shared" ref="O170" si="229">ROUND(N170*0.1, 0)</f>
        <v>8282</v>
      </c>
      <c r="P170" s="1">
        <f t="shared" ref="P170" si="230">FLOOR(N170*0.027, 10)</f>
        <v>2230</v>
      </c>
      <c r="Q170" s="1">
        <f t="shared" ref="Q170" si="231">FLOOR(N170+O170+P170, 10)</f>
        <v>93320</v>
      </c>
      <c r="R170" s="145">
        <f>Q170*(Sheet2!K53/(Sheet2!K53+C31))</f>
        <v>9681.4686792125067</v>
      </c>
      <c r="U170" s="146"/>
    </row>
    <row r="171" spans="2:21">
      <c r="H171" s="143"/>
      <c r="I171">
        <v>10</v>
      </c>
      <c r="J171" s="1">
        <f t="shared" si="199"/>
        <v>30170</v>
      </c>
      <c r="K171" s="1">
        <f>ROUNDDOWN(Sheet2!L53*42.34%*125.8 + Sheet2!L53*28.1%*153.8 + Sheet2!L53*29.56%*172.4 + C32*30%*125.8 + C32*30%*153.8 + C32*40%*172.4, 0)</f>
        <v>44609</v>
      </c>
      <c r="L171" s="158">
        <f>INT((Sheet2!L53+C32)*9)</f>
        <v>2642</v>
      </c>
      <c r="M171" s="1">
        <f>INT((Sheet2!L53+C32)*5)</f>
        <v>1467</v>
      </c>
      <c r="N171" s="1">
        <f t="shared" ref="N171" si="232">SUM(J171:M171)</f>
        <v>78888</v>
      </c>
      <c r="O171" s="1">
        <f t="shared" ref="O171" si="233">ROUND(N171*0.1, 0)</f>
        <v>7889</v>
      </c>
      <c r="P171" s="1">
        <f t="shared" ref="P171" si="234">FLOOR(N171*0.027, 10)</f>
        <v>2120</v>
      </c>
      <c r="Q171" s="1">
        <f t="shared" ref="Q171" si="235">FLOOR(N171+O171+P171, 10)</f>
        <v>88890</v>
      </c>
      <c r="R171" s="145">
        <f>Q171*(Sheet2!L53/(Sheet2!L53+C32))</f>
        <v>14617.049445369881</v>
      </c>
      <c r="U171" s="146"/>
    </row>
    <row r="172" spans="2:21">
      <c r="H172" s="143"/>
      <c r="I172">
        <v>11</v>
      </c>
      <c r="J172" s="1">
        <f t="shared" si="199"/>
        <v>30170</v>
      </c>
      <c r="K172" s="1">
        <f>ROUNDDOWN(Sheet2!M53*44.43%*138.7 + Sheet2!M53*27.22%*184.7 + Sheet2!M53*28.35%*220.5 + C33*30%*138.7 + C33*30%*184.7 + C33*40%*220.5, 0)</f>
        <v>66363</v>
      </c>
      <c r="L172" s="158">
        <f>INT((Sheet2!M53+C33)*9)</f>
        <v>3281</v>
      </c>
      <c r="M172" s="1">
        <f>INT((Sheet2!M53+C33)*5)</f>
        <v>1823</v>
      </c>
      <c r="N172" s="1">
        <f t="shared" ref="N172" si="236">SUM(J172:M172)</f>
        <v>101637</v>
      </c>
      <c r="O172" s="1">
        <f t="shared" ref="O172" si="237">ROUND(N172*0.1, 0)</f>
        <v>10164</v>
      </c>
      <c r="P172" s="1">
        <f t="shared" ref="P172" si="238">FLOOR(N172*0.027, 10)</f>
        <v>2740</v>
      </c>
      <c r="Q172" s="1">
        <f t="shared" ref="Q172" si="239">FLOOR(N172+O172+P172, 10)</f>
        <v>114540</v>
      </c>
      <c r="R172" s="145">
        <f>Q172*(Sheet2!M53/(Sheet2!M53+C33))</f>
        <v>34190.812099868977</v>
      </c>
      <c r="U172" s="146"/>
    </row>
    <row r="173" spans="2:21">
      <c r="B173" t="s">
        <v>458</v>
      </c>
      <c r="H173" s="143"/>
      <c r="I173">
        <v>12</v>
      </c>
      <c r="J173" s="1">
        <f t="shared" si="199"/>
        <v>30170</v>
      </c>
      <c r="K173" s="1">
        <f>ROUNDDOWN(Sheet2!N53*43.82%*138.7 + Sheet2!N53*28.18%*184.7 + Sheet2!N53*28%*220.5 + C34*30%*138.7 + C34*30%*184.7 + C34*40%*220.5, 0)</f>
        <v>83521</v>
      </c>
      <c r="L173" s="158">
        <f>INT((Sheet2!N53+C34)*9)</f>
        <v>4155</v>
      </c>
      <c r="M173" s="1">
        <f>INT((Sheet2!N53+C34)*5)</f>
        <v>2308</v>
      </c>
      <c r="N173" s="1">
        <f t="shared" ref="N173" si="240">SUM(J173:M173)</f>
        <v>120154</v>
      </c>
      <c r="O173" s="1">
        <f t="shared" ref="O173" si="241">ROUND(N173*0.1, 0)</f>
        <v>12015</v>
      </c>
      <c r="P173" s="1">
        <f t="shared" ref="P173" si="242">FLOOR(N173*0.027, 10)</f>
        <v>3240</v>
      </c>
      <c r="Q173" s="1">
        <f t="shared" ref="Q173" si="243">FLOOR(N173+O173+P173, 10)</f>
        <v>135400</v>
      </c>
      <c r="R173" s="145">
        <f>Q173*(Sheet2!N53/(Sheet2!N53+C34))</f>
        <v>55050.66273328894</v>
      </c>
      <c r="U173" s="146"/>
    </row>
    <row r="174" spans="2:21">
      <c r="B174" s="1" t="s">
        <v>456</v>
      </c>
      <c r="H174" s="143"/>
      <c r="I174" s="6" t="s">
        <v>409</v>
      </c>
      <c r="J174" s="1" t="s">
        <v>386</v>
      </c>
      <c r="K174" s="1" t="s">
        <v>387</v>
      </c>
      <c r="L174" s="1" t="s">
        <v>388</v>
      </c>
      <c r="M174" s="1" t="s">
        <v>389</v>
      </c>
      <c r="N174" s="1" t="s">
        <v>390</v>
      </c>
      <c r="O174" s="1" t="s">
        <v>391</v>
      </c>
      <c r="P174" s="1" t="s">
        <v>392</v>
      </c>
      <c r="Q174" s="1" t="s">
        <v>393</v>
      </c>
      <c r="R174" s="1" t="s">
        <v>432</v>
      </c>
      <c r="S174" s="145">
        <f>SUM(R175:R186)</f>
        <v>414767.93493770406</v>
      </c>
      <c r="T174" s="145">
        <f>Sheet2!$O$18</f>
        <v>650516.39601400623</v>
      </c>
      <c r="U174" s="148">
        <f>(T174-S174)/T174</f>
        <v>0.36240202786714432</v>
      </c>
    </row>
    <row r="175" spans="2:21">
      <c r="B175" s="1" t="s">
        <v>457</v>
      </c>
      <c r="H175" s="143"/>
      <c r="I175">
        <v>1</v>
      </c>
      <c r="J175" s="1">
        <f t="shared" ref="J175:J186" si="244">$C$170*($D$109+3)</f>
        <v>30170</v>
      </c>
      <c r="K175">
        <f>ROUNDDOWN(Sheet2!C54*43.37%*138.7 + Sheet2!C54*28.76%*184.7 + Sheet2!C54*27.87%*220.5 + C23*30%*138.7 + C23*30%*184.7 + C23*40%*220.5, 0)</f>
        <v>115906</v>
      </c>
      <c r="L175" s="158">
        <f>INT((Sheet2!C54+C23)*9)</f>
        <v>5805</v>
      </c>
      <c r="M175" s="1">
        <f>INT((Sheet2!C54+C23)*5)</f>
        <v>3225</v>
      </c>
      <c r="N175" s="1">
        <f t="shared" ref="N175:N186" si="245">SUM(J175:M175)</f>
        <v>155106</v>
      </c>
      <c r="O175" s="1">
        <f t="shared" ref="O175:O186" si="246">ROUND(N175*0.1, 0)</f>
        <v>15511</v>
      </c>
      <c r="P175" s="1">
        <f t="shared" ref="P175:P186" si="247">FLOOR(N175*0.027, 10)</f>
        <v>4180</v>
      </c>
      <c r="Q175" s="1">
        <f t="shared" ref="Q175:Q186" si="248">FLOOR(N175+O175+P175, 10)</f>
        <v>174790</v>
      </c>
      <c r="R175" s="145">
        <f>Q175*(Sheet2!C54/(Sheet2!C54+C23))</f>
        <v>92003.208980873227</v>
      </c>
      <c r="U175" s="146"/>
    </row>
    <row r="176" spans="2:21">
      <c r="H176" s="143"/>
      <c r="I176">
        <v>2</v>
      </c>
      <c r="J176" s="1">
        <f t="shared" si="244"/>
        <v>30170</v>
      </c>
      <c r="K176" s="1">
        <f>ROUNDDOWN(Sheet2!D54*44.03%*138.7 + Sheet2!D54*28.8%*184.7 + Sheet2!D54*27.16%*220.5 + C24*30%*138.7 + C24*30%*184.7 + C24*40%*220.5, 0)</f>
        <v>108819</v>
      </c>
      <c r="L176" s="158">
        <f>INT((Sheet2!D54+C24)*9)</f>
        <v>5451</v>
      </c>
      <c r="M176" s="1">
        <f>INT((Sheet2!D54+C24)*5)</f>
        <v>3028</v>
      </c>
      <c r="N176" s="1">
        <f t="shared" si="245"/>
        <v>147468</v>
      </c>
      <c r="O176" s="1">
        <f t="shared" si="246"/>
        <v>14747</v>
      </c>
      <c r="P176" s="1">
        <f t="shared" si="247"/>
        <v>3980</v>
      </c>
      <c r="Q176" s="1">
        <f t="shared" si="248"/>
        <v>166190</v>
      </c>
      <c r="R176" s="145">
        <f>Q176*(Sheet2!D54/(Sheet2!D54+C24))</f>
        <v>83691.034769799924</v>
      </c>
      <c r="U176" s="146"/>
    </row>
    <row r="177" spans="2:21">
      <c r="B177" s="133"/>
      <c r="H177" s="143"/>
      <c r="I177">
        <v>3</v>
      </c>
      <c r="J177" s="1">
        <f t="shared" si="244"/>
        <v>30170</v>
      </c>
      <c r="K177" s="1">
        <f>ROUNDDOWN(Sheet2!E54*44.16%*125.8 + Sheet2!E54*28.26%*153.8 + Sheet2!E54*27.58%*172.4 + C25*30%*125.8 + C25*30%*153.8 + C25*40%*172.4, 0)</f>
        <v>75020</v>
      </c>
      <c r="L177" s="158">
        <f>INT((Sheet2!E54+C25)*9)</f>
        <v>4499</v>
      </c>
      <c r="M177" s="1">
        <f>INT((Sheet2!E54+C25)*5)</f>
        <v>2499</v>
      </c>
      <c r="N177" s="1">
        <f t="shared" si="245"/>
        <v>112188</v>
      </c>
      <c r="O177" s="1">
        <f t="shared" si="246"/>
        <v>11219</v>
      </c>
      <c r="P177" s="1">
        <f t="shared" si="247"/>
        <v>3020</v>
      </c>
      <c r="Q177" s="1">
        <f t="shared" si="248"/>
        <v>126420</v>
      </c>
      <c r="R177" s="145">
        <f>Q177*(Sheet2!E54/(Sheet2!E54+C25))</f>
        <v>56175.669690366019</v>
      </c>
      <c r="U177" s="146"/>
    </row>
    <row r="178" spans="2:21">
      <c r="B178" s="133"/>
      <c r="H178" s="143"/>
      <c r="I178">
        <v>4</v>
      </c>
      <c r="J178" s="1">
        <f t="shared" si="244"/>
        <v>30170</v>
      </c>
      <c r="K178" s="1">
        <f>ROUNDDOWN(Sheet2!F54*42.51%*125.8 + Sheet2!F54*27.79%*153.8 + Sheet2!F54*29.7%*172.4 + C26*30%*125.8 + C26*30%*153.8 + C26*40%*172.4, 0)</f>
        <v>57620</v>
      </c>
      <c r="L178" s="158">
        <f>INT((Sheet2!F54+C26)*9)</f>
        <v>3433</v>
      </c>
      <c r="M178" s="1">
        <f>INT((Sheet2!F54+C26)*5)</f>
        <v>1907</v>
      </c>
      <c r="N178" s="1">
        <f t="shared" si="245"/>
        <v>93130</v>
      </c>
      <c r="O178" s="1">
        <f t="shared" si="246"/>
        <v>9313</v>
      </c>
      <c r="P178" s="1">
        <f t="shared" si="247"/>
        <v>2510</v>
      </c>
      <c r="Q178" s="1">
        <f t="shared" si="248"/>
        <v>104950</v>
      </c>
      <c r="R178" s="145">
        <f>Q178*(Sheet2!F54/(Sheet2!F54+C26))</f>
        <v>34627.717064097662</v>
      </c>
      <c r="U178" s="146"/>
    </row>
    <row r="179" spans="2:21">
      <c r="B179" s="133"/>
      <c r="H179" s="143"/>
      <c r="I179">
        <v>5</v>
      </c>
      <c r="J179" s="1">
        <f t="shared" si="244"/>
        <v>30170</v>
      </c>
      <c r="K179" s="1">
        <f>ROUNDDOWN(Sheet2!G54*38.44%*125.8 + Sheet2!G54*30.44%*153.8 + Sheet2!G54*31.12%*172.4 + C27*30%*125.8 + C27*30%*153.8 + C27*40%*172.4, 0)</f>
        <v>46808</v>
      </c>
      <c r="L179" s="158">
        <f>INT((Sheet2!G54+C27)*9)</f>
        <v>2771</v>
      </c>
      <c r="M179" s="1">
        <f>INT((Sheet2!G54+C27)*5)</f>
        <v>1539</v>
      </c>
      <c r="N179" s="1">
        <f t="shared" si="245"/>
        <v>81288</v>
      </c>
      <c r="O179" s="1">
        <f t="shared" si="246"/>
        <v>8129</v>
      </c>
      <c r="P179" s="1">
        <f t="shared" si="247"/>
        <v>2190</v>
      </c>
      <c r="Q179" s="1">
        <f t="shared" si="248"/>
        <v>91600</v>
      </c>
      <c r="R179" s="145">
        <f>Q179*(Sheet2!G54/(Sheet2!G54+C27))</f>
        <v>19170.649055190548</v>
      </c>
      <c r="U179" s="146"/>
    </row>
    <row r="180" spans="2:21">
      <c r="B180" s="133"/>
      <c r="H180" s="143"/>
      <c r="I180">
        <v>6</v>
      </c>
      <c r="J180" s="1">
        <f t="shared" si="244"/>
        <v>30170</v>
      </c>
      <c r="K180" s="1">
        <f>ROUNDDOWN(Sheet2!H54*31.92%*138.7 + Sheet2!H54*38.86%*184.7 + Sheet2!H54*29.22%*220.5 + C28*30%*138.7 + C28*30%*184.7 + C28*40%*220.5, 0)</f>
        <v>52136</v>
      </c>
      <c r="L180" s="158">
        <f>INT((Sheet2!H54+C28)*9)</f>
        <v>2541</v>
      </c>
      <c r="M180" s="1">
        <f>INT((Sheet2!H54+C28)*5)</f>
        <v>1412</v>
      </c>
      <c r="N180" s="1">
        <f t="shared" si="245"/>
        <v>86259</v>
      </c>
      <c r="O180" s="1">
        <f t="shared" si="246"/>
        <v>8626</v>
      </c>
      <c r="P180" s="1">
        <f t="shared" si="247"/>
        <v>2320</v>
      </c>
      <c r="Q180" s="1">
        <f t="shared" si="248"/>
        <v>97200</v>
      </c>
      <c r="R180" s="145">
        <f>Q180*(Sheet2!H54/(Sheet2!H54+C28))</f>
        <v>12815.869179238463</v>
      </c>
      <c r="U180" s="146"/>
    </row>
    <row r="181" spans="2:21">
      <c r="B181" s="133"/>
      <c r="H181" s="143"/>
      <c r="I181">
        <v>7</v>
      </c>
      <c r="J181" s="1">
        <f t="shared" si="244"/>
        <v>30170</v>
      </c>
      <c r="K181" s="1">
        <f>ROUNDDOWN(Sheet2!I54*26.8%*138.7 + Sheet2!I54*43.76%*184.7 + Sheet2!I54*29.44%*220.5 + C29*30%*138.7 + C29*30%*184.7 + C29*40%*220.5, 0)</f>
        <v>62029</v>
      </c>
      <c r="L181" s="158">
        <f>INT((Sheet2!I54+C29)*9)</f>
        <v>3016</v>
      </c>
      <c r="M181" s="1">
        <f>INT((Sheet2!I54+C29)*5)</f>
        <v>1675</v>
      </c>
      <c r="N181" s="1">
        <f t="shared" si="245"/>
        <v>96890</v>
      </c>
      <c r="O181" s="1">
        <f t="shared" si="246"/>
        <v>9689</v>
      </c>
      <c r="P181" s="1">
        <f t="shared" si="247"/>
        <v>2610</v>
      </c>
      <c r="Q181" s="1">
        <f t="shared" si="248"/>
        <v>109180</v>
      </c>
      <c r="R181" s="145">
        <f>Q181*(Sheet2!I54/(Sheet2!I54+C29))</f>
        <v>6893.6103528783142</v>
      </c>
      <c r="U181" s="146"/>
    </row>
    <row r="182" spans="2:21">
      <c r="B182" s="133"/>
      <c r="H182" s="143"/>
      <c r="I182">
        <v>8</v>
      </c>
      <c r="J182" s="1">
        <f t="shared" si="244"/>
        <v>30170</v>
      </c>
      <c r="K182" s="1">
        <f>ROUNDDOWN(Sheet2!J54*26.88%*138.7 + Sheet2!J54*45.15%*184.7 + Sheet2!J54*27.97%*220.5 + C30*30%*138.7 + C30*30%*184.7 + C30*40%*220.5, 0)</f>
        <v>68978</v>
      </c>
      <c r="L182" s="158">
        <f>INT((Sheet2!J54+C30)*9)</f>
        <v>3354</v>
      </c>
      <c r="M182" s="1">
        <f>INT((Sheet2!J54+C30)*5)</f>
        <v>1863</v>
      </c>
      <c r="N182" s="1">
        <f t="shared" si="245"/>
        <v>104365</v>
      </c>
      <c r="O182" s="1">
        <f t="shared" si="246"/>
        <v>10437</v>
      </c>
      <c r="P182" s="1">
        <f t="shared" si="247"/>
        <v>2810</v>
      </c>
      <c r="Q182" s="1">
        <f t="shared" si="248"/>
        <v>117610</v>
      </c>
      <c r="R182" s="145">
        <f>Q182*(Sheet2!J54/(Sheet2!J54+C30))</f>
        <v>5965.5059537965735</v>
      </c>
      <c r="U182" s="146"/>
    </row>
    <row r="183" spans="2:21">
      <c r="B183" s="133"/>
      <c r="H183" s="143"/>
      <c r="I183">
        <v>9</v>
      </c>
      <c r="J183" s="1">
        <f t="shared" si="244"/>
        <v>30170</v>
      </c>
      <c r="K183" s="1">
        <f>ROUNDDOWN(Sheet2!K54*30.32%*125.8 + Sheet2!K54*40.48%*153.8 + Sheet2!K54*29.2%*172.4 + C31*30%*125.8 + C31*30%*153.8 + C31*40%*172.4, 0)</f>
        <v>47742</v>
      </c>
      <c r="L183" s="158">
        <f>INT((Sheet2!K54+C31)*9)</f>
        <v>2814</v>
      </c>
      <c r="M183" s="1">
        <f>INT((Sheet2!K54+C31)*5)</f>
        <v>1563</v>
      </c>
      <c r="N183" s="1">
        <f t="shared" si="245"/>
        <v>82289</v>
      </c>
      <c r="O183" s="1">
        <f t="shared" si="246"/>
        <v>8229</v>
      </c>
      <c r="P183" s="1">
        <f t="shared" si="247"/>
        <v>2220</v>
      </c>
      <c r="Q183" s="1">
        <f t="shared" si="248"/>
        <v>92730</v>
      </c>
      <c r="R183" s="145">
        <f>Q183*(Sheet2!K54/(Sheet2!K54+C31))</f>
        <v>8768.1342806494886</v>
      </c>
      <c r="U183" s="146"/>
    </row>
    <row r="184" spans="2:21">
      <c r="B184" s="133"/>
      <c r="H184" s="143"/>
      <c r="I184">
        <v>10</v>
      </c>
      <c r="J184" s="1">
        <f t="shared" si="244"/>
        <v>30170</v>
      </c>
      <c r="K184" s="1">
        <f>ROUNDDOWN(Sheet2!L54*42.34%*125.8 + Sheet2!L54*28.1%*153.8 + Sheet2!L54*29.56%*172.4 + C32*30%*125.8 + C32*30%*153.8 + C32*40%*172.4, 0)</f>
        <v>43913</v>
      </c>
      <c r="L184" s="158">
        <f>INT((Sheet2!L54+C32)*9)</f>
        <v>2599</v>
      </c>
      <c r="M184" s="1">
        <f>INT((Sheet2!L54+C32)*5)</f>
        <v>1444</v>
      </c>
      <c r="N184" s="1">
        <f t="shared" si="245"/>
        <v>78126</v>
      </c>
      <c r="O184" s="1">
        <f t="shared" si="246"/>
        <v>7813</v>
      </c>
      <c r="P184" s="1">
        <f t="shared" si="247"/>
        <v>2100</v>
      </c>
      <c r="Q184" s="1">
        <f t="shared" si="248"/>
        <v>88030</v>
      </c>
      <c r="R184" s="145">
        <f>Q184*(Sheet2!L54/(Sheet2!L54+C32))</f>
        <v>13273.053842917408</v>
      </c>
      <c r="U184" s="146"/>
    </row>
    <row r="185" spans="2:21">
      <c r="B185" s="133"/>
      <c r="H185" s="143"/>
      <c r="I185">
        <v>11</v>
      </c>
      <c r="J185" s="1">
        <f t="shared" si="244"/>
        <v>30170</v>
      </c>
      <c r="K185" s="1">
        <f>ROUNDDOWN(Sheet2!M54*44.43%*138.7 + Sheet2!M54*27.22%*184.7 + Sheet2!M54*28.35%*220.5 + C33*30%*138.7 + C33*30%*184.7 + C33*40%*220.5, 0)</f>
        <v>64506</v>
      </c>
      <c r="L185" s="158">
        <f>INT((Sheet2!M54+C33)*9)</f>
        <v>3186</v>
      </c>
      <c r="M185" s="1">
        <f>INT((Sheet2!M54+C33)*5)</f>
        <v>1770</v>
      </c>
      <c r="N185" s="1">
        <f t="shared" si="245"/>
        <v>99632</v>
      </c>
      <c r="O185" s="1">
        <f t="shared" si="246"/>
        <v>9963</v>
      </c>
      <c r="P185" s="1">
        <f t="shared" si="247"/>
        <v>2690</v>
      </c>
      <c r="Q185" s="1">
        <f t="shared" si="248"/>
        <v>112280</v>
      </c>
      <c r="R185" s="145">
        <f>Q185*(Sheet2!M54/(Sheet2!M54+C33))</f>
        <v>31146.974175258169</v>
      </c>
      <c r="U185" s="146"/>
    </row>
    <row r="186" spans="2:21">
      <c r="B186" s="133"/>
      <c r="H186" s="143"/>
      <c r="I186">
        <v>12</v>
      </c>
      <c r="J186" s="1">
        <f t="shared" si="244"/>
        <v>30170</v>
      </c>
      <c r="K186" s="1">
        <f>ROUNDDOWN(Sheet2!N54*43.82%*138.7 + Sheet2!N54*28.18%*184.7 + Sheet2!N54*28%*220.5 + C34*30%*138.7 + C34*30%*184.7 + C34*40%*220.5, 0)</f>
        <v>80315</v>
      </c>
      <c r="L186" s="158">
        <f>INT((Sheet2!N54+C34)*9)</f>
        <v>3990</v>
      </c>
      <c r="M186" s="1">
        <f>INT((Sheet2!N54+C34)*5)</f>
        <v>2216</v>
      </c>
      <c r="N186" s="1">
        <f t="shared" si="245"/>
        <v>116691</v>
      </c>
      <c r="O186" s="1">
        <f t="shared" si="246"/>
        <v>11669</v>
      </c>
      <c r="P186" s="1">
        <f t="shared" si="247"/>
        <v>3150</v>
      </c>
      <c r="Q186" s="1">
        <f t="shared" si="248"/>
        <v>131510</v>
      </c>
      <c r="R186" s="145">
        <f>Q186*(Sheet2!N54/(Sheet2!N54+C34))</f>
        <v>50236.507592638278</v>
      </c>
      <c r="U186" s="146"/>
    </row>
    <row r="187" spans="2:21">
      <c r="B187" s="133"/>
      <c r="H187" s="143"/>
      <c r="I187" s="149" t="s">
        <v>412</v>
      </c>
      <c r="J187" s="1" t="s">
        <v>386</v>
      </c>
      <c r="K187" s="1" t="s">
        <v>387</v>
      </c>
      <c r="L187" s="1" t="s">
        <v>388</v>
      </c>
      <c r="M187" s="1" t="s">
        <v>389</v>
      </c>
      <c r="N187" s="1" t="s">
        <v>390</v>
      </c>
      <c r="O187" s="1" t="s">
        <v>391</v>
      </c>
      <c r="P187" s="1" t="s">
        <v>392</v>
      </c>
      <c r="Q187" s="1" t="s">
        <v>393</v>
      </c>
      <c r="R187" s="1" t="s">
        <v>432</v>
      </c>
      <c r="S187" s="145">
        <f>SUM(R188:R199)</f>
        <v>344586.83527918777</v>
      </c>
      <c r="T187" s="145">
        <f>Sheet2!$O$18</f>
        <v>650516.39601400623</v>
      </c>
      <c r="U187" s="148">
        <f>(T187-S187)/T187</f>
        <v>0.47028724042834352</v>
      </c>
    </row>
    <row r="188" spans="2:21">
      <c r="B188" s="133"/>
      <c r="H188" s="143"/>
      <c r="I188">
        <v>1</v>
      </c>
      <c r="J188" s="1">
        <f t="shared" ref="J188:J199" si="249">$C$170*($D$109+3)</f>
        <v>30170</v>
      </c>
      <c r="K188">
        <f>ROUNDDOWN(Sheet2!C55*43.37%*138.7 + Sheet2!C55*28.76%*184.7 + Sheet2!C55*27.87%*220.5 + C23*30%*138.7 + C23*30%*184.7 + C23*40%*220.5, 0)</f>
        <v>104860</v>
      </c>
      <c r="L188" s="158">
        <f>INT((Sheet2!C55+C23)*9)</f>
        <v>5236</v>
      </c>
      <c r="M188" s="1">
        <f>INT((Sheet2!C55+C23)*5)</f>
        <v>2908</v>
      </c>
      <c r="N188" s="1">
        <f t="shared" ref="N188:N199" si="250">SUM(J188:M188)</f>
        <v>143174</v>
      </c>
      <c r="O188" s="1">
        <f t="shared" ref="O188:O199" si="251">ROUND(N188*0.1, 0)</f>
        <v>14317</v>
      </c>
      <c r="P188" s="1">
        <f t="shared" ref="P188:P199" si="252">FLOOR(N188*0.027, 10)</f>
        <v>3860</v>
      </c>
      <c r="Q188" s="1">
        <f t="shared" ref="Q188:Q199" si="253">FLOOR(N188+O188+P188, 10)</f>
        <v>161350</v>
      </c>
      <c r="R188" s="145">
        <f>Q188*(Sheet2!C55/(Sheet2!C55+C23))</f>
        <v>76625.282733814558</v>
      </c>
      <c r="U188" s="146"/>
    </row>
    <row r="189" spans="2:21">
      <c r="H189" s="143"/>
      <c r="I189">
        <v>2</v>
      </c>
      <c r="J189" s="1">
        <f t="shared" si="249"/>
        <v>30170</v>
      </c>
      <c r="K189" s="1">
        <f>ROUNDDOWN(Sheet2!D55*44.03%*138.7 + Sheet2!D55*28.8%*184.7 + Sheet2!D55*27.16%*220.5 + C24*30%*138.7 + C24*30%*184.7 + C24*40%*220.5, 0)</f>
        <v>98928</v>
      </c>
      <c r="L189" s="158">
        <f>INT((Sheet2!D55+C24)*9)</f>
        <v>4940</v>
      </c>
      <c r="M189" s="1">
        <f>INT((Sheet2!D55+C24)*5)</f>
        <v>2744</v>
      </c>
      <c r="N189" s="1">
        <f t="shared" si="250"/>
        <v>136782</v>
      </c>
      <c r="O189" s="1">
        <f t="shared" si="251"/>
        <v>13678</v>
      </c>
      <c r="P189" s="1">
        <f t="shared" si="252"/>
        <v>3690</v>
      </c>
      <c r="Q189" s="1">
        <f t="shared" si="253"/>
        <v>154150</v>
      </c>
      <c r="R189" s="145">
        <f>Q189*(Sheet2!D55/(Sheet2!D55+C24))</f>
        <v>69710.317707874841</v>
      </c>
      <c r="U189" s="146"/>
    </row>
    <row r="190" spans="2:21">
      <c r="H190" s="143"/>
      <c r="I190">
        <v>3</v>
      </c>
      <c r="J190" s="1">
        <f t="shared" si="249"/>
        <v>30170</v>
      </c>
      <c r="K190" s="1">
        <f>ROUNDDOWN(Sheet2!E55*44.16%*125.8 + Sheet2!E55*28.26%*153.8 + Sheet2!E55*27.58%*172.4 + C25*30%*125.8 + C25*30%*153.8 + C25*40%*172.4, 0)</f>
        <v>68957</v>
      </c>
      <c r="L190" s="158">
        <f>INT((Sheet2!E55+C25)*9)</f>
        <v>4127</v>
      </c>
      <c r="M190" s="1">
        <f>INT((Sheet2!E55+C25)*5)</f>
        <v>2292</v>
      </c>
      <c r="N190" s="1">
        <f t="shared" si="250"/>
        <v>105546</v>
      </c>
      <c r="O190" s="1">
        <f t="shared" si="251"/>
        <v>10555</v>
      </c>
      <c r="P190" s="1">
        <f t="shared" si="252"/>
        <v>2840</v>
      </c>
      <c r="Q190" s="1">
        <f t="shared" si="253"/>
        <v>118940</v>
      </c>
      <c r="R190" s="145">
        <f>Q190*(Sheet2!E55/(Sheet2!E55+C25))</f>
        <v>46890.704379350675</v>
      </c>
      <c r="U190" s="146"/>
    </row>
    <row r="191" spans="2:21">
      <c r="H191" s="143"/>
      <c r="I191">
        <v>4</v>
      </c>
      <c r="J191" s="1">
        <f t="shared" si="249"/>
        <v>30170</v>
      </c>
      <c r="K191" s="1">
        <f>ROUNDDOWN(Sheet2!F55*42.51%*125.8 + Sheet2!F55*27.79%*153.8 + Sheet2!F55*29.7%*172.4 + C26*30%*125.8 + C26*30%*153.8 + C26*40%*172.4, 0)</f>
        <v>54165</v>
      </c>
      <c r="L191" s="158">
        <f>INT((Sheet2!F55+C26)*9)</f>
        <v>3222</v>
      </c>
      <c r="M191" s="1">
        <f>INT((Sheet2!F55+C26)*5)</f>
        <v>1790</v>
      </c>
      <c r="N191" s="1">
        <f t="shared" si="250"/>
        <v>89347</v>
      </c>
      <c r="O191" s="1">
        <f t="shared" si="251"/>
        <v>8935</v>
      </c>
      <c r="P191" s="1">
        <f t="shared" si="252"/>
        <v>2410</v>
      </c>
      <c r="Q191" s="1">
        <f t="shared" si="253"/>
        <v>100690</v>
      </c>
      <c r="R191" s="145">
        <f>Q191*(Sheet2!F55/(Sheet2!F55+C26))</f>
        <v>28806.010109708914</v>
      </c>
      <c r="U191" s="146"/>
    </row>
    <row r="192" spans="2:21">
      <c r="H192" s="143"/>
      <c r="I192">
        <v>5</v>
      </c>
      <c r="J192" s="1">
        <f t="shared" si="249"/>
        <v>30170</v>
      </c>
      <c r="K192" s="1">
        <f>ROUNDDOWN(Sheet2!G55*38.44%*125.8 + Sheet2!G55*30.44%*153.8 + Sheet2!G55*31.12%*172.4 + C27*30%*125.8 + C27*30%*153.8 + C27*40%*172.4, 0)</f>
        <v>45022</v>
      </c>
      <c r="L192" s="158">
        <f>INT((Sheet2!G55+C27)*9)</f>
        <v>2663</v>
      </c>
      <c r="M192" s="1">
        <f>INT((Sheet2!G55+C27)*5)</f>
        <v>1479</v>
      </c>
      <c r="N192" s="1">
        <f t="shared" si="250"/>
        <v>79334</v>
      </c>
      <c r="O192" s="1">
        <f t="shared" si="251"/>
        <v>7933</v>
      </c>
      <c r="P192" s="1">
        <f t="shared" si="252"/>
        <v>2140</v>
      </c>
      <c r="Q192" s="1">
        <f t="shared" si="253"/>
        <v>89400</v>
      </c>
      <c r="R192" s="145">
        <f>Q192*(Sheet2!G55/(Sheet2!G55+C27))</f>
        <v>15843.865799108997</v>
      </c>
      <c r="U192" s="146"/>
    </row>
    <row r="193" spans="8:21">
      <c r="H193" s="143"/>
      <c r="I193">
        <v>6</v>
      </c>
      <c r="J193" s="1">
        <f t="shared" si="249"/>
        <v>30170</v>
      </c>
      <c r="K193" s="1">
        <f>ROUNDDOWN(Sheet2!H55*31.92%*138.7 + Sheet2!H55*38.86%*184.7 + Sheet2!H55*29.22%*220.5 + C28*30%*138.7 + C28*30%*184.7 + C28*40%*220.5, 0)</f>
        <v>50885</v>
      </c>
      <c r="L193" s="158">
        <f>INT((Sheet2!H55+C28)*9)</f>
        <v>2479</v>
      </c>
      <c r="M193" s="1">
        <f>INT((Sheet2!H55+C28)*5)</f>
        <v>1377</v>
      </c>
      <c r="N193" s="1">
        <f t="shared" si="250"/>
        <v>84911</v>
      </c>
      <c r="O193" s="1">
        <f t="shared" si="251"/>
        <v>8491</v>
      </c>
      <c r="P193" s="1">
        <f t="shared" si="252"/>
        <v>2290</v>
      </c>
      <c r="Q193" s="1">
        <f t="shared" si="253"/>
        <v>95690</v>
      </c>
      <c r="R193" s="145">
        <f>Q193*(Sheet2!H55/(Sheet2!H55+C28))</f>
        <v>10526.000107803149</v>
      </c>
      <c r="U193" s="146"/>
    </row>
    <row r="194" spans="8:21">
      <c r="H194" s="143"/>
      <c r="I194">
        <v>7</v>
      </c>
      <c r="J194" s="1">
        <f t="shared" si="249"/>
        <v>30170</v>
      </c>
      <c r="K194" s="1">
        <f>ROUNDDOWN(Sheet2!I55*26.8%*138.7 + Sheet2!I55*43.76%*184.7 + Sheet2!I55*29.44%*220.5 + C29*30%*138.7 + C29*30%*184.7 + C29*40%*220.5, 0)</f>
        <v>61309</v>
      </c>
      <c r="L194" s="158">
        <f>INT((Sheet2!I55+C29)*9)</f>
        <v>2980</v>
      </c>
      <c r="M194" s="1">
        <f>INT((Sheet2!I55+C29)*5)</f>
        <v>1656</v>
      </c>
      <c r="N194" s="1">
        <f t="shared" si="250"/>
        <v>96115</v>
      </c>
      <c r="O194" s="1">
        <f t="shared" si="251"/>
        <v>9612</v>
      </c>
      <c r="P194" s="1">
        <f t="shared" si="252"/>
        <v>2590</v>
      </c>
      <c r="Q194" s="1">
        <f t="shared" si="253"/>
        <v>108310</v>
      </c>
      <c r="R194" s="145">
        <f>Q194*(Sheet2!I55/(Sheet2!I55+C29))</f>
        <v>5631.5534084891378</v>
      </c>
      <c r="U194" s="146"/>
    </row>
    <row r="195" spans="8:21">
      <c r="H195" s="143"/>
      <c r="I195">
        <v>8</v>
      </c>
      <c r="J195" s="1">
        <f t="shared" si="249"/>
        <v>30170</v>
      </c>
      <c r="K195" s="1">
        <f>ROUNDDOWN(Sheet2!J55*26.88%*138.7 + Sheet2!J55*45.15%*184.7 + Sheet2!J55*27.97%*220.5 + C30*30%*138.7 + C30*30%*184.7 + C30*40%*220.5, 0)</f>
        <v>68336</v>
      </c>
      <c r="L195" s="158">
        <f>INT((Sheet2!J55+C30)*9)</f>
        <v>3322</v>
      </c>
      <c r="M195" s="1">
        <f>INT((Sheet2!J55+C30)*5)</f>
        <v>1845</v>
      </c>
      <c r="N195" s="1">
        <f t="shared" si="250"/>
        <v>103673</v>
      </c>
      <c r="O195" s="1">
        <f t="shared" si="251"/>
        <v>10367</v>
      </c>
      <c r="P195" s="1">
        <f t="shared" si="252"/>
        <v>2790</v>
      </c>
      <c r="Q195" s="1">
        <f t="shared" si="253"/>
        <v>116830</v>
      </c>
      <c r="R195" s="145">
        <f>Q195*(Sheet2!J55/(Sheet2!J55+C30))</f>
        <v>4868.5380594491371</v>
      </c>
      <c r="U195" s="146"/>
    </row>
    <row r="196" spans="8:21">
      <c r="H196" s="143"/>
      <c r="I196">
        <v>9</v>
      </c>
      <c r="J196" s="1">
        <f t="shared" si="249"/>
        <v>30170</v>
      </c>
      <c r="K196" s="1">
        <f>ROUNDDOWN(Sheet2!K55*30.32%*125.8 + Sheet2!K55*40.48%*153.8 + Sheet2!K55*29.2%*172.4 + C31*30%*125.8 + C31*30%*153.8 + C31*40%*172.4, 0)</f>
        <v>46912</v>
      </c>
      <c r="L196" s="158">
        <f>INT((Sheet2!K55+C31)*9)</f>
        <v>2765</v>
      </c>
      <c r="M196" s="1">
        <f>INT((Sheet2!K55+C31)*5)</f>
        <v>1536</v>
      </c>
      <c r="N196" s="1">
        <f t="shared" si="250"/>
        <v>81383</v>
      </c>
      <c r="O196" s="1">
        <f t="shared" si="251"/>
        <v>8138</v>
      </c>
      <c r="P196" s="1">
        <f t="shared" si="252"/>
        <v>2190</v>
      </c>
      <c r="Q196" s="1">
        <f t="shared" si="253"/>
        <v>91710</v>
      </c>
      <c r="R196" s="145">
        <f>Q196*(Sheet2!K55/(Sheet2!K55+C31))</f>
        <v>7183.5295344276456</v>
      </c>
      <c r="U196" s="146"/>
    </row>
    <row r="197" spans="8:21">
      <c r="H197" s="143"/>
      <c r="I197">
        <v>10</v>
      </c>
      <c r="J197" s="1">
        <f t="shared" si="249"/>
        <v>30170</v>
      </c>
      <c r="K197" s="1">
        <f>ROUNDDOWN(Sheet2!L55*42.34%*125.8 + Sheet2!L55*28.1%*153.8 + Sheet2!L55*29.56%*172.4 + C32*30%*125.8 + C32*30%*153.8 + C32*40%*172.4, 0)</f>
        <v>42717</v>
      </c>
      <c r="L197" s="158">
        <f>INT((Sheet2!L55+C32)*9)</f>
        <v>2526</v>
      </c>
      <c r="M197" s="1">
        <f>INT((Sheet2!L55+C32)*5)</f>
        <v>1403</v>
      </c>
      <c r="N197" s="1">
        <f t="shared" si="250"/>
        <v>76816</v>
      </c>
      <c r="O197" s="1">
        <f t="shared" si="251"/>
        <v>7682</v>
      </c>
      <c r="P197" s="1">
        <f t="shared" si="252"/>
        <v>2070</v>
      </c>
      <c r="Q197" s="1">
        <f t="shared" si="253"/>
        <v>86560</v>
      </c>
      <c r="R197" s="145">
        <f>Q197*(Sheet2!L55/(Sheet2!L55+C32))</f>
        <v>10928.093175393864</v>
      </c>
      <c r="U197" s="146"/>
    </row>
    <row r="198" spans="8:21">
      <c r="H198" s="143"/>
      <c r="I198">
        <v>11</v>
      </c>
      <c r="J198" s="1">
        <f t="shared" si="249"/>
        <v>30170</v>
      </c>
      <c r="K198" s="1">
        <f>ROUNDDOWN(Sheet2!M55*44.43%*138.7 + Sheet2!M55*27.22%*184.7 + Sheet2!M55*28.35%*220.5 + C33*30%*138.7 + C33*30%*184.7 + C33*40%*220.5, 0)</f>
        <v>61317</v>
      </c>
      <c r="L198" s="158">
        <f>INT((Sheet2!M55+C33)*9)</f>
        <v>3021</v>
      </c>
      <c r="M198" s="1">
        <f>INT((Sheet2!M55+C33)*5)</f>
        <v>1678</v>
      </c>
      <c r="N198" s="1">
        <f t="shared" si="250"/>
        <v>96186</v>
      </c>
      <c r="O198" s="1">
        <f t="shared" si="251"/>
        <v>9619</v>
      </c>
      <c r="P198" s="1">
        <f t="shared" si="252"/>
        <v>2590</v>
      </c>
      <c r="Q198" s="1">
        <f t="shared" si="253"/>
        <v>108390</v>
      </c>
      <c r="R198" s="145">
        <f>Q198*(Sheet2!M55/(Sheet2!M55+C33))</f>
        <v>25802.081622230286</v>
      </c>
      <c r="U198" s="146"/>
    </row>
    <row r="199" spans="8:21">
      <c r="H199" s="143"/>
      <c r="I199">
        <v>12</v>
      </c>
      <c r="J199" s="1">
        <f t="shared" si="249"/>
        <v>30170</v>
      </c>
      <c r="K199" s="1">
        <f>ROUNDDOWN(Sheet2!N55*43.82%*138.7 + Sheet2!N55*28.18%*184.7 + Sheet2!N55*28%*220.5 + C34*30%*138.7 + C34*30%*184.7 + C34*40%*220.5, 0)</f>
        <v>74810</v>
      </c>
      <c r="L199" s="158">
        <f>INT((Sheet2!N55+C34)*9)</f>
        <v>3706</v>
      </c>
      <c r="M199" s="1">
        <f>INT((Sheet2!N55+C34)*5)</f>
        <v>2059</v>
      </c>
      <c r="N199" s="1">
        <f t="shared" si="250"/>
        <v>110745</v>
      </c>
      <c r="O199" s="1">
        <f t="shared" si="251"/>
        <v>11075</v>
      </c>
      <c r="P199" s="1">
        <f t="shared" si="252"/>
        <v>2990</v>
      </c>
      <c r="Q199" s="1">
        <f t="shared" si="253"/>
        <v>124810</v>
      </c>
      <c r="R199" s="145">
        <f>Q199*(Sheet2!N55/(Sheet2!N55+C34))</f>
        <v>41770.858641536543</v>
      </c>
      <c r="U199" s="146"/>
    </row>
    <row r="200" spans="8:21">
      <c r="H200" s="143"/>
      <c r="I200" t="s">
        <v>81</v>
      </c>
      <c r="J200" s="1" t="s">
        <v>386</v>
      </c>
      <c r="K200" s="1" t="s">
        <v>387</v>
      </c>
      <c r="L200" s="1" t="s">
        <v>388</v>
      </c>
      <c r="M200" s="1" t="s">
        <v>389</v>
      </c>
      <c r="N200" s="1" t="s">
        <v>390</v>
      </c>
      <c r="O200" s="1" t="s">
        <v>391</v>
      </c>
      <c r="P200" s="1" t="s">
        <v>392</v>
      </c>
      <c r="Q200" s="1" t="s">
        <v>393</v>
      </c>
      <c r="R200" s="1" t="s">
        <v>432</v>
      </c>
      <c r="S200" s="145">
        <f>SUM(R201:R212)</f>
        <v>285899.01563919103</v>
      </c>
      <c r="T200" s="145">
        <f>Sheet2!$O$18</f>
        <v>650516.39601400623</v>
      </c>
      <c r="U200" s="148">
        <f>(T200-S200)/T200</f>
        <v>0.56050452011506968</v>
      </c>
    </row>
    <row r="201" spans="8:21">
      <c r="H201" s="143"/>
      <c r="I201">
        <v>1</v>
      </c>
      <c r="J201" s="1">
        <f t="shared" ref="J201:J211" si="254">$C$170*($D$109+3)</f>
        <v>30170</v>
      </c>
      <c r="K201">
        <f>ROUNDDOWN(Sheet2!C56*43.37%*138.7 + Sheet2!C56*28.76%*184.7 + Sheet2!C56*27.87%*220.5 + C23*30%*138.7 + C23*30%*184.7 + C23*40%*220.5, 0)</f>
        <v>95876</v>
      </c>
      <c r="L201" s="158">
        <f>INT((Sheet2!C56+C23)*9)</f>
        <v>4773</v>
      </c>
      <c r="M201" s="1">
        <f>INT((Sheet2!C56+C23)*5)</f>
        <v>2651</v>
      </c>
      <c r="N201" s="1">
        <f t="shared" ref="N201:N212" si="255">SUM(J201:M201)</f>
        <v>133470</v>
      </c>
      <c r="O201" s="1">
        <f t="shared" ref="O201:O212" si="256">ROUND(N201*0.1, 0)</f>
        <v>13347</v>
      </c>
      <c r="P201" s="1">
        <f t="shared" ref="P201:P212" si="257">FLOOR(N201*0.027, 10)</f>
        <v>3600</v>
      </c>
      <c r="Q201" s="1">
        <f t="shared" ref="Q201:Q212" si="258">FLOOR(N201+O201+P201, 10)</f>
        <v>150410</v>
      </c>
      <c r="R201" s="145">
        <f>Q201*(Sheet2!C56/(Sheet2!C56+C23))</f>
        <v>63772.969382810748</v>
      </c>
      <c r="U201" s="146"/>
    </row>
    <row r="202" spans="8:21">
      <c r="H202" s="143"/>
      <c r="I202">
        <v>2</v>
      </c>
      <c r="J202" s="1">
        <f t="shared" si="254"/>
        <v>30170</v>
      </c>
      <c r="K202" s="1">
        <f>ROUNDDOWN(Sheet2!D56*44.03%*138.7 + Sheet2!D56*28.8%*184.7 + Sheet2!D56*27.16%*220.5 + C24*30%*138.7 + C24*30%*184.7 + C24*40%*220.5, 0)</f>
        <v>90882</v>
      </c>
      <c r="L202" s="158">
        <f>INT((Sheet2!D56+C24)*9)</f>
        <v>4524</v>
      </c>
      <c r="M202" s="1">
        <f>INT((Sheet2!D56+C24)*5)</f>
        <v>2513</v>
      </c>
      <c r="N202" s="1">
        <f t="shared" si="255"/>
        <v>128089</v>
      </c>
      <c r="O202" s="1">
        <f t="shared" si="256"/>
        <v>12809</v>
      </c>
      <c r="P202" s="1">
        <f t="shared" si="257"/>
        <v>3450</v>
      </c>
      <c r="Q202" s="1">
        <f t="shared" si="258"/>
        <v>144340</v>
      </c>
      <c r="R202" s="145">
        <f>Q202*(Sheet2!D56/(Sheet2!D56+C24))</f>
        <v>58008.439366762963</v>
      </c>
      <c r="U202" s="146"/>
    </row>
    <row r="203" spans="8:21">
      <c r="H203" s="143"/>
      <c r="I203">
        <v>3</v>
      </c>
      <c r="J203" s="1">
        <f t="shared" si="254"/>
        <v>30170</v>
      </c>
      <c r="K203" s="1">
        <f>ROUNDDOWN(Sheet2!E56*44.16%*125.8 + Sheet2!E56*28.26%*153.8 + Sheet2!E56*27.58%*172.4 + C25*30%*125.8 + C25*30%*153.8 + C25*40%*172.4, 0)</f>
        <v>64026</v>
      </c>
      <c r="L203" s="158">
        <f>INT((Sheet2!E56+C25)*9)</f>
        <v>3824</v>
      </c>
      <c r="M203" s="1">
        <f>INT((Sheet2!E56+C25)*5)</f>
        <v>2124</v>
      </c>
      <c r="N203" s="1">
        <f t="shared" si="255"/>
        <v>100144</v>
      </c>
      <c r="O203" s="1">
        <f t="shared" si="256"/>
        <v>10014</v>
      </c>
      <c r="P203" s="1">
        <f t="shared" si="257"/>
        <v>2700</v>
      </c>
      <c r="Q203" s="1">
        <f t="shared" si="258"/>
        <v>112850</v>
      </c>
      <c r="R203" s="145">
        <f>Q203*(Sheet2!E56/(Sheet2!E56+C25))</f>
        <v>39077.2567662129</v>
      </c>
      <c r="U203" s="146"/>
    </row>
    <row r="204" spans="8:21">
      <c r="H204" s="143"/>
      <c r="I204">
        <v>4</v>
      </c>
      <c r="J204" s="1">
        <f t="shared" si="254"/>
        <v>30170</v>
      </c>
      <c r="K204" s="1">
        <f>ROUNDDOWN(Sheet2!F56*42.51%*125.8 + Sheet2!F56*27.79%*153.8 + Sheet2!F56*29.7%*172.4 + C26*30%*125.8 + C26*30%*153.8 + C26*40%*172.4, 0)</f>
        <v>51355</v>
      </c>
      <c r="L204" s="158">
        <f>INT((Sheet2!F56+C26)*9)</f>
        <v>3050</v>
      </c>
      <c r="M204" s="1">
        <f>INT((Sheet2!F56+C26)*5)</f>
        <v>1694</v>
      </c>
      <c r="N204" s="1">
        <f t="shared" si="255"/>
        <v>86269</v>
      </c>
      <c r="O204" s="1">
        <f t="shared" si="256"/>
        <v>8627</v>
      </c>
      <c r="P204" s="1">
        <f t="shared" si="257"/>
        <v>2320</v>
      </c>
      <c r="Q204" s="1">
        <f t="shared" si="258"/>
        <v>97210</v>
      </c>
      <c r="R204" s="145">
        <f>Q204*(Sheet2!F56/(Sheet2!F56+C26))</f>
        <v>23907.777074347297</v>
      </c>
      <c r="U204" s="146"/>
    </row>
    <row r="205" spans="8:21">
      <c r="H205" s="143"/>
      <c r="I205">
        <v>5</v>
      </c>
      <c r="J205" s="1">
        <f t="shared" si="254"/>
        <v>30170</v>
      </c>
      <c r="K205" s="1">
        <f>ROUNDDOWN(Sheet2!G56*38.44%*125.8 + Sheet2!G56*30.44%*153.8 + Sheet2!G56*31.12%*172.4 + C27*30%*125.8 + C27*30%*153.8 + C27*40%*172.4, 0)</f>
        <v>43569</v>
      </c>
      <c r="L205" s="158">
        <f>INT((Sheet2!G56+C27)*9)</f>
        <v>2575</v>
      </c>
      <c r="M205" s="1">
        <f>INT((Sheet2!G56+C27)*5)</f>
        <v>1430</v>
      </c>
      <c r="N205" s="1">
        <f t="shared" si="255"/>
        <v>77744</v>
      </c>
      <c r="O205" s="1">
        <f t="shared" si="256"/>
        <v>7774</v>
      </c>
      <c r="P205" s="1">
        <f t="shared" si="257"/>
        <v>2090</v>
      </c>
      <c r="Q205" s="1">
        <f t="shared" si="258"/>
        <v>87600</v>
      </c>
      <c r="R205" s="145">
        <f>Q205*(Sheet2!G56/(Sheet2!G56+C27))</f>
        <v>13066.643862042163</v>
      </c>
      <c r="U205" s="146"/>
    </row>
    <row r="206" spans="8:21">
      <c r="H206" s="143"/>
      <c r="I206">
        <v>6</v>
      </c>
      <c r="J206" s="1">
        <f t="shared" si="254"/>
        <v>30170</v>
      </c>
      <c r="K206" s="1">
        <f>ROUNDDOWN(Sheet2!H56*31.92%*138.7 + Sheet2!H56*38.86%*184.7 + Sheet2!H56*29.22%*220.5 + C28*30%*138.7 + C28*30%*184.7 + C28*40%*220.5, 0)</f>
        <v>49867</v>
      </c>
      <c r="L206" s="158">
        <f>INT((Sheet2!H56+C28)*9)</f>
        <v>2428</v>
      </c>
      <c r="M206" s="1">
        <f>INT((Sheet2!H56+C28)*5)</f>
        <v>1349</v>
      </c>
      <c r="N206" s="1">
        <f t="shared" si="255"/>
        <v>83814</v>
      </c>
      <c r="O206" s="1">
        <f t="shared" si="256"/>
        <v>8381</v>
      </c>
      <c r="P206" s="1">
        <f t="shared" si="257"/>
        <v>2260</v>
      </c>
      <c r="Q206" s="1">
        <f t="shared" si="258"/>
        <v>94450</v>
      </c>
      <c r="R206" s="145">
        <f>Q206*(Sheet2!H56/(Sheet2!H56+C28))</f>
        <v>8632.8198424184138</v>
      </c>
      <c r="U206" s="146"/>
    </row>
    <row r="207" spans="8:21">
      <c r="H207" s="143"/>
      <c r="I207">
        <v>7</v>
      </c>
      <c r="J207" s="1">
        <f t="shared" si="254"/>
        <v>30170</v>
      </c>
      <c r="K207" s="1">
        <f>ROUNDDOWN(Sheet2!I56*26.8%*138.7 + Sheet2!I56*43.76%*184.7 + Sheet2!I56*29.44%*220.5 + C29*30%*138.7 + C29*30%*184.7 + C29*40%*220.5, 0)</f>
        <v>60722</v>
      </c>
      <c r="L207" s="158">
        <f>INT((Sheet2!I56+C29)*9)</f>
        <v>2952</v>
      </c>
      <c r="M207" s="1">
        <f>INT((Sheet2!I56+C29)*5)</f>
        <v>1640</v>
      </c>
      <c r="N207" s="1">
        <f t="shared" si="255"/>
        <v>95484</v>
      </c>
      <c r="O207" s="1">
        <f t="shared" si="256"/>
        <v>9548</v>
      </c>
      <c r="P207" s="1">
        <f t="shared" si="257"/>
        <v>2570</v>
      </c>
      <c r="Q207" s="1">
        <f t="shared" si="258"/>
        <v>107600</v>
      </c>
      <c r="R207" s="145">
        <f>Q207*(Sheet2!I56/(Sheet2!I56+C29))</f>
        <v>4597.9668229363397</v>
      </c>
      <c r="U207" s="146"/>
    </row>
    <row r="208" spans="8:21">
      <c r="H208" s="143"/>
      <c r="I208">
        <v>8</v>
      </c>
      <c r="J208" s="1">
        <f t="shared" si="254"/>
        <v>30170</v>
      </c>
      <c r="K208" s="1">
        <f>ROUNDDOWN(Sheet2!J56*26.88%*138.7 + Sheet2!J56*45.15%*184.7 + Sheet2!J56*27.97%*220.5 + C30*30%*138.7 + C30*30%*184.7 + C30*40%*220.5, 0)</f>
        <v>67814</v>
      </c>
      <c r="L208" s="158">
        <f>INT((Sheet2!J56+C30)*9)</f>
        <v>3296</v>
      </c>
      <c r="M208" s="1">
        <f>INT((Sheet2!J56+C30)*5)</f>
        <v>1831</v>
      </c>
      <c r="N208" s="1">
        <f t="shared" si="255"/>
        <v>103111</v>
      </c>
      <c r="O208" s="1">
        <f t="shared" si="256"/>
        <v>10311</v>
      </c>
      <c r="P208" s="1">
        <f t="shared" si="257"/>
        <v>2780</v>
      </c>
      <c r="Q208" s="1">
        <f t="shared" si="258"/>
        <v>116200</v>
      </c>
      <c r="R208" s="145">
        <f>Q208*(Sheet2!J56/(Sheet2!J56+C30))</f>
        <v>3971.9391457269649</v>
      </c>
      <c r="U208" s="146"/>
    </row>
    <row r="209" spans="8:21">
      <c r="H209" s="143"/>
      <c r="I209">
        <v>9</v>
      </c>
      <c r="J209" s="1">
        <f t="shared" si="254"/>
        <v>30170</v>
      </c>
      <c r="K209" s="1">
        <f>ROUNDDOWN(Sheet2!K56*30.32%*125.8 + Sheet2!K56*40.48%*153.8 + Sheet2!K56*29.2%*172.4 + C31*30%*125.8 + C31*30%*153.8 + C31*40%*172.4, 0)</f>
        <v>46237</v>
      </c>
      <c r="L209" s="158">
        <f>INT((Sheet2!K56+C31)*9)</f>
        <v>2725</v>
      </c>
      <c r="M209" s="1">
        <f>INT((Sheet2!K56+C31)*5)</f>
        <v>1513</v>
      </c>
      <c r="N209" s="1">
        <f t="shared" si="255"/>
        <v>80645</v>
      </c>
      <c r="O209" s="1">
        <f t="shared" si="256"/>
        <v>8065</v>
      </c>
      <c r="P209" s="1">
        <f t="shared" si="257"/>
        <v>2170</v>
      </c>
      <c r="Q209" s="1">
        <f t="shared" si="258"/>
        <v>90880</v>
      </c>
      <c r="R209" s="145">
        <f>Q209*(Sheet2!K56/(Sheet2!K56+C31))</f>
        <v>5879.4664567344598</v>
      </c>
      <c r="U209" s="146"/>
    </row>
    <row r="210" spans="8:21">
      <c r="H210" s="143"/>
      <c r="I210">
        <v>10</v>
      </c>
      <c r="J210" s="1">
        <f t="shared" si="254"/>
        <v>30170</v>
      </c>
      <c r="K210" s="1">
        <f>ROUNDDOWN(Sheet2!L56*42.34%*125.8 + Sheet2!L56*28.1%*153.8 + Sheet2!L56*29.56%*172.4 + C32*30%*125.8 + C32*30%*153.8 + C32*40%*172.4, 0)</f>
        <v>41745</v>
      </c>
      <c r="L210" s="158">
        <f>INT((Sheet2!L56+C32)*9)</f>
        <v>2467</v>
      </c>
      <c r="M210" s="1">
        <f>INT((Sheet2!L56+C32)*5)</f>
        <v>1370</v>
      </c>
      <c r="N210" s="1">
        <f t="shared" si="255"/>
        <v>75752</v>
      </c>
      <c r="O210" s="1">
        <f t="shared" si="256"/>
        <v>7575</v>
      </c>
      <c r="P210" s="1">
        <f t="shared" si="257"/>
        <v>2040</v>
      </c>
      <c r="Q210" s="1">
        <f t="shared" si="258"/>
        <v>85360</v>
      </c>
      <c r="R210" s="145">
        <f>Q210*(Sheet2!L56/(Sheet2!L56+C32))</f>
        <v>8982.1052753694421</v>
      </c>
      <c r="U210" s="146"/>
    </row>
    <row r="211" spans="8:21">
      <c r="H211" s="143"/>
      <c r="I211">
        <v>11</v>
      </c>
      <c r="J211" s="1">
        <f t="shared" si="254"/>
        <v>30170</v>
      </c>
      <c r="K211" s="1">
        <f>ROUNDDOWN(Sheet2!M56*44.43%*138.7 + Sheet2!M56*27.22%*184.7 + Sheet2!M56*28.35%*220.5 + C33*30%*138.7 + C33*30%*184.7 + C33*40%*220.5, 0)</f>
        <v>58723</v>
      </c>
      <c r="L211" s="158">
        <f>INT((Sheet2!M56+C33)*9)</f>
        <v>2887</v>
      </c>
      <c r="M211" s="1">
        <f>INT((Sheet2!M56+C33)*5)</f>
        <v>1604</v>
      </c>
      <c r="N211" s="1">
        <f t="shared" si="255"/>
        <v>93384</v>
      </c>
      <c r="O211" s="1">
        <f t="shared" si="256"/>
        <v>9338</v>
      </c>
      <c r="P211" s="1">
        <f t="shared" si="257"/>
        <v>2520</v>
      </c>
      <c r="Q211" s="1">
        <f t="shared" si="258"/>
        <v>105240</v>
      </c>
      <c r="R211" s="145">
        <f>Q211*(Sheet2!M56/(Sheet2!M56+C33))</f>
        <v>21335.177725314988</v>
      </c>
      <c r="U211" s="146"/>
    </row>
    <row r="212" spans="8:21">
      <c r="H212" s="150"/>
      <c r="I212" s="55">
        <v>12</v>
      </c>
      <c r="J212" s="156">
        <f>$C$170*($D$109+3)</f>
        <v>30170</v>
      </c>
      <c r="K212" s="156">
        <f>ROUNDDOWN(Sheet2!N56*43.82%*138.7 + Sheet2!N56*28.18%*184.7 + Sheet2!N56*28%*220.5 + C34*30%*138.7 + C34*30%*184.7 + C34*40%*220.5, 0)</f>
        <v>70333</v>
      </c>
      <c r="L212" s="159">
        <f>INT((Sheet2!N56+C34)*9)</f>
        <v>3475</v>
      </c>
      <c r="M212" s="156">
        <f>INT((Sheet2!N56+C34)*5)</f>
        <v>1930</v>
      </c>
      <c r="N212" s="156">
        <f t="shared" si="255"/>
        <v>105908</v>
      </c>
      <c r="O212" s="156">
        <f t="shared" si="256"/>
        <v>10591</v>
      </c>
      <c r="P212" s="156">
        <f t="shared" si="257"/>
        <v>2850</v>
      </c>
      <c r="Q212" s="156">
        <f t="shared" si="258"/>
        <v>119340</v>
      </c>
      <c r="R212" s="152">
        <f>Q212*(Sheet2!N56/(Sheet2!N56+C34))</f>
        <v>34666.453918514329</v>
      </c>
      <c r="S212" s="156"/>
      <c r="T212" s="156"/>
      <c r="U212" s="153"/>
    </row>
    <row r="213" spans="8:21">
      <c r="H213" s="139" t="s">
        <v>459</v>
      </c>
      <c r="I213" s="154" t="s">
        <v>78</v>
      </c>
      <c r="J213" s="154" t="s">
        <v>386</v>
      </c>
      <c r="K213" s="154" t="s">
        <v>387</v>
      </c>
      <c r="L213" s="154" t="s">
        <v>388</v>
      </c>
      <c r="M213" s="154" t="s">
        <v>389</v>
      </c>
      <c r="N213" s="154" t="s">
        <v>390</v>
      </c>
      <c r="O213" s="154" t="s">
        <v>391</v>
      </c>
      <c r="P213" s="154" t="s">
        <v>392</v>
      </c>
      <c r="Q213" s="154" t="s">
        <v>393</v>
      </c>
      <c r="R213" s="154" t="s">
        <v>432</v>
      </c>
      <c r="S213" s="157">
        <f>SUM(R214:R225)</f>
        <v>328596.8214009768</v>
      </c>
      <c r="T213" s="157">
        <f>Sheet2!$O$18</f>
        <v>650516.39601400623</v>
      </c>
      <c r="U213" s="142">
        <f>(T213-S213)/T213</f>
        <v>0.49486773367369236</v>
      </c>
    </row>
    <row r="214" spans="8:21">
      <c r="H214" s="143"/>
      <c r="I214">
        <v>1</v>
      </c>
      <c r="J214" s="1">
        <f t="shared" ref="J214:J224" si="259">$C$170*($D$109+3)</f>
        <v>30170</v>
      </c>
      <c r="K214">
        <f>ROUNDDOWN(MAX(Sheet2!C53*43.37% + C23*30% - C37*0.0062%,0)*138.7 + MAX(Sheet2!C53*28.76% + C23*30% - C37*95.4981%,0)*184.7 + MAX(Sheet2!C53*27.87% + C23*40% - C37*4.4957%,0)*220.5,0)</f>
        <v>83156</v>
      </c>
      <c r="L214" s="1">
        <f>INT(MAX(Sheet2!C53+C23-C37,0)*9)</f>
        <v>4082</v>
      </c>
      <c r="M214" s="160">
        <f>INT(MAX(Sheet2!C53+C23-C37,0)*5)</f>
        <v>2268</v>
      </c>
      <c r="N214" s="1">
        <f t="shared" ref="N214:N225" si="260">SUM(J214:M214)</f>
        <v>119676</v>
      </c>
      <c r="O214" s="1">
        <f t="shared" ref="O214:O225" si="261">ROUND(N214*0.1, 0)</f>
        <v>11968</v>
      </c>
      <c r="P214" s="1">
        <f t="shared" ref="P214:P225" si="262">FLOOR(N214*0.027, 10)</f>
        <v>3230</v>
      </c>
      <c r="Q214" s="1">
        <f t="shared" ref="Q214:Q225" si="263">FLOOR(N214+O214+P214, 10)</f>
        <v>134870</v>
      </c>
      <c r="R214" s="145">
        <f>Q214*(Sheet2!C53/(Sheet2!C53+C23))</f>
        <v>74439.838054854525</v>
      </c>
      <c r="U214" s="146"/>
    </row>
    <row r="215" spans="8:21">
      <c r="H215" s="143"/>
      <c r="I215">
        <v>2</v>
      </c>
      <c r="J215" s="1">
        <f t="shared" si="259"/>
        <v>30170</v>
      </c>
      <c r="K215">
        <f>ROUNDDOWN(MAX(Sheet2!D53*44.03% + C24*30% - C38*0.1791%,0)*138.7 + MAX(Sheet2!D53*28.8% + C24*30% - C38*92.1596%,0)*184.7 + MAX(Sheet2!D53*27.16% + C24*40% - C38*7.6613%,0)*220.5,0)</f>
        <v>75127</v>
      </c>
      <c r="L215" s="160">
        <f>INT(MAX(Sheet2!D53+C24-C38,0)*9)</f>
        <v>3226</v>
      </c>
      <c r="M215" s="160">
        <f>INT(MAX(Sheet2!D53+C24-C38,0)*5)</f>
        <v>1792</v>
      </c>
      <c r="N215" s="1">
        <f t="shared" si="260"/>
        <v>110315</v>
      </c>
      <c r="O215" s="1">
        <f t="shared" si="261"/>
        <v>11032</v>
      </c>
      <c r="P215" s="1">
        <f t="shared" si="262"/>
        <v>2970</v>
      </c>
      <c r="Q215" s="1">
        <f t="shared" si="263"/>
        <v>124310</v>
      </c>
      <c r="R215" s="145">
        <f>Q215*(Sheet2!D53/(Sheet2!D53+C24))</f>
        <v>65796.033280569449</v>
      </c>
      <c r="U215" s="146"/>
    </row>
    <row r="216" spans="8:21">
      <c r="H216" s="143"/>
      <c r="I216">
        <v>3</v>
      </c>
      <c r="J216" s="1">
        <f t="shared" si="259"/>
        <v>30170</v>
      </c>
      <c r="K216">
        <f>ROUNDDOWN(MAX(Sheet2!E53*44.16% + C25*30% - C39*1.149%,0)*125.8 + MAX(Sheet2!E53*28.26% + C25*30% - C39*89.637%,0)*153.8 + MAX(Sheet2!E53*27.58% + C25*40% - C39*9.2139%,0)*172.4,0)</f>
        <v>49803</v>
      </c>
      <c r="L216" s="160">
        <f>INT(MAX(Sheet2!E53+C25-C39,0)*9)</f>
        <v>2001</v>
      </c>
      <c r="M216" s="160">
        <f>INT(MAX(Sheet2!E53+C25-C39,0)*5)</f>
        <v>1112</v>
      </c>
      <c r="N216" s="1">
        <f t="shared" si="260"/>
        <v>83086</v>
      </c>
      <c r="O216" s="1">
        <f t="shared" si="261"/>
        <v>8309</v>
      </c>
      <c r="P216" s="1">
        <f t="shared" si="262"/>
        <v>2240</v>
      </c>
      <c r="Q216" s="1">
        <f t="shared" si="263"/>
        <v>93630</v>
      </c>
      <c r="R216" s="145">
        <f>Q216*(Sheet2!E53/(Sheet2!E53+C25))</f>
        <v>43996.687393125125</v>
      </c>
      <c r="U216" s="146"/>
    </row>
    <row r="217" spans="8:21">
      <c r="H217" s="143"/>
      <c r="I217">
        <v>4</v>
      </c>
      <c r="J217" s="1">
        <f t="shared" si="259"/>
        <v>30170</v>
      </c>
      <c r="K217">
        <f>ROUNDDOWN(MAX(Sheet2!F53*42.51% + C26*30% - C40*2.6448%,0)*125.8 + MAX(Sheet2!F53*27.79% + C26*30% - C40*86.8176%,0)*153.8 + MAX(Sheet2!F53*29.7% + C26*40% - C40*10.5375%,0)*172.4,0)</f>
        <v>34338</v>
      </c>
      <c r="L217" s="160">
        <f>INT(MAX(Sheet2!F53+C26-C40,0)*9)</f>
        <v>399</v>
      </c>
      <c r="M217" s="160">
        <f>INT(MAX(Sheet2!F53+C26-C40,0)*5)</f>
        <v>221</v>
      </c>
      <c r="N217" s="1">
        <f t="shared" si="260"/>
        <v>65128</v>
      </c>
      <c r="O217" s="1">
        <f t="shared" si="261"/>
        <v>6513</v>
      </c>
      <c r="P217" s="1">
        <f t="shared" si="262"/>
        <v>1750</v>
      </c>
      <c r="Q217" s="1">
        <f t="shared" si="263"/>
        <v>73390</v>
      </c>
      <c r="R217" s="145">
        <f>Q217*(Sheet2!F53/(Sheet2!F53+C26))</f>
        <v>25913.239617659514</v>
      </c>
      <c r="U217" s="146"/>
    </row>
    <row r="218" spans="8:21">
      <c r="H218" s="143"/>
      <c r="I218">
        <v>5</v>
      </c>
      <c r="J218" s="1">
        <f t="shared" si="259"/>
        <v>30170</v>
      </c>
      <c r="K218">
        <f>ROUNDDOWN(MAX(Sheet2!G53*38.44% + C27*30% - C41*4.1831%,0)*125.8 + MAX(Sheet2!G53*30.44% + C27*30% - C41*84.4735%,0)*153.8 + MAX(Sheet2!G53*31.12% + C27*40% - C41*11.3434%,0)*172.4,0)</f>
        <v>25273</v>
      </c>
      <c r="L218" s="160">
        <f>INT(MAX(Sheet2!G53+C27-C41,0)*9)</f>
        <v>0</v>
      </c>
      <c r="M218" s="160">
        <f>INT(MAX(Sheet2!G53+C27-C41,0)*5)</f>
        <v>0</v>
      </c>
      <c r="N218" s="1">
        <f t="shared" si="260"/>
        <v>55443</v>
      </c>
      <c r="O218" s="1">
        <f t="shared" si="261"/>
        <v>5544</v>
      </c>
      <c r="P218" s="1">
        <f t="shared" si="262"/>
        <v>1490</v>
      </c>
      <c r="Q218" s="1">
        <f t="shared" si="263"/>
        <v>62470</v>
      </c>
      <c r="R218" s="145">
        <f>Q218*(Sheet2!G53/(Sheet2!G53+C27))</f>
        <v>14170.233070568504</v>
      </c>
      <c r="U218" s="146"/>
    </row>
    <row r="219" spans="8:21">
      <c r="H219" s="143"/>
      <c r="I219">
        <v>6</v>
      </c>
      <c r="J219" s="1">
        <f t="shared" si="259"/>
        <v>30170</v>
      </c>
      <c r="K219">
        <f>ROUNDDOWN(MAX(Sheet2!H53*31.92% + C28*30% - C42*4.7395%,0)*138.7 + MAX(Sheet2!H53*38.86% + C28*30% - C42*81.6742%,0)*184.7 + MAX(Sheet2!H53*29.22% + C28*40% - C42*13.5862%,0)*220.5,0)</f>
        <v>24425</v>
      </c>
      <c r="L219" s="160">
        <f>INT(MAX(Sheet2!H53+C28-C42,0)*9)</f>
        <v>0</v>
      </c>
      <c r="M219" s="160">
        <f>INT(MAX(Sheet2!H53+C28-C42,0)*5)</f>
        <v>0</v>
      </c>
      <c r="N219" s="1">
        <f t="shared" si="260"/>
        <v>54595</v>
      </c>
      <c r="O219" s="1">
        <f t="shared" si="261"/>
        <v>5460</v>
      </c>
      <c r="P219" s="1">
        <f t="shared" si="262"/>
        <v>1470</v>
      </c>
      <c r="Q219" s="1">
        <f t="shared" si="263"/>
        <v>61520</v>
      </c>
      <c r="R219" s="145">
        <f>Q219*(Sheet2!H53/(Sheet2!H53+C28))</f>
        <v>8864.2644324694666</v>
      </c>
      <c r="U219" s="146"/>
    </row>
    <row r="220" spans="8:21">
      <c r="H220" s="143"/>
      <c r="I220">
        <v>7</v>
      </c>
      <c r="J220" s="1">
        <f t="shared" si="259"/>
        <v>30170</v>
      </c>
      <c r="K220">
        <f>ROUNDDOWN(MAX(Sheet2!I53*26.8% + C29*30% - C43*3.6986%,0)*138.7 + MAX(Sheet2!I53*43.76% + C29*30% - C43*81.8888%,0)*184.7 + MAX(Sheet2!I53*29.44% + C29*40% - C43*14.4126%,0)*220.5,0)</f>
        <v>29953</v>
      </c>
      <c r="L220" s="160">
        <f>INT(MAX(Sheet2!I53+C29-C43,0)*9)</f>
        <v>0</v>
      </c>
      <c r="M220" s="160">
        <f>INT(MAX(Sheet2!I53+C29-C43,0)*5)</f>
        <v>0</v>
      </c>
      <c r="N220" s="1">
        <f t="shared" si="260"/>
        <v>60123</v>
      </c>
      <c r="O220" s="1">
        <f t="shared" si="261"/>
        <v>6012</v>
      </c>
      <c r="P220" s="1">
        <f t="shared" si="262"/>
        <v>1620</v>
      </c>
      <c r="Q220" s="1">
        <f t="shared" si="263"/>
        <v>67750</v>
      </c>
      <c r="R220" s="145">
        <f>Q220*(Sheet2!I53/(Sheet2!I53+C29))</f>
        <v>4709.3331625337341</v>
      </c>
      <c r="U220" s="146"/>
    </row>
    <row r="221" spans="8:21">
      <c r="H221" s="143"/>
      <c r="I221">
        <v>8</v>
      </c>
      <c r="J221" s="1">
        <f t="shared" si="259"/>
        <v>30170</v>
      </c>
      <c r="K221">
        <f>ROUNDDOWN(MAX(Sheet2!J53*26.88% + C30*30% - C44*3.2913%,0)*138.7 + MAX(Sheet2!J53*45.15% + C30*30% - C44*85.89%,0)*184.7 + MAX(Sheet2!J53*27.97% + C30*40% - C44*10.8187%,0)*220.5,0)</f>
        <v>41358</v>
      </c>
      <c r="L221" s="160">
        <f>INT(MAX(Sheet2!J53+C30-C44,0)*9)</f>
        <v>1269</v>
      </c>
      <c r="M221" s="160">
        <f>INT(MAX(Sheet2!J53+C30-C44,0)*5)</f>
        <v>705</v>
      </c>
      <c r="N221" s="1">
        <f t="shared" si="260"/>
        <v>73502</v>
      </c>
      <c r="O221" s="1">
        <f t="shared" si="261"/>
        <v>7350</v>
      </c>
      <c r="P221" s="1">
        <f t="shared" si="262"/>
        <v>1980</v>
      </c>
      <c r="Q221" s="1">
        <f t="shared" si="263"/>
        <v>82830</v>
      </c>
      <c r="R221" s="145">
        <f>Q221*(Sheet2!J53/(Sheet2!J53+C30))</f>
        <v>4631.4643860447013</v>
      </c>
      <c r="U221" s="146"/>
    </row>
    <row r="222" spans="8:21">
      <c r="H222" s="143"/>
      <c r="I222">
        <v>9</v>
      </c>
      <c r="J222" s="1">
        <f t="shared" si="259"/>
        <v>30170</v>
      </c>
      <c r="K222">
        <f>ROUNDDOWN(MAX(Sheet2!K53*30.32% + C31*30% - C45*2.4481%,0)*125.8 + MAX(Sheet2!K53*40.48% + C31*30% - C45*89.5608%,0)*153.8 + MAX(Sheet2!K53*29.2% + C31*40% - C45*7.9911%,0)*172.4,0)</f>
        <v>29795</v>
      </c>
      <c r="L222" s="160">
        <f>INT(MAX(Sheet2!K53+C31-C45,0)*9)</f>
        <v>1069</v>
      </c>
      <c r="M222" s="160">
        <f>INT(MAX(Sheet2!K53+C31-C45,0)*5)</f>
        <v>594</v>
      </c>
      <c r="N222" s="1">
        <f t="shared" si="260"/>
        <v>61628</v>
      </c>
      <c r="O222" s="1">
        <f t="shared" si="261"/>
        <v>6163</v>
      </c>
      <c r="P222" s="1">
        <f t="shared" si="262"/>
        <v>1660</v>
      </c>
      <c r="Q222" s="1">
        <f t="shared" si="263"/>
        <v>69450</v>
      </c>
      <c r="R222" s="145">
        <f>Q222*(Sheet2!K53/(Sheet2!K53+C31))</f>
        <v>7205.0792945918201</v>
      </c>
      <c r="U222" s="146"/>
    </row>
    <row r="223" spans="8:21">
      <c r="H223" s="143"/>
      <c r="I223">
        <v>10</v>
      </c>
      <c r="J223" s="1">
        <f t="shared" si="259"/>
        <v>30170</v>
      </c>
      <c r="K223">
        <f>ROUNDDOWN(MAX(Sheet2!L53*42.34% + C32*30% - C46*1.3153%,0)*125.8 + MAX(Sheet2!L53*28.1% + C32*30% - C46*93.9251%,0)*153.8 + MAX(Sheet2!L53*29.56% + C32*40% - C46*4.7596%,0)*172.4,0)</f>
        <v>28768</v>
      </c>
      <c r="L223" s="160">
        <f>INT(MAX(Sheet2!L53+C32-C46,0)*9)</f>
        <v>417</v>
      </c>
      <c r="M223" s="160">
        <f>INT(MAX(Sheet2!L53+C32-C46,0)*5)</f>
        <v>232</v>
      </c>
      <c r="N223" s="1">
        <f t="shared" si="260"/>
        <v>59587</v>
      </c>
      <c r="O223" s="1">
        <f t="shared" si="261"/>
        <v>5959</v>
      </c>
      <c r="P223" s="1">
        <f t="shared" si="262"/>
        <v>1600</v>
      </c>
      <c r="Q223" s="1">
        <f t="shared" si="263"/>
        <v>67140</v>
      </c>
      <c r="R223" s="145">
        <f>Q223*(Sheet2!L53/(Sheet2!L53+C32))</f>
        <v>11040.484866263178</v>
      </c>
      <c r="U223" s="146"/>
    </row>
    <row r="224" spans="8:21">
      <c r="H224" s="143"/>
      <c r="I224">
        <v>11</v>
      </c>
      <c r="J224" s="1">
        <f t="shared" si="259"/>
        <v>30170</v>
      </c>
      <c r="K224">
        <f>ROUNDDOWN(MAX(Sheet2!M53*44.43% + C33*30% - C47*0.3291%,0)*138.7 + MAX(Sheet2!M53*27.22% + C33*30% - C47*97.1714%,0)*184.7 + MAX(Sheet2!M53*28.35% + C33*40% - C47*2.4994%,0)*220.5,0)</f>
        <v>45290</v>
      </c>
      <c r="L224" s="160">
        <f>INT(MAX(Sheet2!M53+C33-C47,0)*9)</f>
        <v>1129</v>
      </c>
      <c r="M224" s="160">
        <f>INT(MAX(Sheet2!M53+C33-C47,0)*5)</f>
        <v>627</v>
      </c>
      <c r="N224" s="1">
        <f t="shared" si="260"/>
        <v>77216</v>
      </c>
      <c r="O224" s="1">
        <f t="shared" si="261"/>
        <v>7722</v>
      </c>
      <c r="P224" s="1">
        <f t="shared" si="262"/>
        <v>2080</v>
      </c>
      <c r="Q224" s="1">
        <f t="shared" si="263"/>
        <v>87010</v>
      </c>
      <c r="R224" s="145">
        <f>Q224*(Sheet2!M53/(Sheet2!M53+C33))</f>
        <v>25972.957576476339</v>
      </c>
      <c r="U224" s="146"/>
    </row>
    <row r="225" spans="8:21">
      <c r="H225" s="143"/>
      <c r="I225">
        <v>12</v>
      </c>
      <c r="J225" s="1">
        <f>$C$170*($D$109+3)</f>
        <v>30170</v>
      </c>
      <c r="K225">
        <f>ROUNDDOWN(MAX(Sheet2!N53*43.82% + C34*30% - C48*0.0353%,0)*138.7 + MAX(Sheet2!N53*28.18% + C34*30% - C48*97.784%,0)*184.7 + MAX(Sheet2!N53*28% + C34*40% - C48*2.1807%,0)*220.5,0)</f>
        <v>57578</v>
      </c>
      <c r="L225" s="160">
        <f>INT(MAX(Sheet2!N53+C34-C48,0)*9)</f>
        <v>2322</v>
      </c>
      <c r="M225" s="160">
        <f>INT(MAX(Sheet2!N53+C34-C48,0)*5)</f>
        <v>1290</v>
      </c>
      <c r="N225" s="1">
        <f t="shared" si="260"/>
        <v>91360</v>
      </c>
      <c r="O225" s="1">
        <f t="shared" si="261"/>
        <v>9136</v>
      </c>
      <c r="P225" s="1">
        <f t="shared" si="262"/>
        <v>2460</v>
      </c>
      <c r="Q225" s="1">
        <f t="shared" si="263"/>
        <v>102950</v>
      </c>
      <c r="R225" s="145">
        <f>Q225*(Sheet2!N53/(Sheet2!N53+C34))</f>
        <v>41857.206265820503</v>
      </c>
      <c r="U225" s="146"/>
    </row>
    <row r="226" spans="8:21">
      <c r="H226" s="143"/>
      <c r="I226" s="6" t="s">
        <v>409</v>
      </c>
      <c r="J226" s="1" t="s">
        <v>386</v>
      </c>
      <c r="K226" s="1" t="s">
        <v>387</v>
      </c>
      <c r="L226" s="1" t="s">
        <v>388</v>
      </c>
      <c r="M226" s="1" t="s">
        <v>389</v>
      </c>
      <c r="N226" s="1" t="s">
        <v>390</v>
      </c>
      <c r="O226" s="1" t="s">
        <v>391</v>
      </c>
      <c r="P226" s="1" t="s">
        <v>392</v>
      </c>
      <c r="Q226" s="1" t="s">
        <v>393</v>
      </c>
      <c r="R226" s="1" t="s">
        <v>432</v>
      </c>
      <c r="S226" s="145">
        <f>SUM(R227:R238)</f>
        <v>299785.58991414233</v>
      </c>
      <c r="T226" s="145">
        <f>Sheet2!$O$18</f>
        <v>650516.39601400623</v>
      </c>
      <c r="U226" s="148">
        <f>(T226-S226)/T226</f>
        <v>0.53915751893256247</v>
      </c>
    </row>
    <row r="227" spans="8:21">
      <c r="H227" s="143"/>
      <c r="I227">
        <v>1</v>
      </c>
      <c r="J227" s="1">
        <f t="shared" ref="J227:J237" si="264">$C$170*($D$109+3)</f>
        <v>30170</v>
      </c>
      <c r="K227">
        <f>ROUNDDOWN(MAX(Sheet2!C54*43.37% + C23*30% - C37*0.0062%,0)*138.7 + MAX(Sheet2!C54*28.76% + C23*30% - C37*95.4981%,0)*184.7 + MAX(Sheet2!C54*27.87% + C23*40% - C37*4.4957%,0)*220.5,0)</f>
        <v>78680</v>
      </c>
      <c r="L227" s="160">
        <f>INT(MAX(Sheet2!C54+C23-C37,0)*9)</f>
        <v>3751</v>
      </c>
      <c r="M227" s="160">
        <f>INT(MAX(Sheet2!C54+C23-C37,0)*5)</f>
        <v>2084</v>
      </c>
      <c r="N227" s="1">
        <f t="shared" ref="N227:N238" si="265">SUM(J227:M227)</f>
        <v>114685</v>
      </c>
      <c r="O227" s="1">
        <f t="shared" ref="O227:O238" si="266">ROUND(N227*0.1, 0)</f>
        <v>11469</v>
      </c>
      <c r="P227" s="1">
        <f t="shared" ref="P227:P238" si="267">FLOOR(N227*0.027, 10)</f>
        <v>3090</v>
      </c>
      <c r="Q227" s="1">
        <f t="shared" ref="Q227:Q238" si="268">FLOOR(N227+O227+P227, 10)</f>
        <v>129240</v>
      </c>
      <c r="R227" s="160">
        <f>Q227*(Sheet2!C54/(Sheet2!C54+C23))</f>
        <v>68027.316944264865</v>
      </c>
      <c r="U227" s="146"/>
    </row>
    <row r="228" spans="8:21">
      <c r="H228" s="143"/>
      <c r="I228">
        <v>2</v>
      </c>
      <c r="J228" s="1">
        <f t="shared" si="264"/>
        <v>30170</v>
      </c>
      <c r="K228">
        <f>ROUNDDOWN(MAX(Sheet2!D54*44.03% + C24*30% - C38*0.1791%,0)*138.7 + MAX(Sheet2!D54*28.8% + C24*30% - C38*92.1596%,0)*184.7 + MAX(Sheet2!D54*27.16% + C24*40% - C38*7.6613%,0)*220.5,0)</f>
        <v>71127</v>
      </c>
      <c r="L228" s="160">
        <f>INT(MAX(Sheet2!D54+C24-C38,0)*9)</f>
        <v>2929</v>
      </c>
      <c r="M228" s="160">
        <f>INT(MAX(Sheet2!D54+C24-C38,0)*5)</f>
        <v>1627</v>
      </c>
      <c r="N228" s="1">
        <f t="shared" si="265"/>
        <v>105853</v>
      </c>
      <c r="O228" s="1">
        <f t="shared" si="266"/>
        <v>10585</v>
      </c>
      <c r="P228" s="1">
        <f t="shared" si="267"/>
        <v>2850</v>
      </c>
      <c r="Q228" s="1">
        <f t="shared" si="268"/>
        <v>119280</v>
      </c>
      <c r="R228" s="160">
        <f>Q228*(Sheet2!D54/(Sheet2!D54+C24))</f>
        <v>60067.79365390056</v>
      </c>
      <c r="U228" s="146"/>
    </row>
    <row r="229" spans="8:21">
      <c r="H229" s="143"/>
      <c r="I229">
        <v>3</v>
      </c>
      <c r="J229" s="1">
        <f t="shared" si="264"/>
        <v>30170</v>
      </c>
      <c r="K229">
        <f>ROUNDDOWN(MAX(Sheet2!E54*44.16% + C25*30% - C39*1.149%,0)*125.8 + MAX(Sheet2!E54*28.26% + C25*30% - C39*89.637%,0)*153.8 + MAX(Sheet2!E54*27.58% + C25*40% - C39*9.2139%,0)*172.4,0)</f>
        <v>47319</v>
      </c>
      <c r="L229" s="160">
        <f>INT(MAX(Sheet2!E54+C25-C39,0)*9)</f>
        <v>1785</v>
      </c>
      <c r="M229" s="160">
        <f>INT(MAX(Sheet2!E54+C25-C39,0)*5)</f>
        <v>991</v>
      </c>
      <c r="N229" s="1">
        <f t="shared" si="265"/>
        <v>80265</v>
      </c>
      <c r="O229" s="1">
        <f t="shared" si="266"/>
        <v>8027</v>
      </c>
      <c r="P229" s="1">
        <f t="shared" si="267"/>
        <v>2160</v>
      </c>
      <c r="Q229" s="1">
        <f t="shared" si="268"/>
        <v>90450</v>
      </c>
      <c r="R229" s="160">
        <f>Q229*(Sheet2!E54/(Sheet2!E54+C25))</f>
        <v>40192.131968783469</v>
      </c>
      <c r="U229" s="146"/>
    </row>
    <row r="230" spans="8:21">
      <c r="H230" s="143"/>
      <c r="I230">
        <v>4</v>
      </c>
      <c r="J230" s="1">
        <f t="shared" si="264"/>
        <v>30170</v>
      </c>
      <c r="K230">
        <f>ROUNDDOWN(MAX(Sheet2!F54*42.51% + C26*30% - C40*2.6448%,0)*125.8 + MAX(Sheet2!F54*27.79% + C26*30% - C40*86.8176%,0)*153.8 + MAX(Sheet2!F54*29.7% + C26*40% - C40*10.5375%,0)*172.4,0)</f>
        <v>32909</v>
      </c>
      <c r="L230" s="160">
        <f>INT(MAX(Sheet2!F54+C26-C40,0)*9)</f>
        <v>276</v>
      </c>
      <c r="M230" s="160">
        <f>INT(MAX(Sheet2!F54+C26-C40,0)*5)</f>
        <v>153</v>
      </c>
      <c r="N230" s="1">
        <f t="shared" si="265"/>
        <v>63508</v>
      </c>
      <c r="O230" s="1">
        <f t="shared" si="266"/>
        <v>6351</v>
      </c>
      <c r="P230" s="1">
        <f t="shared" si="267"/>
        <v>1710</v>
      </c>
      <c r="Q230" s="1">
        <f t="shared" si="268"/>
        <v>71560</v>
      </c>
      <c r="R230" s="160">
        <f>Q230*(Sheet2!F54/(Sheet2!F54+C26))</f>
        <v>23610.856913833526</v>
      </c>
      <c r="U230" s="146"/>
    </row>
    <row r="231" spans="8:21">
      <c r="H231" s="143"/>
      <c r="I231">
        <v>5</v>
      </c>
      <c r="J231" s="1">
        <f t="shared" si="264"/>
        <v>30170</v>
      </c>
      <c r="K231">
        <f>ROUNDDOWN(MAX(Sheet2!G54*38.44% + C27*30% - C41*4.1831%,0)*125.8 + MAX(Sheet2!G54*30.44% + C27*30% - C41*84.4735%,0)*153.8 + MAX(Sheet2!G54*31.12% + C27*40% - C41*11.3434%,0)*172.4,0)</f>
        <v>24560</v>
      </c>
      <c r="L231" s="160">
        <f>INT(MAX(Sheet2!G54+C27-C41,0)*9)</f>
        <v>0</v>
      </c>
      <c r="M231" s="160">
        <f>INT(MAX(Sheet2!G54+C27-C41,0)*5)</f>
        <v>0</v>
      </c>
      <c r="N231" s="1">
        <f t="shared" si="265"/>
        <v>54730</v>
      </c>
      <c r="O231" s="1">
        <f t="shared" si="266"/>
        <v>5473</v>
      </c>
      <c r="P231" s="1">
        <f t="shared" si="267"/>
        <v>1470</v>
      </c>
      <c r="Q231" s="1">
        <f t="shared" si="268"/>
        <v>61670</v>
      </c>
      <c r="R231" s="160">
        <f>Q231*(Sheet2!G54/(Sheet2!G54+C27))</f>
        <v>12906.702262375558</v>
      </c>
      <c r="U231" s="146"/>
    </row>
    <row r="232" spans="8:21">
      <c r="H232" s="143"/>
      <c r="I232">
        <v>6</v>
      </c>
      <c r="J232" s="1">
        <f t="shared" si="264"/>
        <v>30170</v>
      </c>
      <c r="K232">
        <f>ROUNDDOWN(MAX(Sheet2!H54*31.92% + C28*30% - C42*4.7395%,0)*138.7 + MAX(Sheet2!H54*38.86% + C28*30% - C42*81.6742%,0)*184.7 + MAX(Sheet2!H54*29.22% + C28*40% - C42*13.5862%,0)*220.5,0)</f>
        <v>23986</v>
      </c>
      <c r="L232" s="160">
        <f>INT(MAX(Sheet2!H54+C28-C42,0)*9)</f>
        <v>0</v>
      </c>
      <c r="M232" s="160">
        <f>INT(MAX(Sheet2!H54+C28-C42,0)*5)</f>
        <v>0</v>
      </c>
      <c r="N232" s="1">
        <f t="shared" si="265"/>
        <v>54156</v>
      </c>
      <c r="O232" s="1">
        <f t="shared" si="266"/>
        <v>5416</v>
      </c>
      <c r="P232" s="1">
        <f t="shared" si="267"/>
        <v>1460</v>
      </c>
      <c r="Q232" s="1">
        <f t="shared" si="268"/>
        <v>61030</v>
      </c>
      <c r="R232" s="160">
        <f>Q232*(Sheet2!H54/(Sheet2!H54+C28))</f>
        <v>8046.8363786926275</v>
      </c>
      <c r="U232" s="146"/>
    </row>
    <row r="233" spans="8:21">
      <c r="H233" s="143"/>
      <c r="I233">
        <v>7</v>
      </c>
      <c r="J233" s="1">
        <f t="shared" si="264"/>
        <v>30170</v>
      </c>
      <c r="K233">
        <f>ROUNDDOWN(MAX(Sheet2!I54*26.8% + C29*30% - C43*3.6986%,0)*138.7 + MAX(Sheet2!I54*43.76% + C29*30% - C43*81.8888%,0)*184.7 + MAX(Sheet2!I54*29.44% + C29*40% - C43*14.4126%,0)*220.5,0)</f>
        <v>29719</v>
      </c>
      <c r="L233" s="160">
        <f>INT(MAX(Sheet2!I54+C29-C43,0)*9)</f>
        <v>0</v>
      </c>
      <c r="M233" s="160">
        <f>INT(MAX(Sheet2!I54+C29-C43,0)*5)</f>
        <v>0</v>
      </c>
      <c r="N233" s="1">
        <f t="shared" si="265"/>
        <v>59889</v>
      </c>
      <c r="O233" s="1">
        <f t="shared" si="266"/>
        <v>5989</v>
      </c>
      <c r="P233" s="1">
        <f t="shared" si="267"/>
        <v>1610</v>
      </c>
      <c r="Q233" s="1">
        <f t="shared" si="268"/>
        <v>67480</v>
      </c>
      <c r="R233" s="160">
        <f>Q233*(Sheet2!I54/(Sheet2!I54+C29))</f>
        <v>4260.6780235595224</v>
      </c>
      <c r="U233" s="146"/>
    </row>
    <row r="234" spans="8:21">
      <c r="H234" s="143"/>
      <c r="I234">
        <v>8</v>
      </c>
      <c r="J234" s="1">
        <f t="shared" si="264"/>
        <v>30170</v>
      </c>
      <c r="K234">
        <f>ROUNDDOWN(MAX(Sheet2!J54*26.88% + C30*30% - C44*3.2913%,0)*138.7 + MAX(Sheet2!J54*45.15% + C30*30% - C44*85.89%,0)*184.7 + MAX(Sheet2!J54*27.97% + C30*40% - C44*10.8187%,0)*220.5,0)</f>
        <v>41155</v>
      </c>
      <c r="L234" s="160">
        <f>INT(MAX(Sheet2!J54+C30-C44,0)*9)</f>
        <v>1250</v>
      </c>
      <c r="M234" s="160">
        <f>INT(MAX(Sheet2!J54+C30-C44,0)*5)</f>
        <v>694</v>
      </c>
      <c r="N234" s="1">
        <f t="shared" si="265"/>
        <v>73269</v>
      </c>
      <c r="O234" s="1">
        <f t="shared" si="266"/>
        <v>7327</v>
      </c>
      <c r="P234" s="1">
        <f t="shared" si="267"/>
        <v>1970</v>
      </c>
      <c r="Q234" s="1">
        <f t="shared" si="268"/>
        <v>82560</v>
      </c>
      <c r="R234" s="160">
        <f>Q234*(Sheet2!J54/(Sheet2!J54+C30))</f>
        <v>4187.6725749974075</v>
      </c>
      <c r="U234" s="146"/>
    </row>
    <row r="235" spans="8:21">
      <c r="H235" s="143"/>
      <c r="I235">
        <v>9</v>
      </c>
      <c r="J235" s="1">
        <f t="shared" si="264"/>
        <v>30170</v>
      </c>
      <c r="K235">
        <f>ROUNDDOWN(MAX(Sheet2!K54*30.32% + C31*30% - C45*2.4481%,0)*125.8 + MAX(Sheet2!K54*40.48% + C31*30% - C45*89.5608%,0)*153.8 + MAX(Sheet2!K54*29.2% + C31*40% - C45*7.9911%,0)*172.4,0)</f>
        <v>29511</v>
      </c>
      <c r="L235" s="160">
        <f>INT(MAX(Sheet2!K54+C31-C45,0)*9)</f>
        <v>1040</v>
      </c>
      <c r="M235" s="160">
        <f>INT(MAX(Sheet2!K54+C31-C45,0)*5)</f>
        <v>578</v>
      </c>
      <c r="N235" s="1">
        <f t="shared" si="265"/>
        <v>61299</v>
      </c>
      <c r="O235" s="1">
        <f t="shared" si="266"/>
        <v>6130</v>
      </c>
      <c r="P235" s="1">
        <f t="shared" si="267"/>
        <v>1650</v>
      </c>
      <c r="Q235" s="1">
        <f t="shared" si="268"/>
        <v>69070</v>
      </c>
      <c r="R235" s="160">
        <f>Q235*(Sheet2!K54/(Sheet2!K54+C31))</f>
        <v>6530.9504449957958</v>
      </c>
      <c r="U235" s="146"/>
    </row>
    <row r="236" spans="8:21">
      <c r="H236" s="143"/>
      <c r="I236">
        <v>10</v>
      </c>
      <c r="J236" s="1">
        <f t="shared" si="264"/>
        <v>30170</v>
      </c>
      <c r="K236">
        <f>ROUNDDOWN(MAX(Sheet2!L54*42.34% + C32*30% - C46*1.3153%,0)*125.8 + MAX(Sheet2!L54*28.1% + C32*30% - C46*93.9251%,0)*153.8 + MAX(Sheet2!L54*29.56% + C32*40% - C46*4.7596%,0)*172.4,0)</f>
        <v>28276</v>
      </c>
      <c r="L236" s="160">
        <f>INT(MAX(Sheet2!L54+C32-C46,0)*9)</f>
        <v>375</v>
      </c>
      <c r="M236" s="160">
        <f>INT(MAX(Sheet2!L54+C32-C46,0)*5)</f>
        <v>208</v>
      </c>
      <c r="N236" s="1">
        <f t="shared" si="265"/>
        <v>59029</v>
      </c>
      <c r="O236" s="1">
        <f t="shared" si="266"/>
        <v>5903</v>
      </c>
      <c r="P236" s="1">
        <f t="shared" si="267"/>
        <v>1590</v>
      </c>
      <c r="Q236" s="1">
        <f t="shared" si="268"/>
        <v>66520</v>
      </c>
      <c r="R236" s="160">
        <f>Q236*(Sheet2!L54/(Sheet2!L54+C32))</f>
        <v>10029.802813028127</v>
      </c>
      <c r="U236" s="146"/>
    </row>
    <row r="237" spans="8:21">
      <c r="H237" s="143"/>
      <c r="I237">
        <v>11</v>
      </c>
      <c r="J237" s="1">
        <f t="shared" si="264"/>
        <v>30170</v>
      </c>
      <c r="K237">
        <f>ROUNDDOWN(MAX(Sheet2!M54*44.43% + C33*30% - C47*0.3291%,0)*138.7 + MAX(Sheet2!M54*27.22% + C33*30% - C47*97.1714%,0)*184.7 + MAX(Sheet2!M54*28.35% + C33*40% - C47*2.4994%,0)*220.5,0)</f>
        <v>43968</v>
      </c>
      <c r="L237" s="160">
        <f>INT(MAX(Sheet2!M54+C33-C47,0)*9)</f>
        <v>1033</v>
      </c>
      <c r="M237" s="160">
        <f>INT(MAX(Sheet2!M54+C33-C47,0)*5)</f>
        <v>574</v>
      </c>
      <c r="N237" s="1">
        <f t="shared" si="265"/>
        <v>75745</v>
      </c>
      <c r="O237" s="1">
        <f t="shared" si="266"/>
        <v>7575</v>
      </c>
      <c r="P237" s="1">
        <f t="shared" si="267"/>
        <v>2040</v>
      </c>
      <c r="Q237" s="1">
        <f t="shared" si="268"/>
        <v>85360</v>
      </c>
      <c r="R237" s="160">
        <f>Q237*(Sheet2!M54/(Sheet2!M54+C33))</f>
        <v>23679.245774848925</v>
      </c>
      <c r="U237" s="146"/>
    </row>
    <row r="238" spans="8:21">
      <c r="H238" s="143"/>
      <c r="I238">
        <v>12</v>
      </c>
      <c r="J238" s="1">
        <f>$C$170*($D$109+3)</f>
        <v>30170</v>
      </c>
      <c r="K238">
        <f>ROUNDDOWN(MAX(Sheet2!N54*43.82% + C34*30% - C48*0.0353%,0)*138.7 + MAX(Sheet2!N54*28.18% + C34*30% - C48*97.784%,0)*184.7 + MAX(Sheet2!N54*28% + C34*40% - C48*2.1807%,0)*220.5,0)</f>
        <v>55328</v>
      </c>
      <c r="L238" s="160">
        <f>INT(MAX(Sheet2!N54+C34-C48,0)*9)</f>
        <v>2156</v>
      </c>
      <c r="M238" s="160">
        <f>INT(MAX(Sheet2!N54+C34-C48,0)*5)</f>
        <v>1198</v>
      </c>
      <c r="N238" s="1">
        <f t="shared" si="265"/>
        <v>88852</v>
      </c>
      <c r="O238" s="1">
        <f t="shared" si="266"/>
        <v>8885</v>
      </c>
      <c r="P238" s="1">
        <f t="shared" si="267"/>
        <v>2390</v>
      </c>
      <c r="Q238" s="1">
        <f t="shared" si="268"/>
        <v>100120</v>
      </c>
      <c r="R238" s="160">
        <f>Q238*(Sheet2!N54/(Sheet2!N54+C34))</f>
        <v>38245.602160861868</v>
      </c>
      <c r="U238" s="146"/>
    </row>
    <row r="239" spans="8:21">
      <c r="H239" s="143"/>
      <c r="I239" s="149" t="s">
        <v>412</v>
      </c>
      <c r="J239" s="1" t="s">
        <v>386</v>
      </c>
      <c r="K239" s="1" t="s">
        <v>387</v>
      </c>
      <c r="L239" s="1" t="s">
        <v>388</v>
      </c>
      <c r="M239" s="1" t="s">
        <v>389</v>
      </c>
      <c r="N239" s="1" t="s">
        <v>390</v>
      </c>
      <c r="O239" s="1" t="s">
        <v>391</v>
      </c>
      <c r="P239" s="1" t="s">
        <v>392</v>
      </c>
      <c r="Q239" s="1" t="s">
        <v>393</v>
      </c>
      <c r="R239" s="1" t="s">
        <v>432</v>
      </c>
      <c r="S239" s="145">
        <f>SUM(R240:R251)</f>
        <v>249272.23453417185</v>
      </c>
      <c r="T239" s="145">
        <f>Sheet2!$O$18</f>
        <v>650516.39601400623</v>
      </c>
      <c r="U239" s="148">
        <f>(T239-S239)/T239</f>
        <v>0.61680868297621694</v>
      </c>
    </row>
    <row r="240" spans="8:21">
      <c r="H240" s="143"/>
      <c r="I240">
        <v>1</v>
      </c>
      <c r="J240" s="1">
        <f t="shared" ref="J240:J250" si="269">$C$170*($D$109+3)</f>
        <v>30170</v>
      </c>
      <c r="K240">
        <f>ROUNDDOWN(MAX(Sheet2!C55*43.37% + C23*30% - C37*0.0062%,0)*138.7 + MAX(Sheet2!C55*28.76% + C23*30% - C37*95.4981%,0)*184.7 + MAX(Sheet2!C55*27.87% + C23*40% - C37*4.4957%,0)*220.5,0)</f>
        <v>70992</v>
      </c>
      <c r="L240" s="160">
        <f>INT(MAX(Sheet2!C55+C23-C37,0)*9)</f>
        <v>3182</v>
      </c>
      <c r="M240" s="160">
        <f>INT(MAX(Sheet2!C55+C23-C37,0)*5)</f>
        <v>1768</v>
      </c>
      <c r="N240" s="1">
        <f t="shared" ref="N240:N251" si="270">SUM(J240:M240)</f>
        <v>106112</v>
      </c>
      <c r="O240" s="1">
        <f t="shared" ref="O240:O251" si="271">ROUND(N240*0.1, 0)</f>
        <v>10611</v>
      </c>
      <c r="P240" s="1">
        <f t="shared" ref="P240:P251" si="272">FLOOR(N240*0.027, 10)</f>
        <v>2860</v>
      </c>
      <c r="Q240" s="1">
        <f t="shared" ref="Q240:Q251" si="273">FLOOR(N240+O240+P240, 10)</f>
        <v>119580</v>
      </c>
      <c r="R240" s="160">
        <f>Q240*(Sheet2!C55/(Sheet2!C55+C23))</f>
        <v>56788.666311184039</v>
      </c>
      <c r="U240" s="146"/>
    </row>
    <row r="241" spans="8:21">
      <c r="H241" s="143"/>
      <c r="I241">
        <v>2</v>
      </c>
      <c r="J241" s="1">
        <f t="shared" si="269"/>
        <v>30170</v>
      </c>
      <c r="K241">
        <f>ROUNDDOWN(MAX(Sheet2!D55*44.03% + C24*30% - C38*0.1791%,0)*138.7 + MAX(Sheet2!D55*28.8% + C24*30% - C38*92.1596%,0)*184.7 + MAX(Sheet2!D55*27.16% + C24*40% - C38*7.6613%,0)*220.5,0)</f>
        <v>64256</v>
      </c>
      <c r="L241" s="160">
        <f>INT(MAX(Sheet2!D55+C24-C38,0)*9)</f>
        <v>2418</v>
      </c>
      <c r="M241" s="160">
        <f>INT(MAX(Sheet2!D55+C24-C38,0)*5)</f>
        <v>1343</v>
      </c>
      <c r="N241" s="1">
        <f t="shared" si="270"/>
        <v>98187</v>
      </c>
      <c r="O241" s="1">
        <f t="shared" si="271"/>
        <v>9819</v>
      </c>
      <c r="P241" s="1">
        <f t="shared" si="272"/>
        <v>2650</v>
      </c>
      <c r="Q241" s="1">
        <f t="shared" si="273"/>
        <v>110650</v>
      </c>
      <c r="R241" s="160">
        <f>Q241*(Sheet2!D55/(Sheet2!D55+C24))</f>
        <v>50038.57706374539</v>
      </c>
      <c r="U241" s="146"/>
    </row>
    <row r="242" spans="8:21">
      <c r="H242" s="143"/>
      <c r="I242">
        <v>3</v>
      </c>
      <c r="J242" s="1">
        <f t="shared" si="269"/>
        <v>30170</v>
      </c>
      <c r="K242">
        <f>ROUNDDOWN(MAX(Sheet2!E55*44.16% + C25*30% - C39*1.149%,0)*125.8 + MAX(Sheet2!E55*28.26% + C25*30% - C39*89.637%,0)*153.8 + MAX(Sheet2!E55*27.58% + C25*40% - C39*9.2139%,0)*172.4,0)</f>
        <v>43054</v>
      </c>
      <c r="L242" s="160">
        <f>INT(MAX(Sheet2!E55+C25-C39,0)*9)</f>
        <v>1412</v>
      </c>
      <c r="M242" s="160">
        <f>INT(MAX(Sheet2!E55+C25-C39,0)*5)</f>
        <v>784</v>
      </c>
      <c r="N242" s="1">
        <f t="shared" si="270"/>
        <v>75420</v>
      </c>
      <c r="O242" s="1">
        <f t="shared" si="271"/>
        <v>7542</v>
      </c>
      <c r="P242" s="1">
        <f t="shared" si="272"/>
        <v>2030</v>
      </c>
      <c r="Q242" s="1">
        <f t="shared" si="273"/>
        <v>84990</v>
      </c>
      <c r="R242" s="160">
        <f>Q242*(Sheet2!E55/(Sheet2!E55+C25))</f>
        <v>33506.313815377616</v>
      </c>
      <c r="U242" s="146"/>
    </row>
    <row r="243" spans="8:21">
      <c r="H243" s="143"/>
      <c r="I243">
        <v>4</v>
      </c>
      <c r="J243" s="1">
        <f t="shared" si="269"/>
        <v>30170</v>
      </c>
      <c r="K243">
        <f>ROUNDDOWN(MAX(Sheet2!F55*42.51% + C26*30% - C40*2.6448%,0)*125.8 + MAX(Sheet2!F55*27.79% + C26*30% - C40*86.8176%,0)*153.8 + MAX(Sheet2!F55*29.7% + C26*40% - C40*10.5375%,0)*172.4,0)</f>
        <v>30456</v>
      </c>
      <c r="L243" s="160">
        <f>INT(MAX(Sheet2!F55+C26-C40,0)*9)</f>
        <v>65</v>
      </c>
      <c r="M243" s="160">
        <f>INT(MAX(Sheet2!F55+C26-C40,0)*5)</f>
        <v>36</v>
      </c>
      <c r="N243" s="1">
        <f t="shared" si="270"/>
        <v>60727</v>
      </c>
      <c r="O243" s="1">
        <f t="shared" si="271"/>
        <v>6073</v>
      </c>
      <c r="P243" s="1">
        <f t="shared" si="272"/>
        <v>1630</v>
      </c>
      <c r="Q243" s="1">
        <f t="shared" si="273"/>
        <v>68430</v>
      </c>
      <c r="R243" s="160">
        <f>Q243*(Sheet2!F55/(Sheet2!F55+C26))</f>
        <v>19576.872299209266</v>
      </c>
      <c r="U243" s="146"/>
    </row>
    <row r="244" spans="8:21">
      <c r="H244" s="143"/>
      <c r="I244">
        <v>5</v>
      </c>
      <c r="J244" s="1">
        <f t="shared" si="269"/>
        <v>30170</v>
      </c>
      <c r="K244">
        <f>ROUNDDOWN(MAX(Sheet2!G55*38.44% + C27*30% - C41*4.1831%,0)*125.8 + MAX(Sheet2!G55*30.44% + C27*30% - C41*84.4735%,0)*153.8 + MAX(Sheet2!G55*31.12% + C27*40% - C41*11.3434%,0)*172.4,0)</f>
        <v>23336</v>
      </c>
      <c r="L244" s="160">
        <f>INT(MAX(Sheet2!G55+C27-C41,0)*9)</f>
        <v>0</v>
      </c>
      <c r="M244" s="160">
        <f>INT(MAX(Sheet2!G55+C27-C41,0)*5)</f>
        <v>0</v>
      </c>
      <c r="N244" s="1">
        <f t="shared" si="270"/>
        <v>53506</v>
      </c>
      <c r="O244" s="1">
        <f t="shared" si="271"/>
        <v>5351</v>
      </c>
      <c r="P244" s="1">
        <f t="shared" si="272"/>
        <v>1440</v>
      </c>
      <c r="Q244" s="1">
        <f t="shared" si="273"/>
        <v>60290</v>
      </c>
      <c r="R244" s="160">
        <f>Q244*(Sheet2!G55/(Sheet2!G55+C27))</f>
        <v>10684.862069667577</v>
      </c>
      <c r="U244" s="146"/>
    </row>
    <row r="245" spans="8:21">
      <c r="H245" s="143"/>
      <c r="I245">
        <v>6</v>
      </c>
      <c r="J245" s="1">
        <f t="shared" si="269"/>
        <v>30170</v>
      </c>
      <c r="K245">
        <f>ROUNDDOWN(MAX(Sheet2!H55*31.92% + C28*30% - C42*4.7395%,0)*138.7 + MAX(Sheet2!H55*38.86% + C28*30% - C42*81.6742%,0)*184.7 + MAX(Sheet2!H55*29.22% + C28*40% - C42*13.5862%,0)*220.5,0)</f>
        <v>23232</v>
      </c>
      <c r="L245" s="160">
        <f>INT(MAX(Sheet2!H55+C28-C42,0)*9)</f>
        <v>0</v>
      </c>
      <c r="M245" s="160">
        <f>INT(MAX(Sheet2!H55+C28-C42,0)*5)</f>
        <v>0</v>
      </c>
      <c r="N245" s="1">
        <f t="shared" si="270"/>
        <v>53402</v>
      </c>
      <c r="O245" s="1">
        <f t="shared" si="271"/>
        <v>5340</v>
      </c>
      <c r="P245" s="1">
        <f t="shared" si="272"/>
        <v>1440</v>
      </c>
      <c r="Q245" s="1">
        <f t="shared" si="273"/>
        <v>60180</v>
      </c>
      <c r="R245" s="160">
        <f>Q245*(Sheet2!H55/(Sheet2!H55+C28))</f>
        <v>6619.8629583822085</v>
      </c>
      <c r="U245" s="146"/>
    </row>
    <row r="246" spans="8:21">
      <c r="H246" s="143"/>
      <c r="I246">
        <v>7</v>
      </c>
      <c r="J246" s="1">
        <f t="shared" si="269"/>
        <v>30170</v>
      </c>
      <c r="K246">
        <f>ROUNDDOWN(MAX(Sheet2!I55*26.8% + C29*30% - C43*3.6986%,0)*138.7 + MAX(Sheet2!I55*43.76% + C29*30% - C43*81.8888%,0)*184.7 + MAX(Sheet2!I55*29.44% + C29*40% - C43*14.4126%,0)*220.5,0)</f>
        <v>29316</v>
      </c>
      <c r="L246" s="160">
        <f>INT(MAX(Sheet2!I55+C29-C43,0)*9)</f>
        <v>0</v>
      </c>
      <c r="M246" s="160">
        <f>INT(MAX(Sheet2!I55+C29-C43,0)*5)</f>
        <v>0</v>
      </c>
      <c r="N246" s="1">
        <f t="shared" si="270"/>
        <v>59486</v>
      </c>
      <c r="O246" s="1">
        <f t="shared" si="271"/>
        <v>5949</v>
      </c>
      <c r="P246" s="1">
        <f t="shared" si="272"/>
        <v>1600</v>
      </c>
      <c r="Q246" s="1">
        <f t="shared" si="273"/>
        <v>67030</v>
      </c>
      <c r="R246" s="160">
        <f>Q246*(Sheet2!I55/(Sheet2!I55+C29))</f>
        <v>3485.2093525161745</v>
      </c>
      <c r="U246" s="146"/>
    </row>
    <row r="247" spans="8:21">
      <c r="H247" s="143"/>
      <c r="I247">
        <v>8</v>
      </c>
      <c r="J247" s="1">
        <f t="shared" si="269"/>
        <v>30170</v>
      </c>
      <c r="K247">
        <f>ROUNDDOWN(MAX(Sheet2!J55*26.88% + C30*30% - C44*3.2913%,0)*138.7 + MAX(Sheet2!J55*45.15% + C30*30% - C44*85.89%,0)*184.7 + MAX(Sheet2!J55*27.97% + C30*40% - C44*10.8187%,0)*220.5,0)</f>
        <v>40807</v>
      </c>
      <c r="L247" s="160">
        <f>INT(MAX(Sheet2!J55+C30-C44,0)*9)</f>
        <v>1219</v>
      </c>
      <c r="M247" s="160">
        <f>INT(MAX(Sheet2!J55+C30-C44,0)*5)</f>
        <v>677</v>
      </c>
      <c r="N247" s="1">
        <f t="shared" si="270"/>
        <v>72873</v>
      </c>
      <c r="O247" s="1">
        <f t="shared" si="271"/>
        <v>7287</v>
      </c>
      <c r="P247" s="1">
        <f t="shared" si="272"/>
        <v>1960</v>
      </c>
      <c r="Q247" s="1">
        <f t="shared" si="273"/>
        <v>82120</v>
      </c>
      <c r="R247" s="160">
        <f>Q247*(Sheet2!J55/(Sheet2!J55+C30))</f>
        <v>3422.1034446799895</v>
      </c>
      <c r="U247" s="146"/>
    </row>
    <row r="248" spans="8:21">
      <c r="H248" s="143"/>
      <c r="I248">
        <v>9</v>
      </c>
      <c r="J248" s="1">
        <f t="shared" si="269"/>
        <v>30170</v>
      </c>
      <c r="K248">
        <f>ROUNDDOWN(MAX(Sheet2!K55*30.32% + C31*30% - C45*2.4481%,0)*125.8 + MAX(Sheet2!K55*40.48% + C31*30% - C45*89.5608%,0)*153.8 + MAX(Sheet2!K55*29.2% + C31*40% - C45*7.9911%,0)*172.4,0)</f>
        <v>29024</v>
      </c>
      <c r="L248" s="160">
        <f>INT(MAX(Sheet2!K55+C31-C45,0)*9)</f>
        <v>991</v>
      </c>
      <c r="M248" s="160">
        <f>INT(MAX(Sheet2!K55+C31-C45,0)*5)</f>
        <v>550</v>
      </c>
      <c r="N248" s="1">
        <f t="shared" si="270"/>
        <v>60735</v>
      </c>
      <c r="O248" s="1">
        <f t="shared" si="271"/>
        <v>6074</v>
      </c>
      <c r="P248" s="1">
        <f t="shared" si="272"/>
        <v>1630</v>
      </c>
      <c r="Q248" s="1">
        <f t="shared" si="273"/>
        <v>68430</v>
      </c>
      <c r="R248" s="160">
        <f>Q248*(Sheet2!K55/(Sheet2!K55+C31))</f>
        <v>5360.0362669379983</v>
      </c>
      <c r="U248" s="146"/>
    </row>
    <row r="249" spans="8:21">
      <c r="H249" s="143"/>
      <c r="I249">
        <v>10</v>
      </c>
      <c r="J249" s="1">
        <f t="shared" si="269"/>
        <v>30170</v>
      </c>
      <c r="K249">
        <f>ROUNDDOWN(MAX(Sheet2!L55*42.34% + C32*30% - C46*1.3153%,0)*125.8 + MAX(Sheet2!L55*28.1% + C32*30% - C46*93.9251%,0)*153.8 + MAX(Sheet2!L55*29.56% + C32*40% - C46*4.7596%,0)*172.4,0)</f>
        <v>27430</v>
      </c>
      <c r="L249" s="160">
        <f>INT(MAX(Sheet2!L55+C32-C46,0)*9)</f>
        <v>302</v>
      </c>
      <c r="M249" s="160">
        <f>INT(MAX(Sheet2!L55+C32-C46,0)*5)</f>
        <v>168</v>
      </c>
      <c r="N249" s="1">
        <f t="shared" si="270"/>
        <v>58070</v>
      </c>
      <c r="O249" s="1">
        <f t="shared" si="271"/>
        <v>5807</v>
      </c>
      <c r="P249" s="1">
        <f t="shared" si="272"/>
        <v>1560</v>
      </c>
      <c r="Q249" s="1">
        <f t="shared" si="273"/>
        <v>65430</v>
      </c>
      <c r="R249" s="160">
        <f>Q249*(Sheet2!L55/(Sheet2!L55+C32))</f>
        <v>8260.4567521490353</v>
      </c>
      <c r="U249" s="146"/>
    </row>
    <row r="250" spans="8:21">
      <c r="H250" s="143"/>
      <c r="I250">
        <v>11</v>
      </c>
      <c r="J250" s="1">
        <f t="shared" si="269"/>
        <v>30170</v>
      </c>
      <c r="K250">
        <f>ROUNDDOWN(MAX(Sheet2!M55*44.43% + C33*30% - C47*0.3291%,0)*138.7 + MAX(Sheet2!M55*27.22% + C33*30% - C47*97.1714%,0)*184.7 + MAX(Sheet2!M55*28.35% + C33*40% - C47*2.4994%,0)*220.5,0)</f>
        <v>41698</v>
      </c>
      <c r="L250" s="160">
        <f>INT(MAX(Sheet2!M55+C33-C47,0)*9)</f>
        <v>868</v>
      </c>
      <c r="M250" s="160">
        <f>INT(MAX(Sheet2!M55+C33-C47,0)*5)</f>
        <v>482</v>
      </c>
      <c r="N250" s="1">
        <f t="shared" si="270"/>
        <v>73218</v>
      </c>
      <c r="O250" s="1">
        <f t="shared" si="271"/>
        <v>7322</v>
      </c>
      <c r="P250" s="1">
        <f t="shared" si="272"/>
        <v>1970</v>
      </c>
      <c r="Q250" s="1">
        <f t="shared" si="273"/>
        <v>82510</v>
      </c>
      <c r="R250" s="160">
        <f>Q250*(Sheet2!M55/(Sheet2!M55+C33))</f>
        <v>19641.385318297082</v>
      </c>
      <c r="U250" s="146"/>
    </row>
    <row r="251" spans="8:21">
      <c r="H251" s="143"/>
      <c r="I251">
        <v>12</v>
      </c>
      <c r="J251" s="1">
        <f>$C$170*($D$109+3)</f>
        <v>30170</v>
      </c>
      <c r="K251">
        <f>ROUNDDOWN(MAX(Sheet2!N55*43.82% + C34*30% - C48*0.0353%,0)*138.7 + MAX(Sheet2!N55*28.18% + C34*30% - C48*97.784%,0)*184.7 + MAX(Sheet2!N55*28% + C34*40% - C48*2.1807%,0)*220.5,0)</f>
        <v>51465</v>
      </c>
      <c r="L251" s="160">
        <f>INT(MAX(Sheet2!N55+C34-C48,0)*9)</f>
        <v>1873</v>
      </c>
      <c r="M251" s="160">
        <f>INT(MAX(Sheet2!N55+C34-C48,0)*5)</f>
        <v>1040</v>
      </c>
      <c r="N251" s="1">
        <f t="shared" si="270"/>
        <v>84548</v>
      </c>
      <c r="O251" s="1">
        <f t="shared" si="271"/>
        <v>8455</v>
      </c>
      <c r="P251" s="1">
        <f t="shared" si="272"/>
        <v>2280</v>
      </c>
      <c r="Q251" s="1">
        <f t="shared" si="273"/>
        <v>95280</v>
      </c>
      <c r="R251" s="160">
        <f>Q251*(Sheet2!N55/(Sheet2!N55+C34))</f>
        <v>31887.888882025491</v>
      </c>
      <c r="U251" s="146"/>
    </row>
    <row r="252" spans="8:21">
      <c r="H252" s="143"/>
      <c r="I252" t="s">
        <v>81</v>
      </c>
      <c r="J252" s="1" t="s">
        <v>386</v>
      </c>
      <c r="K252" s="1" t="s">
        <v>387</v>
      </c>
      <c r="L252" s="1" t="s">
        <v>388</v>
      </c>
      <c r="M252" s="1" t="s">
        <v>389</v>
      </c>
      <c r="N252" s="1" t="s">
        <v>390</v>
      </c>
      <c r="O252" s="1" t="s">
        <v>391</v>
      </c>
      <c r="P252" s="1" t="s">
        <v>392</v>
      </c>
      <c r="Q252" s="1" t="s">
        <v>393</v>
      </c>
      <c r="R252" s="1" t="s">
        <v>432</v>
      </c>
      <c r="S252" s="145">
        <f>SUM(R253:R264)</f>
        <v>207032.17949449929</v>
      </c>
      <c r="T252" s="145">
        <f>Sheet2!$O$18</f>
        <v>650516.39601400623</v>
      </c>
      <c r="U252" s="148">
        <f>(T252-S252)/T252</f>
        <v>0.68174179657411482</v>
      </c>
    </row>
    <row r="253" spans="8:21">
      <c r="H253" s="143"/>
      <c r="I253">
        <v>1</v>
      </c>
      <c r="J253" s="1">
        <f t="shared" ref="J253:J263" si="274">$C$170*($D$109+3)</f>
        <v>30170</v>
      </c>
      <c r="K253">
        <f>ROUNDDOWN(MAX(Sheet2!C56*43.37% + C23*30% - C37*0.0062%,0)*138.7 + MAX(Sheet2!C56*28.76% + C23*30% - C37*95.4981%,0)*184.7 + MAX(Sheet2!C56*27.87% + C23*40% - C37*4.4957%,0)*220.5,0)</f>
        <v>64739</v>
      </c>
      <c r="L253" s="160">
        <f>INT(MAX(Sheet2!C56+C23-C37,0)*9)</f>
        <v>2719</v>
      </c>
      <c r="M253" s="160">
        <f>INT(MAX(Sheet2!C56+C23-C37,0)*5)</f>
        <v>1510</v>
      </c>
      <c r="N253" s="1">
        <f t="shared" ref="N253:N264" si="275">SUM(J253:M253)</f>
        <v>99138</v>
      </c>
      <c r="O253" s="1">
        <f t="shared" ref="O253:O264" si="276">ROUND(N253*0.1, 0)</f>
        <v>9914</v>
      </c>
      <c r="P253" s="1">
        <f t="shared" ref="P253:P264" si="277">FLOOR(N253*0.027, 10)</f>
        <v>2670</v>
      </c>
      <c r="Q253" s="1">
        <f t="shared" ref="Q253:Q264" si="278">FLOOR(N253+O253+P253, 10)</f>
        <v>111720</v>
      </c>
      <c r="R253" s="160">
        <f>Q253*(Sheet2!C56/(Sheet2!C56+C23))</f>
        <v>47368.633331876983</v>
      </c>
      <c r="U253" s="146"/>
    </row>
    <row r="254" spans="8:21">
      <c r="H254" s="143"/>
      <c r="I254">
        <v>2</v>
      </c>
      <c r="J254" s="1">
        <f t="shared" si="274"/>
        <v>30170</v>
      </c>
      <c r="K254">
        <f>ROUNDDOWN(MAX(Sheet2!D56*44.03% + C24*30% - C38*0.1791%,0)*138.7 + MAX(Sheet2!D56*28.8% + C24*30% - C38*92.1596%,0)*184.7 + MAX(Sheet2!D56*27.16% + C24*40% - C38*7.6613%,0)*220.5,0)</f>
        <v>58668</v>
      </c>
      <c r="L254" s="160">
        <f>INT(MAX(Sheet2!D56+C24-C38,0)*9)</f>
        <v>2002</v>
      </c>
      <c r="M254" s="160">
        <f>INT(MAX(Sheet2!D56+C24-C38,0)*5)</f>
        <v>1112</v>
      </c>
      <c r="N254" s="1">
        <f t="shared" si="275"/>
        <v>91952</v>
      </c>
      <c r="O254" s="1">
        <f t="shared" si="276"/>
        <v>9195</v>
      </c>
      <c r="P254" s="1">
        <f t="shared" si="277"/>
        <v>2480</v>
      </c>
      <c r="Q254" s="1">
        <f t="shared" si="278"/>
        <v>103620</v>
      </c>
      <c r="R254" s="160">
        <f>Q254*(Sheet2!D56/(Sheet2!D56+C24))</f>
        <v>41643.58103910197</v>
      </c>
      <c r="U254" s="146"/>
    </row>
    <row r="255" spans="8:21">
      <c r="H255" s="143"/>
      <c r="I255">
        <v>3</v>
      </c>
      <c r="J255" s="1">
        <f t="shared" si="274"/>
        <v>30170</v>
      </c>
      <c r="K255">
        <f>ROUNDDOWN(MAX(Sheet2!E56*44.16% + C25*30% - C39*1.149%,0)*125.8 + MAX(Sheet2!E56*28.26% + C25*30% - C39*89.637%,0)*153.8 + MAX(Sheet2!E56*27.58% + C25*40% - C39*9.2139%,0)*172.4,0)</f>
        <v>39585</v>
      </c>
      <c r="L255" s="160">
        <f>INT(MAX(Sheet2!E56+C25-C39,0)*9)</f>
        <v>1110</v>
      </c>
      <c r="M255" s="160">
        <f>INT(MAX(Sheet2!E56+C25-C39,0)*5)</f>
        <v>616</v>
      </c>
      <c r="N255" s="1">
        <f t="shared" si="275"/>
        <v>71481</v>
      </c>
      <c r="O255" s="1">
        <f t="shared" si="276"/>
        <v>7148</v>
      </c>
      <c r="P255" s="1">
        <f t="shared" si="277"/>
        <v>1920</v>
      </c>
      <c r="Q255" s="1">
        <f t="shared" si="278"/>
        <v>80540</v>
      </c>
      <c r="R255" s="160">
        <f>Q255*(Sheet2!E56/(Sheet2!E56+C25))</f>
        <v>27889.07629553201</v>
      </c>
      <c r="U255" s="146"/>
    </row>
    <row r="256" spans="8:21">
      <c r="H256" s="143"/>
      <c r="I256">
        <v>4</v>
      </c>
      <c r="J256" s="1">
        <f t="shared" si="274"/>
        <v>30170</v>
      </c>
      <c r="K256">
        <f>ROUNDDOWN(MAX(Sheet2!F56*42.51% + C26*30% - C40*2.6448%,0)*125.8 + MAX(Sheet2!F56*27.79% + C26*30% - C40*86.8176%,0)*153.8 + MAX(Sheet2!F56*29.7% + C26*40% - C40*10.5375%,0)*172.4,0)</f>
        <v>28460</v>
      </c>
      <c r="L256" s="160">
        <f>INT(MAX(Sheet2!F56+C26-C40,0)*9)</f>
        <v>0</v>
      </c>
      <c r="M256" s="160">
        <f>INT(MAX(Sheet2!F56+C26-C40,0)*5)</f>
        <v>0</v>
      </c>
      <c r="N256" s="1">
        <f t="shared" si="275"/>
        <v>58630</v>
      </c>
      <c r="O256" s="1">
        <f t="shared" si="276"/>
        <v>5863</v>
      </c>
      <c r="P256" s="1">
        <f t="shared" si="277"/>
        <v>1580</v>
      </c>
      <c r="Q256" s="1">
        <f t="shared" si="278"/>
        <v>66070</v>
      </c>
      <c r="R256" s="160">
        <f>Q256*(Sheet2!F56/(Sheet2!F56+C26))</f>
        <v>16249.221595536734</v>
      </c>
      <c r="U256" s="146"/>
    </row>
    <row r="257" spans="8:21">
      <c r="H257" s="143"/>
      <c r="I257">
        <v>5</v>
      </c>
      <c r="J257" s="1">
        <f t="shared" si="274"/>
        <v>30170</v>
      </c>
      <c r="K257">
        <f>ROUNDDOWN(MAX(Sheet2!G56*38.44% + C27*30% - C41*4.1831%,0)*125.8 + MAX(Sheet2!G56*30.44% + C27*30% - C41*84.4735%,0)*153.8 + MAX(Sheet2!G56*31.12% + C27*40% - C41*11.3434%,0)*172.4,0)</f>
        <v>22340</v>
      </c>
      <c r="L257" s="160">
        <f>INT(MAX(Sheet2!G56+C27-C41,0)*9)</f>
        <v>0</v>
      </c>
      <c r="M257" s="160">
        <f>INT(MAX(Sheet2!G56+C27-C41,0)*5)</f>
        <v>0</v>
      </c>
      <c r="N257" s="1">
        <f t="shared" si="275"/>
        <v>52510</v>
      </c>
      <c r="O257" s="1">
        <f t="shared" si="276"/>
        <v>5251</v>
      </c>
      <c r="P257" s="1">
        <f t="shared" si="277"/>
        <v>1410</v>
      </c>
      <c r="Q257" s="1">
        <f t="shared" si="278"/>
        <v>59170</v>
      </c>
      <c r="R257" s="160">
        <f>Q257*(Sheet2!G56/(Sheet2!G56+C27))</f>
        <v>8825.9511109250543</v>
      </c>
      <c r="U257" s="146"/>
    </row>
    <row r="258" spans="8:21">
      <c r="H258" s="143"/>
      <c r="I258">
        <v>6</v>
      </c>
      <c r="J258" s="1">
        <f t="shared" si="274"/>
        <v>30170</v>
      </c>
      <c r="K258">
        <f>ROUNDDOWN(MAX(Sheet2!H56*31.92% + C28*30% - C42*4.7395%,0)*138.7 + MAX(Sheet2!H56*38.86% + C28*30% - C42*81.6742%,0)*184.7 + MAX(Sheet2!H56*29.22% + C28*40% - C42*13.5862%,0)*220.5,0)</f>
        <v>22619</v>
      </c>
      <c r="L258" s="160">
        <f>INT(MAX(Sheet2!H56+C28-C42,0)*9)</f>
        <v>0</v>
      </c>
      <c r="M258" s="160">
        <f>INT(MAX(Sheet2!H56+C28-C42,0)*5)</f>
        <v>0</v>
      </c>
      <c r="N258" s="1">
        <f t="shared" si="275"/>
        <v>52789</v>
      </c>
      <c r="O258" s="1">
        <f t="shared" si="276"/>
        <v>5279</v>
      </c>
      <c r="P258" s="1">
        <f t="shared" si="277"/>
        <v>1420</v>
      </c>
      <c r="Q258" s="1">
        <f t="shared" si="278"/>
        <v>59480</v>
      </c>
      <c r="R258" s="160">
        <f>Q258*(Sheet2!H56/(Sheet2!H56+C28))</f>
        <v>5436.5285783700083</v>
      </c>
      <c r="U258" s="146"/>
    </row>
    <row r="259" spans="8:21">
      <c r="H259" s="143"/>
      <c r="I259">
        <v>7</v>
      </c>
      <c r="J259" s="1">
        <f t="shared" si="274"/>
        <v>30170</v>
      </c>
      <c r="K259">
        <f>ROUNDDOWN(MAX(Sheet2!I56*26.8% + C29*30% - C43*3.6986%,0)*138.7 + MAX(Sheet2!I56*43.76% + C29*30% - C43*81.8888%,0)*184.7 + MAX(Sheet2!I56*29.44% + C29*40% - C43*14.4126%,0)*220.5,0)</f>
        <v>28989</v>
      </c>
      <c r="L259" s="160">
        <f>INT(MAX(Sheet2!I56+C29-C43,0)*9)</f>
        <v>0</v>
      </c>
      <c r="M259" s="160">
        <f>INT(MAX(Sheet2!I56+C29-C43,0)*5)</f>
        <v>0</v>
      </c>
      <c r="N259" s="1">
        <f t="shared" si="275"/>
        <v>59159</v>
      </c>
      <c r="O259" s="1">
        <f t="shared" si="276"/>
        <v>5916</v>
      </c>
      <c r="P259" s="1">
        <f t="shared" si="277"/>
        <v>1590</v>
      </c>
      <c r="Q259" s="1">
        <f t="shared" si="278"/>
        <v>66660</v>
      </c>
      <c r="R259" s="160">
        <f>Q259*(Sheet2!I56/(Sheet2!I56+C29))</f>
        <v>2848.5173644696692</v>
      </c>
      <c r="U259" s="146"/>
    </row>
    <row r="260" spans="8:21">
      <c r="H260" s="143"/>
      <c r="I260">
        <v>8</v>
      </c>
      <c r="J260" s="1">
        <f t="shared" si="274"/>
        <v>30170</v>
      </c>
      <c r="K260">
        <f>ROUNDDOWN(MAX(Sheet2!J56*26.88% + C30*30% - C44*3.2913%,0)*138.7 + MAX(Sheet2!J56*45.15% + C30*30% - C44*85.89%,0)*184.7 + MAX(Sheet2!J56*27.97% + C30*40% - C44*10.8187%,0)*220.5,0)</f>
        <v>40523</v>
      </c>
      <c r="L260" s="160">
        <f>INT(MAX(Sheet2!J56+C30-C44,0)*9)</f>
        <v>1193</v>
      </c>
      <c r="M260" s="160">
        <f>INT(MAX(Sheet2!J56+C30-C44,0)*5)</f>
        <v>663</v>
      </c>
      <c r="N260" s="1">
        <f t="shared" si="275"/>
        <v>72549</v>
      </c>
      <c r="O260" s="1">
        <f t="shared" si="276"/>
        <v>7255</v>
      </c>
      <c r="P260" s="1">
        <f t="shared" si="277"/>
        <v>1950</v>
      </c>
      <c r="Q260" s="1">
        <f t="shared" si="278"/>
        <v>81750</v>
      </c>
      <c r="R260" s="160">
        <f>Q260*(Sheet2!J56/(Sheet2!J56+C30))</f>
        <v>2794.3719893561047</v>
      </c>
      <c r="U260" s="146"/>
    </row>
    <row r="261" spans="8:21">
      <c r="H261" s="143"/>
      <c r="I261">
        <v>9</v>
      </c>
      <c r="J261" s="1">
        <f t="shared" si="274"/>
        <v>30170</v>
      </c>
      <c r="K261">
        <f>ROUNDDOWN(MAX(Sheet2!K56*30.32% + C31*30% - C45*2.4481%,0)*125.8 + MAX(Sheet2!K56*40.48% + C31*30% - C45*89.5608%,0)*153.8 + MAX(Sheet2!K56*29.2% + C31*40% - C45*7.9911%,0)*172.4,0)</f>
        <v>28627</v>
      </c>
      <c r="L261" s="160">
        <f>INT(MAX(Sheet2!K56+C31-C45,0)*9)</f>
        <v>950</v>
      </c>
      <c r="M261" s="160">
        <f>INT(MAX(Sheet2!K56+C31-C45,0)*5)</f>
        <v>528</v>
      </c>
      <c r="N261" s="1">
        <f t="shared" si="275"/>
        <v>60275</v>
      </c>
      <c r="O261" s="1">
        <f t="shared" si="276"/>
        <v>6028</v>
      </c>
      <c r="P261" s="1">
        <f t="shared" si="277"/>
        <v>1620</v>
      </c>
      <c r="Q261" s="1">
        <f t="shared" si="278"/>
        <v>67920</v>
      </c>
      <c r="R261" s="160">
        <f>Q261*(Sheet2!K56/(Sheet2!K56+C31))</f>
        <v>4394.0730825418623</v>
      </c>
      <c r="U261" s="146"/>
    </row>
    <row r="262" spans="8:21">
      <c r="H262" s="143"/>
      <c r="I262">
        <v>10</v>
      </c>
      <c r="J262" s="1">
        <f t="shared" si="274"/>
        <v>30170</v>
      </c>
      <c r="K262">
        <f>ROUNDDOWN(MAX(Sheet2!L56*42.34% + C32*30% - C46*1.3153%,0)*125.8 + MAX(Sheet2!L56*28.1% + C32*30% - C46*93.9251%,0)*153.8 + MAX(Sheet2!L56*29.56% + C32*40% - C46*4.7596%,0)*172.4,0)</f>
        <v>26743</v>
      </c>
      <c r="L262" s="160">
        <f>INT(MAX(Sheet2!L56+C32-C46,0)*9)</f>
        <v>243</v>
      </c>
      <c r="M262" s="160">
        <f>INT(MAX(Sheet2!L56+C32-C46,0)*5)</f>
        <v>135</v>
      </c>
      <c r="N262" s="1">
        <f t="shared" si="275"/>
        <v>57291</v>
      </c>
      <c r="O262" s="1">
        <f t="shared" si="276"/>
        <v>5729</v>
      </c>
      <c r="P262" s="1">
        <f t="shared" si="277"/>
        <v>1540</v>
      </c>
      <c r="Q262" s="1">
        <f t="shared" si="278"/>
        <v>64560</v>
      </c>
      <c r="R262" s="160">
        <f>Q262*(Sheet2!L56/(Sheet2!L56+C32))</f>
        <v>6793.4010845577686</v>
      </c>
      <c r="U262" s="146"/>
    </row>
    <row r="263" spans="8:21">
      <c r="H263" s="143"/>
      <c r="I263">
        <v>11</v>
      </c>
      <c r="J263" s="1">
        <f t="shared" si="274"/>
        <v>30170</v>
      </c>
      <c r="K263">
        <f>ROUNDDOWN(MAX(Sheet2!M56*44.43% + C33*30% - C47*0.3291%,0)*138.7 + MAX(Sheet2!M56*27.22% + C33*30% - C47*97.1714%,0)*184.7 + MAX(Sheet2!M56*28.35% + C33*40% - C47*2.4994%,0)*220.5,0)</f>
        <v>39852</v>
      </c>
      <c r="L263" s="160">
        <f>INT(MAX(Sheet2!M56+C33-C47,0)*9)</f>
        <v>735</v>
      </c>
      <c r="M263" s="160">
        <f>INT(MAX(Sheet2!M56+C33-C47,0)*5)</f>
        <v>408</v>
      </c>
      <c r="N263" s="1">
        <f t="shared" si="275"/>
        <v>71165</v>
      </c>
      <c r="O263" s="1">
        <f t="shared" si="276"/>
        <v>7117</v>
      </c>
      <c r="P263" s="1">
        <f t="shared" si="277"/>
        <v>1920</v>
      </c>
      <c r="Q263" s="1">
        <f t="shared" si="278"/>
        <v>80200</v>
      </c>
      <c r="R263" s="160">
        <f>Q263*(Sheet2!M56/(Sheet2!M56+C33))</f>
        <v>16258.848855665736</v>
      </c>
      <c r="U263" s="146"/>
    </row>
    <row r="264" spans="8:21">
      <c r="H264" s="150"/>
      <c r="I264" s="55">
        <v>12</v>
      </c>
      <c r="J264" s="156">
        <f>$C$170*($D$109+3)</f>
        <v>30170</v>
      </c>
      <c r="K264" s="55">
        <f>ROUNDDOWN(MAX(Sheet2!N56*43.82% + C34*30% - C48*0.0353%,0)*138.7 + MAX(Sheet2!N56*28.18% + C34*30% - C48*97.784%,0)*184.7 + MAX(Sheet2!N56*28% + C34*40% - C48*2.1807%,0)*220.5,0)</f>
        <v>48322</v>
      </c>
      <c r="L264" s="161">
        <f>INT(MAX(Sheet2!N56+C34-C48,0)*9)</f>
        <v>1642</v>
      </c>
      <c r="M264" s="161">
        <f>INT(MAX(Sheet2!N56+C34-C48,0)*5)</f>
        <v>912</v>
      </c>
      <c r="N264" s="156">
        <f t="shared" si="275"/>
        <v>81046</v>
      </c>
      <c r="O264" s="156">
        <f t="shared" si="276"/>
        <v>8105</v>
      </c>
      <c r="P264" s="156">
        <f t="shared" si="277"/>
        <v>2180</v>
      </c>
      <c r="Q264" s="156">
        <f t="shared" si="278"/>
        <v>91330</v>
      </c>
      <c r="R264" s="161">
        <f>Q264*(Sheet2!N56/(Sheet2!N56+C34))</f>
        <v>26529.975166565389</v>
      </c>
      <c r="S264" s="156"/>
      <c r="T264" s="156"/>
      <c r="U264" s="153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2026-05-11T01:09:34Z</dcterms:modified>
  <dc:language>en-US</dc:language>
</cp:coreProperties>
</file>